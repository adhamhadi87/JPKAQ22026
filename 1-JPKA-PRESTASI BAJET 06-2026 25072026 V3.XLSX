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DB\PRESTASI KEWANGAN\2026\JUN2026\PTJs 06-2026\"/>
    </mc:Choice>
  </mc:AlternateContent>
  <xr:revisionPtr revIDLastSave="0" documentId="13_ncr:1_{7980791D-2AAC-42E9-977A-3647DDB7C6A3}" xr6:coauthVersionLast="47" xr6:coauthVersionMax="47" xr10:uidLastSave="{00000000-0000-0000-0000-000000000000}"/>
  <bookViews>
    <workbookView xWindow="-110" yWindow="-110" windowWidth="19420" windowHeight="10420" firstSheet="2" activeTab="3" xr2:uid="{00000000-000D-0000-FFFF-FFFF00000000}"/>
  </bookViews>
  <sheets>
    <sheet name="PTJ" sheetId="2" r:id="rId1"/>
    <sheet name="BAJET 2026" sheetId="1" r:id="rId2"/>
    <sheet name="SUMMARY KOD" sheetId="7" r:id="rId3"/>
    <sheet name="HASIL" sheetId="3" r:id="rId4"/>
    <sheet name="B.MGRS" sheetId="6" r:id="rId5"/>
    <sheet name="B.MODAL" sheetId="5" r:id="rId6"/>
    <sheet name="B.PROG" sheetId="4" r:id="rId7"/>
  </sheets>
  <definedNames>
    <definedName name="_xlnm._FilterDatabase" localSheetId="4" hidden="1">B.MGRS!$A$1:$W$271</definedName>
    <definedName name="_xlnm._FilterDatabase" localSheetId="6" hidden="1">B.PROG!$A$1:$Z$223</definedName>
    <definedName name="_xlnm._FilterDatabase" localSheetId="1" hidden="1">'BAJET 2026'!$A$1:$M$724</definedName>
    <definedName name="_xlnm._FilterDatabase" localSheetId="3" hidden="1">HASIL!$A$1:$X$137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5" i="3" l="1"/>
  <c r="M63" i="3" l="1"/>
  <c r="N63" i="3"/>
  <c r="O63" i="3"/>
  <c r="P63" i="3"/>
  <c r="M64" i="3"/>
  <c r="N64" i="3"/>
  <c r="O64" i="3"/>
  <c r="P64" i="3"/>
  <c r="M65" i="3"/>
  <c r="N65" i="3"/>
  <c r="O65" i="3"/>
  <c r="P65" i="3"/>
  <c r="M66" i="3"/>
  <c r="N66" i="3"/>
  <c r="O66" i="3"/>
  <c r="P66" i="3"/>
  <c r="M67" i="3"/>
  <c r="N67" i="3"/>
  <c r="O67" i="3"/>
  <c r="P67" i="3"/>
  <c r="M68" i="3"/>
  <c r="N68" i="3"/>
  <c r="O68" i="3"/>
  <c r="P68" i="3"/>
  <c r="M69" i="3"/>
  <c r="N69" i="3"/>
  <c r="O69" i="3"/>
  <c r="P69" i="3"/>
  <c r="M70" i="3"/>
  <c r="N70" i="3"/>
  <c r="O70" i="3"/>
  <c r="P70" i="3"/>
  <c r="M71" i="3"/>
  <c r="N71" i="3"/>
  <c r="O71" i="3"/>
  <c r="P71" i="3"/>
  <c r="M72" i="3"/>
  <c r="N72" i="3"/>
  <c r="O72" i="3"/>
  <c r="P72" i="3"/>
  <c r="M73" i="3"/>
  <c r="N73" i="3"/>
  <c r="O73" i="3"/>
  <c r="P73" i="3"/>
  <c r="M74" i="3"/>
  <c r="N74" i="3"/>
  <c r="O74" i="3"/>
  <c r="P74" i="3"/>
  <c r="M75" i="3"/>
  <c r="N75" i="3"/>
  <c r="O75" i="3"/>
  <c r="P75" i="3"/>
  <c r="M76" i="3"/>
  <c r="N76" i="3"/>
  <c r="O76" i="3"/>
  <c r="P76" i="3"/>
  <c r="M77" i="3"/>
  <c r="N77" i="3"/>
  <c r="O77" i="3"/>
  <c r="P77" i="3"/>
  <c r="M78" i="3"/>
  <c r="N78" i="3"/>
  <c r="O78" i="3"/>
  <c r="P78" i="3"/>
  <c r="M47" i="3"/>
  <c r="N47" i="3"/>
  <c r="O47" i="3"/>
  <c r="P47" i="3"/>
  <c r="M48" i="3"/>
  <c r="N48" i="3"/>
  <c r="O48" i="3"/>
  <c r="P48" i="3"/>
  <c r="M49" i="3"/>
  <c r="N49" i="3"/>
  <c r="O49" i="3"/>
  <c r="P49" i="3"/>
  <c r="M50" i="3"/>
  <c r="N50" i="3"/>
  <c r="O50" i="3"/>
  <c r="P50" i="3"/>
  <c r="M51" i="3"/>
  <c r="N51" i="3"/>
  <c r="O51" i="3"/>
  <c r="P51" i="3"/>
  <c r="M52" i="3"/>
  <c r="N52" i="3"/>
  <c r="O52" i="3"/>
  <c r="P52" i="3"/>
  <c r="M53" i="3"/>
  <c r="N53" i="3"/>
  <c r="O53" i="3"/>
  <c r="P53" i="3"/>
  <c r="M54" i="3"/>
  <c r="N54" i="3"/>
  <c r="O54" i="3"/>
  <c r="P54" i="3"/>
  <c r="M55" i="3"/>
  <c r="N55" i="3"/>
  <c r="O55" i="3"/>
  <c r="P55" i="3"/>
  <c r="M56" i="3"/>
  <c r="N56" i="3"/>
  <c r="O56" i="3"/>
  <c r="P56" i="3"/>
  <c r="M57" i="3"/>
  <c r="N57" i="3"/>
  <c r="O57" i="3"/>
  <c r="P57" i="3"/>
  <c r="M58" i="3"/>
  <c r="N58" i="3"/>
  <c r="O58" i="3"/>
  <c r="P58" i="3"/>
  <c r="M59" i="3"/>
  <c r="N59" i="3"/>
  <c r="O59" i="3"/>
  <c r="P59" i="3"/>
  <c r="M60" i="3"/>
  <c r="N60" i="3"/>
  <c r="O60" i="3"/>
  <c r="P60" i="3"/>
  <c r="M61" i="3"/>
  <c r="N61" i="3"/>
  <c r="O61" i="3"/>
  <c r="P61" i="3"/>
  <c r="M62" i="3"/>
  <c r="N62" i="3"/>
  <c r="O62" i="3"/>
  <c r="P62" i="3"/>
  <c r="M80" i="3"/>
  <c r="N80" i="3"/>
  <c r="O80" i="3"/>
  <c r="P80" i="3"/>
  <c r="M81" i="3"/>
  <c r="N81" i="3"/>
  <c r="O81" i="3"/>
  <c r="P81" i="3"/>
  <c r="M82" i="3"/>
  <c r="N82" i="3"/>
  <c r="O82" i="3"/>
  <c r="P82" i="3"/>
  <c r="M83" i="3"/>
  <c r="N83" i="3"/>
  <c r="O83" i="3"/>
  <c r="P83" i="3"/>
  <c r="M84" i="3"/>
  <c r="N84" i="3"/>
  <c r="O84" i="3"/>
  <c r="P84" i="3"/>
  <c r="M79" i="3"/>
  <c r="N79" i="3"/>
  <c r="O79" i="3"/>
  <c r="P79" i="3"/>
  <c r="M114" i="3"/>
  <c r="N114" i="3"/>
  <c r="O114" i="3"/>
  <c r="P114" i="3"/>
  <c r="M115" i="3"/>
  <c r="N115" i="3"/>
  <c r="O115" i="3"/>
  <c r="P115" i="3"/>
  <c r="M116" i="3"/>
  <c r="N116" i="3"/>
  <c r="O116" i="3"/>
  <c r="P116" i="3"/>
  <c r="M117" i="3"/>
  <c r="N117" i="3"/>
  <c r="O117" i="3"/>
  <c r="P117" i="3"/>
  <c r="M118" i="3"/>
  <c r="N118" i="3"/>
  <c r="O118" i="3"/>
  <c r="P118" i="3"/>
  <c r="M119" i="3"/>
  <c r="N119" i="3"/>
  <c r="O119" i="3"/>
  <c r="P119" i="3"/>
  <c r="M120" i="3"/>
  <c r="N120" i="3"/>
  <c r="O120" i="3"/>
  <c r="P120" i="3"/>
  <c r="M121" i="3"/>
  <c r="N121" i="3"/>
  <c r="O121" i="3"/>
  <c r="P121" i="3"/>
  <c r="M122" i="3"/>
  <c r="N122" i="3"/>
  <c r="O122" i="3"/>
  <c r="P122" i="3"/>
  <c r="M123" i="3"/>
  <c r="N123" i="3"/>
  <c r="O123" i="3"/>
  <c r="P123" i="3"/>
  <c r="M124" i="3"/>
  <c r="N124" i="3"/>
  <c r="O124" i="3"/>
  <c r="P124" i="3"/>
  <c r="M125" i="3"/>
  <c r="N125" i="3"/>
  <c r="O125" i="3"/>
  <c r="P125" i="3"/>
  <c r="M126" i="3"/>
  <c r="N126" i="3"/>
  <c r="O126" i="3"/>
  <c r="P126" i="3"/>
  <c r="M127" i="3"/>
  <c r="N127" i="3"/>
  <c r="O127" i="3"/>
  <c r="P127" i="3"/>
  <c r="M128" i="3"/>
  <c r="N128" i="3"/>
  <c r="O128" i="3"/>
  <c r="P128" i="3"/>
  <c r="M129" i="3"/>
  <c r="N129" i="3"/>
  <c r="O129" i="3"/>
  <c r="P129" i="3"/>
  <c r="M130" i="3"/>
  <c r="N130" i="3"/>
  <c r="O130" i="3"/>
  <c r="P130" i="3"/>
  <c r="M131" i="3"/>
  <c r="N131" i="3"/>
  <c r="O131" i="3"/>
  <c r="P131" i="3"/>
  <c r="M132" i="3"/>
  <c r="N132" i="3"/>
  <c r="O132" i="3"/>
  <c r="P132" i="3"/>
  <c r="M133" i="3"/>
  <c r="N133" i="3"/>
  <c r="O133" i="3"/>
  <c r="P133" i="3"/>
  <c r="M134" i="3"/>
  <c r="N134" i="3"/>
  <c r="O134" i="3"/>
  <c r="P134" i="3"/>
  <c r="M135" i="3"/>
  <c r="N135" i="3"/>
  <c r="O135" i="3"/>
  <c r="P135" i="3"/>
  <c r="M112" i="3"/>
  <c r="N112" i="3"/>
  <c r="O112" i="3"/>
  <c r="P112" i="3"/>
  <c r="M113" i="3"/>
  <c r="N113" i="3"/>
  <c r="O113" i="3"/>
  <c r="P113" i="3"/>
  <c r="M103" i="3"/>
  <c r="O103" i="3"/>
  <c r="M104" i="3"/>
  <c r="N104" i="3"/>
  <c r="O104" i="3"/>
  <c r="P104" i="3"/>
  <c r="M105" i="3"/>
  <c r="N105" i="3"/>
  <c r="O105" i="3"/>
  <c r="P105" i="3"/>
  <c r="M106" i="3"/>
  <c r="N106" i="3"/>
  <c r="O106" i="3"/>
  <c r="P106" i="3"/>
  <c r="M107" i="3"/>
  <c r="N107" i="3"/>
  <c r="O107" i="3"/>
  <c r="P107" i="3"/>
  <c r="M108" i="3"/>
  <c r="N108" i="3"/>
  <c r="O108" i="3"/>
  <c r="P108" i="3"/>
  <c r="M109" i="3"/>
  <c r="N109" i="3"/>
  <c r="O109" i="3"/>
  <c r="P109" i="3"/>
  <c r="M110" i="3"/>
  <c r="N110" i="3"/>
  <c r="O110" i="3"/>
  <c r="P110" i="3"/>
  <c r="M111" i="3"/>
  <c r="N111" i="3"/>
  <c r="O111" i="3"/>
  <c r="P111" i="3"/>
  <c r="L93" i="3"/>
  <c r="M96" i="3"/>
  <c r="N96" i="3"/>
  <c r="O96" i="3"/>
  <c r="P96" i="3"/>
  <c r="M97" i="3"/>
  <c r="N97" i="3"/>
  <c r="O97" i="3"/>
  <c r="P97" i="3"/>
  <c r="M98" i="3"/>
  <c r="N98" i="3"/>
  <c r="O98" i="3"/>
  <c r="P98" i="3"/>
  <c r="M99" i="3"/>
  <c r="N99" i="3"/>
  <c r="O99" i="3"/>
  <c r="P99" i="3"/>
  <c r="M100" i="3"/>
  <c r="N100" i="3"/>
  <c r="O100" i="3"/>
  <c r="P100" i="3"/>
  <c r="M101" i="3"/>
  <c r="N101" i="3"/>
  <c r="O101" i="3"/>
  <c r="P101" i="3"/>
  <c r="M102" i="3"/>
  <c r="N102" i="3"/>
  <c r="O102" i="3"/>
  <c r="P102" i="3"/>
  <c r="M85" i="3"/>
  <c r="N85" i="3"/>
  <c r="O85" i="3"/>
  <c r="P85" i="3"/>
  <c r="M86" i="3"/>
  <c r="N86" i="3"/>
  <c r="O86" i="3"/>
  <c r="P86" i="3"/>
  <c r="M87" i="3"/>
  <c r="N87" i="3"/>
  <c r="O87" i="3"/>
  <c r="P87" i="3"/>
  <c r="M88" i="3"/>
  <c r="N88" i="3"/>
  <c r="O88" i="3"/>
  <c r="P88" i="3"/>
  <c r="M89" i="3"/>
  <c r="N89" i="3"/>
  <c r="O89" i="3"/>
  <c r="P89" i="3"/>
  <c r="M90" i="3"/>
  <c r="O90" i="3"/>
  <c r="M91" i="3"/>
  <c r="N91" i="3"/>
  <c r="O91" i="3"/>
  <c r="P91" i="3"/>
  <c r="M92" i="3"/>
  <c r="N92" i="3"/>
  <c r="O92" i="3"/>
  <c r="P92" i="3"/>
  <c r="M93" i="3"/>
  <c r="N93" i="3"/>
  <c r="O93" i="3"/>
  <c r="P93" i="3"/>
  <c r="N94" i="3"/>
  <c r="O94" i="3"/>
  <c r="P94" i="3"/>
  <c r="M94" i="3"/>
  <c r="M40" i="3"/>
  <c r="N40" i="3"/>
  <c r="O40" i="3"/>
  <c r="P40" i="3"/>
  <c r="M41" i="3"/>
  <c r="N41" i="3"/>
  <c r="O41" i="3"/>
  <c r="P41" i="3"/>
  <c r="M42" i="3"/>
  <c r="N42" i="3"/>
  <c r="O42" i="3"/>
  <c r="P42" i="3"/>
  <c r="M43" i="3"/>
  <c r="N43" i="3"/>
  <c r="O43" i="3"/>
  <c r="P43" i="3"/>
  <c r="M44" i="3"/>
  <c r="N44" i="3"/>
  <c r="O44" i="3"/>
  <c r="P44" i="3"/>
  <c r="M45" i="3"/>
  <c r="N45" i="3"/>
  <c r="O45" i="3"/>
  <c r="P45" i="3"/>
  <c r="M46" i="3"/>
  <c r="N46" i="3"/>
  <c r="O46" i="3"/>
  <c r="P46" i="3"/>
  <c r="M39" i="3"/>
  <c r="N39" i="3"/>
  <c r="O39" i="3"/>
  <c r="P39" i="3"/>
  <c r="M37" i="3"/>
  <c r="N37" i="3"/>
  <c r="O37" i="3"/>
  <c r="P37" i="3"/>
  <c r="M38" i="3"/>
  <c r="N38" i="3"/>
  <c r="O38" i="3"/>
  <c r="P38" i="3"/>
  <c r="U35" i="3"/>
  <c r="V35" i="3"/>
  <c r="W35" i="3"/>
  <c r="X35" i="3"/>
  <c r="U36" i="3"/>
  <c r="V36" i="3"/>
  <c r="W36" i="3"/>
  <c r="X36" i="3"/>
  <c r="M35" i="3"/>
  <c r="N35" i="3"/>
  <c r="O35" i="3"/>
  <c r="P35" i="3"/>
  <c r="M36" i="3"/>
  <c r="N36" i="3"/>
  <c r="O36" i="3"/>
  <c r="P36" i="3"/>
  <c r="M29" i="3"/>
  <c r="N29" i="3"/>
  <c r="O29" i="3"/>
  <c r="P29" i="3"/>
  <c r="M30" i="3"/>
  <c r="N30" i="3"/>
  <c r="O30" i="3"/>
  <c r="P30" i="3"/>
  <c r="M31" i="3"/>
  <c r="N31" i="3"/>
  <c r="O31" i="3"/>
  <c r="P31" i="3"/>
  <c r="M32" i="3"/>
  <c r="N32" i="3"/>
  <c r="O32" i="3"/>
  <c r="P32" i="3"/>
  <c r="M27" i="3"/>
  <c r="N27" i="3"/>
  <c r="O27" i="3"/>
  <c r="P27" i="3"/>
  <c r="M28" i="3"/>
  <c r="N28" i="3"/>
  <c r="O28" i="3"/>
  <c r="P28" i="3"/>
  <c r="M33" i="3"/>
  <c r="N33" i="3"/>
  <c r="O33" i="3"/>
  <c r="P33" i="3"/>
  <c r="M34" i="3"/>
  <c r="N34" i="3"/>
  <c r="O34" i="3"/>
  <c r="P34" i="3"/>
  <c r="M26" i="3"/>
  <c r="N26" i="3"/>
  <c r="O26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95" i="3"/>
  <c r="P3" i="3"/>
  <c r="O25" i="3"/>
  <c r="N24" i="3"/>
  <c r="M7" i="3"/>
  <c r="N7" i="3"/>
  <c r="O7" i="3"/>
  <c r="M8" i="3"/>
  <c r="N8" i="3"/>
  <c r="O8" i="3"/>
  <c r="M9" i="3"/>
  <c r="N9" i="3"/>
  <c r="O9" i="3"/>
  <c r="M10" i="3"/>
  <c r="N10" i="3"/>
  <c r="O10" i="3"/>
  <c r="M11" i="3"/>
  <c r="N11" i="3"/>
  <c r="O11" i="3"/>
  <c r="M12" i="3"/>
  <c r="N12" i="3"/>
  <c r="O12" i="3"/>
  <c r="M13" i="3"/>
  <c r="N13" i="3"/>
  <c r="O13" i="3"/>
  <c r="M14" i="3"/>
  <c r="N14" i="3"/>
  <c r="O14" i="3"/>
  <c r="M15" i="3"/>
  <c r="N15" i="3"/>
  <c r="O15" i="3"/>
  <c r="M16" i="3"/>
  <c r="N16" i="3"/>
  <c r="O16" i="3"/>
  <c r="M17" i="3"/>
  <c r="N17" i="3"/>
  <c r="O17" i="3"/>
  <c r="M18" i="3"/>
  <c r="N18" i="3"/>
  <c r="O18" i="3"/>
  <c r="M19" i="3"/>
  <c r="N19" i="3"/>
  <c r="O19" i="3"/>
  <c r="M20" i="3"/>
  <c r="N20" i="3"/>
  <c r="O20" i="3"/>
  <c r="M21" i="3"/>
  <c r="N21" i="3"/>
  <c r="O21" i="3"/>
  <c r="M22" i="3"/>
  <c r="N22" i="3"/>
  <c r="O22" i="3"/>
  <c r="M23" i="3"/>
  <c r="N23" i="3"/>
  <c r="O23" i="3"/>
  <c r="M6" i="3"/>
  <c r="N6" i="3"/>
  <c r="N25" i="3" l="1"/>
  <c r="M25" i="3"/>
  <c r="O24" i="3"/>
  <c r="M24" i="3"/>
  <c r="M4" i="3" l="1"/>
  <c r="N4" i="3"/>
  <c r="O4" i="3"/>
  <c r="M5" i="3"/>
  <c r="N5" i="3"/>
  <c r="O5" i="3"/>
  <c r="O6" i="3"/>
  <c r="M95" i="3"/>
  <c r="N95" i="3"/>
  <c r="O95" i="3"/>
  <c r="J136" i="3"/>
  <c r="J138" i="3" s="1"/>
  <c r="K136" i="3"/>
  <c r="L136" i="3"/>
  <c r="L138" i="3" s="1"/>
  <c r="M136" i="3" l="1"/>
  <c r="O136" i="3"/>
  <c r="K138" i="3"/>
  <c r="M3" i="3"/>
  <c r="O3" i="3"/>
  <c r="N3" i="3"/>
  <c r="K67" i="5"/>
  <c r="L67" i="5"/>
  <c r="M67" i="5"/>
  <c r="L36" i="5" l="1"/>
  <c r="N46" i="5"/>
  <c r="N47" i="5"/>
  <c r="N48" i="5"/>
  <c r="N49" i="5"/>
  <c r="L42" i="5"/>
  <c r="N31" i="5"/>
  <c r="L32" i="5"/>
  <c r="N32" i="5" s="1"/>
  <c r="N30" i="5"/>
  <c r="N33" i="5"/>
  <c r="N34" i="5"/>
  <c r="N35" i="5"/>
  <c r="N37" i="5"/>
  <c r="N38" i="5"/>
  <c r="N39" i="5"/>
  <c r="K53" i="5"/>
  <c r="N36" i="5" l="1"/>
  <c r="N12" i="5" l="1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11" i="5"/>
  <c r="N10" i="5"/>
  <c r="N9" i="5"/>
  <c r="N8" i="5"/>
  <c r="N7" i="5"/>
  <c r="N6" i="5"/>
  <c r="N5" i="5"/>
  <c r="N4" i="5"/>
  <c r="N3" i="5"/>
  <c r="N2" i="5"/>
  <c r="Q65" i="5" l="1"/>
  <c r="P65" i="5"/>
  <c r="O65" i="5"/>
  <c r="N65" i="5"/>
  <c r="Q64" i="5"/>
  <c r="P64" i="5"/>
  <c r="O64" i="5"/>
  <c r="N64" i="5"/>
  <c r="Q63" i="5"/>
  <c r="P63" i="5"/>
  <c r="O63" i="5"/>
  <c r="N63" i="5"/>
  <c r="Q62" i="5"/>
  <c r="P62" i="5"/>
  <c r="O62" i="5"/>
  <c r="N62" i="5"/>
  <c r="Q61" i="5"/>
  <c r="P61" i="5"/>
  <c r="O61" i="5"/>
  <c r="N61" i="5"/>
  <c r="Q60" i="5"/>
  <c r="P60" i="5"/>
  <c r="O60" i="5"/>
  <c r="Q59" i="5"/>
  <c r="P59" i="5"/>
  <c r="O59" i="5"/>
  <c r="N59" i="5"/>
  <c r="Q58" i="5"/>
  <c r="P58" i="5"/>
  <c r="O58" i="5"/>
  <c r="N58" i="5"/>
  <c r="Q57" i="5"/>
  <c r="P57" i="5"/>
  <c r="O57" i="5"/>
  <c r="N57" i="5"/>
  <c r="Q56" i="5"/>
  <c r="P56" i="5"/>
  <c r="O56" i="5"/>
  <c r="N56" i="5"/>
  <c r="Q55" i="5"/>
  <c r="P55" i="5"/>
  <c r="O55" i="5"/>
  <c r="N55" i="5"/>
  <c r="Q54" i="5"/>
  <c r="P54" i="5"/>
  <c r="O54" i="5"/>
  <c r="N54" i="5"/>
  <c r="Q53" i="5"/>
  <c r="P53" i="5"/>
  <c r="O53" i="5"/>
  <c r="N53" i="5"/>
  <c r="Q52" i="5"/>
  <c r="P52" i="5"/>
  <c r="O52" i="5"/>
  <c r="N52" i="5"/>
  <c r="Q49" i="5"/>
  <c r="P49" i="5"/>
  <c r="O49" i="5"/>
  <c r="Q48" i="5"/>
  <c r="P48" i="5"/>
  <c r="O48" i="5"/>
  <c r="Q47" i="5"/>
  <c r="P47" i="5"/>
  <c r="O47" i="5"/>
  <c r="Q46" i="5"/>
  <c r="P46" i="5"/>
  <c r="O46" i="5"/>
  <c r="Q45" i="5"/>
  <c r="P45" i="5"/>
  <c r="O45" i="5"/>
  <c r="N45" i="5"/>
  <c r="Q44" i="5"/>
  <c r="P44" i="5"/>
  <c r="O44" i="5"/>
  <c r="N44" i="5"/>
  <c r="Q43" i="5"/>
  <c r="P43" i="5"/>
  <c r="O43" i="5"/>
  <c r="N43" i="5"/>
  <c r="Q42" i="5"/>
  <c r="P42" i="5"/>
  <c r="O42" i="5"/>
  <c r="N42" i="5"/>
  <c r="Q41" i="5"/>
  <c r="P41" i="5"/>
  <c r="O41" i="5"/>
  <c r="N41" i="5"/>
  <c r="Q40" i="5"/>
  <c r="P40" i="5"/>
  <c r="O40" i="5"/>
  <c r="N40" i="5"/>
  <c r="Q39" i="5"/>
  <c r="P39" i="5"/>
  <c r="O39" i="5"/>
  <c r="Q38" i="5"/>
  <c r="P38" i="5"/>
  <c r="O38" i="5"/>
  <c r="Q37" i="5"/>
  <c r="P37" i="5"/>
  <c r="O37" i="5"/>
  <c r="Q36" i="5"/>
  <c r="P36" i="5"/>
  <c r="O36" i="5"/>
  <c r="Q35" i="5"/>
  <c r="P35" i="5"/>
  <c r="O35" i="5"/>
  <c r="Q34" i="5"/>
  <c r="P34" i="5"/>
  <c r="O34" i="5"/>
  <c r="Q33" i="5"/>
  <c r="P33" i="5"/>
  <c r="O33" i="5"/>
  <c r="Q32" i="5"/>
  <c r="P32" i="5"/>
  <c r="O32" i="5"/>
  <c r="Q31" i="5"/>
  <c r="P31" i="5"/>
  <c r="O31" i="5"/>
  <c r="Q30" i="5"/>
  <c r="P30" i="5"/>
  <c r="O30" i="5"/>
  <c r="Q29" i="5"/>
  <c r="P29" i="5"/>
  <c r="O29" i="5"/>
  <c r="N29" i="5"/>
  <c r="Q25" i="5"/>
  <c r="P25" i="5"/>
  <c r="O25" i="5"/>
  <c r="Q24" i="5"/>
  <c r="P24" i="5"/>
  <c r="O24" i="5"/>
  <c r="Q23" i="5"/>
  <c r="P23" i="5"/>
  <c r="O23" i="5"/>
  <c r="Q22" i="5"/>
  <c r="P22" i="5"/>
  <c r="O22" i="5"/>
  <c r="Q21" i="5"/>
  <c r="P21" i="5"/>
  <c r="O21" i="5"/>
  <c r="Q20" i="5"/>
  <c r="P20" i="5"/>
  <c r="O20" i="5"/>
  <c r="Q19" i="5"/>
  <c r="P19" i="5"/>
  <c r="O19" i="5"/>
  <c r="Q18" i="5"/>
  <c r="P18" i="5"/>
  <c r="O18" i="5"/>
  <c r="Q17" i="5"/>
  <c r="P17" i="5"/>
  <c r="O17" i="5"/>
  <c r="Q16" i="5"/>
  <c r="P16" i="5"/>
  <c r="O16" i="5"/>
  <c r="Q15" i="5"/>
  <c r="P15" i="5"/>
  <c r="O15" i="5"/>
  <c r="Q14" i="5"/>
  <c r="P14" i="5"/>
  <c r="O14" i="5"/>
  <c r="Q13" i="5"/>
  <c r="P13" i="5"/>
  <c r="O13" i="5"/>
  <c r="Q12" i="5"/>
  <c r="P12" i="5"/>
  <c r="O12" i="5"/>
  <c r="Q11" i="5"/>
  <c r="P11" i="5"/>
  <c r="O11" i="5"/>
  <c r="Q10" i="5"/>
  <c r="P10" i="5"/>
  <c r="O10" i="5"/>
  <c r="Q9" i="5"/>
  <c r="P9" i="5"/>
  <c r="O9" i="5"/>
  <c r="Q8" i="5"/>
  <c r="P8" i="5"/>
  <c r="O8" i="5"/>
  <c r="Q7" i="5"/>
  <c r="P7" i="5"/>
  <c r="O7" i="5"/>
  <c r="Q6" i="5"/>
  <c r="P6" i="5"/>
  <c r="O6" i="5"/>
  <c r="Q5" i="5"/>
  <c r="P5" i="5"/>
  <c r="O5" i="5"/>
  <c r="Q4" i="5"/>
  <c r="P4" i="5"/>
  <c r="O4" i="5"/>
  <c r="Q3" i="5"/>
  <c r="P3" i="5"/>
  <c r="O3" i="5"/>
  <c r="Q2" i="5"/>
  <c r="P2" i="5"/>
  <c r="O2" i="5"/>
  <c r="Q26" i="5"/>
  <c r="M69" i="5"/>
  <c r="N60" i="5"/>
  <c r="L20" i="5"/>
  <c r="L69" i="5" s="1"/>
  <c r="J67" i="5"/>
  <c r="N67" i="5" l="1"/>
  <c r="Q67" i="5"/>
  <c r="P67" i="5"/>
  <c r="O67" i="5"/>
  <c r="L221" i="4" l="1"/>
  <c r="M221" i="4"/>
  <c r="N221" i="4"/>
  <c r="O13" i="4"/>
  <c r="P13" i="4"/>
  <c r="Q13" i="4"/>
  <c r="R13" i="4"/>
  <c r="O14" i="4"/>
  <c r="P14" i="4"/>
  <c r="Q14" i="4"/>
  <c r="R14" i="4"/>
  <c r="O15" i="4"/>
  <c r="P15" i="4"/>
  <c r="Q15" i="4"/>
  <c r="R15" i="4"/>
  <c r="O16" i="4"/>
  <c r="P16" i="4"/>
  <c r="Q16" i="4"/>
  <c r="R16" i="4"/>
  <c r="O17" i="4"/>
  <c r="P17" i="4"/>
  <c r="Q17" i="4"/>
  <c r="R17" i="4"/>
  <c r="O18" i="4"/>
  <c r="P18" i="4"/>
  <c r="Q18" i="4"/>
  <c r="R18" i="4"/>
  <c r="O19" i="4"/>
  <c r="P19" i="4"/>
  <c r="Q19" i="4"/>
  <c r="R19" i="4"/>
  <c r="O20" i="4"/>
  <c r="P20" i="4"/>
  <c r="Q20" i="4"/>
  <c r="R20" i="4"/>
  <c r="O21" i="4"/>
  <c r="P21" i="4"/>
  <c r="Q21" i="4"/>
  <c r="R21" i="4"/>
  <c r="O22" i="4"/>
  <c r="P22" i="4"/>
  <c r="Q22" i="4"/>
  <c r="R22" i="4"/>
  <c r="P23" i="4"/>
  <c r="Q23" i="4"/>
  <c r="R23" i="4"/>
  <c r="O24" i="4"/>
  <c r="P24" i="4"/>
  <c r="Q24" i="4"/>
  <c r="R24" i="4"/>
  <c r="O25" i="4"/>
  <c r="P25" i="4"/>
  <c r="Q25" i="4"/>
  <c r="R25" i="4"/>
  <c r="O26" i="4"/>
  <c r="P26" i="4"/>
  <c r="Q26" i="4"/>
  <c r="R26" i="4"/>
  <c r="O27" i="4"/>
  <c r="P27" i="4"/>
  <c r="Q27" i="4"/>
  <c r="R27" i="4"/>
  <c r="O28" i="4"/>
  <c r="P28" i="4"/>
  <c r="Q28" i="4"/>
  <c r="R28" i="4"/>
  <c r="O29" i="4"/>
  <c r="P29" i="4"/>
  <c r="Q29" i="4"/>
  <c r="R29" i="4"/>
  <c r="O30" i="4"/>
  <c r="P30" i="4"/>
  <c r="Q30" i="4"/>
  <c r="R30" i="4"/>
  <c r="O31" i="4"/>
  <c r="P31" i="4"/>
  <c r="Q31" i="4"/>
  <c r="R31" i="4"/>
  <c r="O32" i="4"/>
  <c r="P32" i="4"/>
  <c r="Q32" i="4"/>
  <c r="R32" i="4"/>
  <c r="O33" i="4"/>
  <c r="P33" i="4"/>
  <c r="Q33" i="4"/>
  <c r="R33" i="4"/>
  <c r="O34" i="4"/>
  <c r="P34" i="4"/>
  <c r="Q34" i="4"/>
  <c r="R34" i="4"/>
  <c r="O35" i="4"/>
  <c r="P35" i="4"/>
  <c r="Q35" i="4"/>
  <c r="R35" i="4"/>
  <c r="O36" i="4"/>
  <c r="P36" i="4"/>
  <c r="Q36" i="4"/>
  <c r="R36" i="4"/>
  <c r="O37" i="4"/>
  <c r="P37" i="4"/>
  <c r="Q37" i="4"/>
  <c r="R37" i="4"/>
  <c r="O38" i="4"/>
  <c r="P38" i="4"/>
  <c r="Q38" i="4"/>
  <c r="R38" i="4"/>
  <c r="O39" i="4"/>
  <c r="P39" i="4"/>
  <c r="Q39" i="4"/>
  <c r="R39" i="4"/>
  <c r="O40" i="4"/>
  <c r="P40" i="4"/>
  <c r="Q40" i="4"/>
  <c r="R40" i="4"/>
  <c r="O41" i="4"/>
  <c r="P41" i="4"/>
  <c r="Q41" i="4"/>
  <c r="R41" i="4"/>
  <c r="O42" i="4"/>
  <c r="P42" i="4"/>
  <c r="Q42" i="4"/>
  <c r="R42" i="4"/>
  <c r="O43" i="4"/>
  <c r="P43" i="4"/>
  <c r="Q43" i="4"/>
  <c r="R43" i="4"/>
  <c r="O44" i="4"/>
  <c r="P44" i="4"/>
  <c r="Q44" i="4"/>
  <c r="R44" i="4"/>
  <c r="O45" i="4"/>
  <c r="P45" i="4"/>
  <c r="Q45" i="4"/>
  <c r="R45" i="4"/>
  <c r="O46" i="4"/>
  <c r="P46" i="4"/>
  <c r="Q46" i="4"/>
  <c r="R46" i="4"/>
  <c r="O47" i="4"/>
  <c r="P47" i="4"/>
  <c r="Q47" i="4"/>
  <c r="R47" i="4"/>
  <c r="O48" i="4"/>
  <c r="P48" i="4"/>
  <c r="Q48" i="4"/>
  <c r="R48" i="4"/>
  <c r="O49" i="4"/>
  <c r="P49" i="4"/>
  <c r="Q49" i="4"/>
  <c r="R49" i="4"/>
  <c r="O50" i="4"/>
  <c r="P50" i="4"/>
  <c r="Q50" i="4"/>
  <c r="R50" i="4"/>
  <c r="O51" i="4"/>
  <c r="P51" i="4"/>
  <c r="Q51" i="4"/>
  <c r="R51" i="4"/>
  <c r="O52" i="4"/>
  <c r="P52" i="4"/>
  <c r="Q52" i="4"/>
  <c r="R52" i="4"/>
  <c r="O53" i="4"/>
  <c r="P53" i="4"/>
  <c r="Q53" i="4"/>
  <c r="R53" i="4"/>
  <c r="O54" i="4"/>
  <c r="P54" i="4"/>
  <c r="Q54" i="4"/>
  <c r="R54" i="4"/>
  <c r="O55" i="4"/>
  <c r="P55" i="4"/>
  <c r="Q55" i="4"/>
  <c r="R55" i="4"/>
  <c r="O56" i="4"/>
  <c r="P56" i="4"/>
  <c r="Q56" i="4"/>
  <c r="R56" i="4"/>
  <c r="O57" i="4"/>
  <c r="P57" i="4"/>
  <c r="Q57" i="4"/>
  <c r="R57" i="4"/>
  <c r="O58" i="4"/>
  <c r="P58" i="4"/>
  <c r="Q58" i="4"/>
  <c r="R58" i="4"/>
  <c r="O59" i="4"/>
  <c r="P59" i="4"/>
  <c r="Q59" i="4"/>
  <c r="R59" i="4"/>
  <c r="O60" i="4"/>
  <c r="P60" i="4"/>
  <c r="Q60" i="4"/>
  <c r="R60" i="4"/>
  <c r="O61" i="4"/>
  <c r="P61" i="4"/>
  <c r="Q61" i="4"/>
  <c r="R61" i="4"/>
  <c r="O62" i="4"/>
  <c r="P62" i="4"/>
  <c r="Q62" i="4"/>
  <c r="R62" i="4"/>
  <c r="O63" i="4"/>
  <c r="P63" i="4"/>
  <c r="Q63" i="4"/>
  <c r="R63" i="4"/>
  <c r="O64" i="4"/>
  <c r="P64" i="4"/>
  <c r="Q64" i="4"/>
  <c r="R64" i="4"/>
  <c r="O65" i="4"/>
  <c r="P65" i="4"/>
  <c r="Q65" i="4"/>
  <c r="R65" i="4"/>
  <c r="O66" i="4"/>
  <c r="P66" i="4"/>
  <c r="Q66" i="4"/>
  <c r="R66" i="4"/>
  <c r="O67" i="4"/>
  <c r="P67" i="4"/>
  <c r="Q67" i="4"/>
  <c r="R67" i="4"/>
  <c r="O68" i="4"/>
  <c r="P68" i="4"/>
  <c r="Q68" i="4"/>
  <c r="R68" i="4"/>
  <c r="O69" i="4"/>
  <c r="P69" i="4"/>
  <c r="Q69" i="4"/>
  <c r="R69" i="4"/>
  <c r="O70" i="4"/>
  <c r="P70" i="4"/>
  <c r="Q70" i="4"/>
  <c r="R70" i="4"/>
  <c r="O71" i="4"/>
  <c r="P71" i="4"/>
  <c r="Q71" i="4"/>
  <c r="R71" i="4"/>
  <c r="O72" i="4"/>
  <c r="P72" i="4"/>
  <c r="Q72" i="4"/>
  <c r="R72" i="4"/>
  <c r="O73" i="4"/>
  <c r="P73" i="4"/>
  <c r="Q73" i="4"/>
  <c r="R73" i="4"/>
  <c r="O74" i="4"/>
  <c r="P74" i="4"/>
  <c r="Q74" i="4"/>
  <c r="R74" i="4"/>
  <c r="O75" i="4"/>
  <c r="P75" i="4"/>
  <c r="Q75" i="4"/>
  <c r="R75" i="4"/>
  <c r="O76" i="4"/>
  <c r="P76" i="4"/>
  <c r="Q76" i="4"/>
  <c r="R76" i="4"/>
  <c r="O77" i="4"/>
  <c r="P77" i="4"/>
  <c r="Q77" i="4"/>
  <c r="R77" i="4"/>
  <c r="O78" i="4"/>
  <c r="P78" i="4"/>
  <c r="Q78" i="4"/>
  <c r="R78" i="4"/>
  <c r="O79" i="4"/>
  <c r="P79" i="4"/>
  <c r="Q79" i="4"/>
  <c r="R79" i="4"/>
  <c r="O80" i="4"/>
  <c r="P80" i="4"/>
  <c r="Q80" i="4"/>
  <c r="R80" i="4"/>
  <c r="O81" i="4"/>
  <c r="P81" i="4"/>
  <c r="Q81" i="4"/>
  <c r="R81" i="4"/>
  <c r="O82" i="4"/>
  <c r="P82" i="4"/>
  <c r="Q82" i="4"/>
  <c r="R82" i="4"/>
  <c r="O83" i="4"/>
  <c r="P83" i="4"/>
  <c r="Q83" i="4"/>
  <c r="R83" i="4"/>
  <c r="O84" i="4"/>
  <c r="P84" i="4"/>
  <c r="Q84" i="4"/>
  <c r="R84" i="4"/>
  <c r="O85" i="4"/>
  <c r="P85" i="4"/>
  <c r="Q85" i="4"/>
  <c r="R85" i="4"/>
  <c r="O86" i="4"/>
  <c r="P86" i="4"/>
  <c r="Q86" i="4"/>
  <c r="R86" i="4"/>
  <c r="O87" i="4"/>
  <c r="P87" i="4"/>
  <c r="Q87" i="4"/>
  <c r="R87" i="4"/>
  <c r="O88" i="4"/>
  <c r="P88" i="4"/>
  <c r="Q88" i="4"/>
  <c r="R88" i="4"/>
  <c r="O89" i="4"/>
  <c r="P89" i="4"/>
  <c r="Q89" i="4"/>
  <c r="R89" i="4"/>
  <c r="O90" i="4"/>
  <c r="P90" i="4"/>
  <c r="Q90" i="4"/>
  <c r="R90" i="4"/>
  <c r="O91" i="4"/>
  <c r="P91" i="4"/>
  <c r="Q91" i="4"/>
  <c r="R91" i="4"/>
  <c r="O92" i="4"/>
  <c r="P92" i="4"/>
  <c r="Q92" i="4"/>
  <c r="R92" i="4"/>
  <c r="O93" i="4"/>
  <c r="P93" i="4"/>
  <c r="Q93" i="4"/>
  <c r="R93" i="4"/>
  <c r="O94" i="4"/>
  <c r="P94" i="4"/>
  <c r="Q94" i="4"/>
  <c r="R94" i="4"/>
  <c r="O95" i="4"/>
  <c r="P95" i="4"/>
  <c r="Q95" i="4"/>
  <c r="R95" i="4"/>
  <c r="O96" i="4"/>
  <c r="P96" i="4"/>
  <c r="Q96" i="4"/>
  <c r="R96" i="4"/>
  <c r="O97" i="4"/>
  <c r="P97" i="4"/>
  <c r="Q97" i="4"/>
  <c r="R97" i="4"/>
  <c r="O98" i="4"/>
  <c r="P98" i="4"/>
  <c r="Q98" i="4"/>
  <c r="R98" i="4"/>
  <c r="O99" i="4"/>
  <c r="P99" i="4"/>
  <c r="Q99" i="4"/>
  <c r="R99" i="4"/>
  <c r="O100" i="4"/>
  <c r="P100" i="4"/>
  <c r="Q100" i="4"/>
  <c r="R100" i="4"/>
  <c r="O101" i="4"/>
  <c r="P101" i="4"/>
  <c r="Q101" i="4"/>
  <c r="R101" i="4"/>
  <c r="O102" i="4"/>
  <c r="P102" i="4"/>
  <c r="Q102" i="4"/>
  <c r="R102" i="4"/>
  <c r="O103" i="4"/>
  <c r="P103" i="4"/>
  <c r="Q103" i="4"/>
  <c r="R103" i="4"/>
  <c r="O104" i="4"/>
  <c r="P104" i="4"/>
  <c r="Q104" i="4"/>
  <c r="R104" i="4"/>
  <c r="O105" i="4"/>
  <c r="P105" i="4"/>
  <c r="Q105" i="4"/>
  <c r="R105" i="4"/>
  <c r="O106" i="4"/>
  <c r="P106" i="4"/>
  <c r="Q106" i="4"/>
  <c r="R106" i="4"/>
  <c r="O107" i="4"/>
  <c r="P107" i="4"/>
  <c r="Q107" i="4"/>
  <c r="R107" i="4"/>
  <c r="O108" i="4"/>
  <c r="P108" i="4"/>
  <c r="Q108" i="4"/>
  <c r="R108" i="4"/>
  <c r="O109" i="4"/>
  <c r="P109" i="4"/>
  <c r="Q109" i="4"/>
  <c r="R109" i="4"/>
  <c r="O110" i="4"/>
  <c r="P110" i="4"/>
  <c r="Q110" i="4"/>
  <c r="R110" i="4"/>
  <c r="O111" i="4"/>
  <c r="P111" i="4"/>
  <c r="Q111" i="4"/>
  <c r="R111" i="4"/>
  <c r="O112" i="4"/>
  <c r="P112" i="4"/>
  <c r="Q112" i="4"/>
  <c r="R112" i="4"/>
  <c r="O113" i="4"/>
  <c r="P113" i="4"/>
  <c r="Q113" i="4"/>
  <c r="R113" i="4"/>
  <c r="O114" i="4"/>
  <c r="P114" i="4"/>
  <c r="Q114" i="4"/>
  <c r="R114" i="4"/>
  <c r="O115" i="4"/>
  <c r="P115" i="4"/>
  <c r="Q115" i="4"/>
  <c r="R115" i="4"/>
  <c r="O116" i="4"/>
  <c r="P116" i="4"/>
  <c r="Q116" i="4"/>
  <c r="R116" i="4"/>
  <c r="O117" i="4"/>
  <c r="P117" i="4"/>
  <c r="Q117" i="4"/>
  <c r="R117" i="4"/>
  <c r="O118" i="4"/>
  <c r="P118" i="4"/>
  <c r="Q118" i="4"/>
  <c r="R118" i="4"/>
  <c r="O119" i="4"/>
  <c r="P119" i="4"/>
  <c r="Q119" i="4"/>
  <c r="R119" i="4"/>
  <c r="O120" i="4"/>
  <c r="P120" i="4"/>
  <c r="Q120" i="4"/>
  <c r="R120" i="4"/>
  <c r="O121" i="4"/>
  <c r="P121" i="4"/>
  <c r="Q121" i="4"/>
  <c r="R121" i="4"/>
  <c r="O122" i="4"/>
  <c r="P122" i="4"/>
  <c r="Q122" i="4"/>
  <c r="R122" i="4"/>
  <c r="O123" i="4"/>
  <c r="P123" i="4"/>
  <c r="Q123" i="4"/>
  <c r="R123" i="4"/>
  <c r="O124" i="4"/>
  <c r="P124" i="4"/>
  <c r="Q124" i="4"/>
  <c r="R124" i="4"/>
  <c r="O125" i="4"/>
  <c r="P125" i="4"/>
  <c r="Q125" i="4"/>
  <c r="R125" i="4"/>
  <c r="O126" i="4"/>
  <c r="P126" i="4"/>
  <c r="Q126" i="4"/>
  <c r="R126" i="4"/>
  <c r="O127" i="4"/>
  <c r="P127" i="4"/>
  <c r="Q127" i="4"/>
  <c r="R127" i="4"/>
  <c r="O128" i="4"/>
  <c r="P128" i="4"/>
  <c r="Q128" i="4"/>
  <c r="R128" i="4"/>
  <c r="O129" i="4"/>
  <c r="P129" i="4"/>
  <c r="Q129" i="4"/>
  <c r="R129" i="4"/>
  <c r="O130" i="4"/>
  <c r="P130" i="4"/>
  <c r="Q130" i="4"/>
  <c r="R130" i="4"/>
  <c r="O131" i="4"/>
  <c r="P131" i="4"/>
  <c r="Q131" i="4"/>
  <c r="R131" i="4"/>
  <c r="O132" i="4"/>
  <c r="P132" i="4"/>
  <c r="Q132" i="4"/>
  <c r="R132" i="4"/>
  <c r="O133" i="4"/>
  <c r="P133" i="4"/>
  <c r="Q133" i="4"/>
  <c r="R133" i="4"/>
  <c r="O134" i="4"/>
  <c r="P134" i="4"/>
  <c r="Q134" i="4"/>
  <c r="R134" i="4"/>
  <c r="O135" i="4"/>
  <c r="P135" i="4"/>
  <c r="Q135" i="4"/>
  <c r="R135" i="4"/>
  <c r="O136" i="4"/>
  <c r="P136" i="4"/>
  <c r="Q136" i="4"/>
  <c r="R136" i="4"/>
  <c r="O137" i="4"/>
  <c r="P137" i="4"/>
  <c r="Q137" i="4"/>
  <c r="R137" i="4"/>
  <c r="O138" i="4"/>
  <c r="P138" i="4"/>
  <c r="Q138" i="4"/>
  <c r="R138" i="4"/>
  <c r="O139" i="4"/>
  <c r="P139" i="4"/>
  <c r="Q139" i="4"/>
  <c r="R139" i="4"/>
  <c r="O140" i="4"/>
  <c r="P140" i="4"/>
  <c r="Q140" i="4"/>
  <c r="R140" i="4"/>
  <c r="O141" i="4"/>
  <c r="P141" i="4"/>
  <c r="Q141" i="4"/>
  <c r="R141" i="4"/>
  <c r="O142" i="4"/>
  <c r="P142" i="4"/>
  <c r="Q142" i="4"/>
  <c r="R142" i="4"/>
  <c r="O143" i="4"/>
  <c r="P143" i="4"/>
  <c r="Q143" i="4"/>
  <c r="R143" i="4"/>
  <c r="O144" i="4"/>
  <c r="P144" i="4"/>
  <c r="Q144" i="4"/>
  <c r="R144" i="4"/>
  <c r="O145" i="4"/>
  <c r="P145" i="4"/>
  <c r="Q145" i="4"/>
  <c r="R145" i="4"/>
  <c r="O146" i="4"/>
  <c r="P146" i="4"/>
  <c r="Q146" i="4"/>
  <c r="R146" i="4"/>
  <c r="O147" i="4"/>
  <c r="P147" i="4"/>
  <c r="Q147" i="4"/>
  <c r="R147" i="4"/>
  <c r="O148" i="4"/>
  <c r="P148" i="4"/>
  <c r="Q148" i="4"/>
  <c r="R148" i="4"/>
  <c r="O149" i="4"/>
  <c r="P149" i="4"/>
  <c r="Q149" i="4"/>
  <c r="R149" i="4"/>
  <c r="O150" i="4"/>
  <c r="P150" i="4"/>
  <c r="Q150" i="4"/>
  <c r="R150" i="4"/>
  <c r="O151" i="4"/>
  <c r="P151" i="4"/>
  <c r="Q151" i="4"/>
  <c r="R151" i="4"/>
  <c r="O152" i="4"/>
  <c r="P152" i="4"/>
  <c r="Q152" i="4"/>
  <c r="R152" i="4"/>
  <c r="O153" i="4"/>
  <c r="P153" i="4"/>
  <c r="Q153" i="4"/>
  <c r="R153" i="4"/>
  <c r="O154" i="4"/>
  <c r="P154" i="4"/>
  <c r="Q154" i="4"/>
  <c r="R154" i="4"/>
  <c r="O155" i="4"/>
  <c r="P155" i="4"/>
  <c r="Q155" i="4"/>
  <c r="R155" i="4"/>
  <c r="O156" i="4"/>
  <c r="P156" i="4"/>
  <c r="Q156" i="4"/>
  <c r="R156" i="4"/>
  <c r="O157" i="4"/>
  <c r="P157" i="4"/>
  <c r="Q157" i="4"/>
  <c r="R157" i="4"/>
  <c r="O158" i="4"/>
  <c r="P158" i="4"/>
  <c r="Q158" i="4"/>
  <c r="R158" i="4"/>
  <c r="O159" i="4"/>
  <c r="P159" i="4"/>
  <c r="Q159" i="4"/>
  <c r="R159" i="4"/>
  <c r="O160" i="4"/>
  <c r="P160" i="4"/>
  <c r="Q160" i="4"/>
  <c r="R160" i="4"/>
  <c r="O161" i="4"/>
  <c r="P161" i="4"/>
  <c r="Q161" i="4"/>
  <c r="R161" i="4"/>
  <c r="O162" i="4"/>
  <c r="P162" i="4"/>
  <c r="Q162" i="4"/>
  <c r="R162" i="4"/>
  <c r="O163" i="4"/>
  <c r="P163" i="4"/>
  <c r="Q163" i="4"/>
  <c r="R163" i="4"/>
  <c r="O164" i="4"/>
  <c r="P164" i="4"/>
  <c r="Q164" i="4"/>
  <c r="R164" i="4"/>
  <c r="O165" i="4"/>
  <c r="P165" i="4"/>
  <c r="Q165" i="4"/>
  <c r="R165" i="4"/>
  <c r="O166" i="4"/>
  <c r="P166" i="4"/>
  <c r="Q166" i="4"/>
  <c r="R166" i="4"/>
  <c r="O167" i="4"/>
  <c r="P167" i="4"/>
  <c r="Q167" i="4"/>
  <c r="R167" i="4"/>
  <c r="O168" i="4"/>
  <c r="P168" i="4"/>
  <c r="Q168" i="4"/>
  <c r="R168" i="4"/>
  <c r="O169" i="4"/>
  <c r="P169" i="4"/>
  <c r="Q169" i="4"/>
  <c r="R169" i="4"/>
  <c r="O170" i="4"/>
  <c r="P170" i="4"/>
  <c r="Q170" i="4"/>
  <c r="R170" i="4"/>
  <c r="O171" i="4"/>
  <c r="P171" i="4"/>
  <c r="Q171" i="4"/>
  <c r="R171" i="4"/>
  <c r="O172" i="4"/>
  <c r="P172" i="4"/>
  <c r="Q172" i="4"/>
  <c r="R172" i="4"/>
  <c r="O173" i="4"/>
  <c r="P173" i="4"/>
  <c r="Q173" i="4"/>
  <c r="R173" i="4"/>
  <c r="O174" i="4"/>
  <c r="P174" i="4"/>
  <c r="Q174" i="4"/>
  <c r="R174" i="4"/>
  <c r="O175" i="4"/>
  <c r="P175" i="4"/>
  <c r="Q175" i="4"/>
  <c r="R175" i="4"/>
  <c r="O176" i="4"/>
  <c r="P176" i="4"/>
  <c r="Q176" i="4"/>
  <c r="R176" i="4"/>
  <c r="O177" i="4"/>
  <c r="P177" i="4"/>
  <c r="Q177" i="4"/>
  <c r="R177" i="4"/>
  <c r="O178" i="4"/>
  <c r="P178" i="4"/>
  <c r="Q178" i="4"/>
  <c r="R178" i="4"/>
  <c r="O179" i="4"/>
  <c r="P179" i="4"/>
  <c r="Q179" i="4"/>
  <c r="R179" i="4"/>
  <c r="O180" i="4"/>
  <c r="P180" i="4"/>
  <c r="Q180" i="4"/>
  <c r="R180" i="4"/>
  <c r="O181" i="4"/>
  <c r="P181" i="4"/>
  <c r="Q181" i="4"/>
  <c r="R181" i="4"/>
  <c r="O182" i="4"/>
  <c r="P182" i="4"/>
  <c r="Q182" i="4"/>
  <c r="R182" i="4"/>
  <c r="O183" i="4"/>
  <c r="P183" i="4"/>
  <c r="Q183" i="4"/>
  <c r="R183" i="4"/>
  <c r="O184" i="4"/>
  <c r="P184" i="4"/>
  <c r="Q184" i="4"/>
  <c r="R184" i="4"/>
  <c r="O185" i="4"/>
  <c r="P185" i="4"/>
  <c r="Q185" i="4"/>
  <c r="R185" i="4"/>
  <c r="O186" i="4"/>
  <c r="P186" i="4"/>
  <c r="Q186" i="4"/>
  <c r="R186" i="4"/>
  <c r="O187" i="4"/>
  <c r="P187" i="4"/>
  <c r="Q187" i="4"/>
  <c r="R187" i="4"/>
  <c r="O188" i="4"/>
  <c r="P188" i="4"/>
  <c r="Q188" i="4"/>
  <c r="R188" i="4"/>
  <c r="O189" i="4"/>
  <c r="P189" i="4"/>
  <c r="Q189" i="4"/>
  <c r="R189" i="4"/>
  <c r="O190" i="4"/>
  <c r="P190" i="4"/>
  <c r="Q190" i="4"/>
  <c r="R190" i="4"/>
  <c r="O191" i="4"/>
  <c r="P191" i="4"/>
  <c r="Q191" i="4"/>
  <c r="R191" i="4"/>
  <c r="O192" i="4"/>
  <c r="P192" i="4"/>
  <c r="Q192" i="4"/>
  <c r="R192" i="4"/>
  <c r="O193" i="4"/>
  <c r="P193" i="4"/>
  <c r="Q193" i="4"/>
  <c r="R193" i="4"/>
  <c r="O194" i="4"/>
  <c r="P194" i="4"/>
  <c r="Q194" i="4"/>
  <c r="R194" i="4"/>
  <c r="O195" i="4"/>
  <c r="P195" i="4"/>
  <c r="Q195" i="4"/>
  <c r="R195" i="4"/>
  <c r="O196" i="4"/>
  <c r="P196" i="4"/>
  <c r="Q196" i="4"/>
  <c r="R196" i="4"/>
  <c r="O197" i="4"/>
  <c r="P197" i="4"/>
  <c r="Q197" i="4"/>
  <c r="R197" i="4"/>
  <c r="O198" i="4"/>
  <c r="P198" i="4"/>
  <c r="Q198" i="4"/>
  <c r="R198" i="4"/>
  <c r="O199" i="4"/>
  <c r="P199" i="4"/>
  <c r="Q199" i="4"/>
  <c r="R199" i="4"/>
  <c r="O200" i="4"/>
  <c r="P200" i="4"/>
  <c r="Q200" i="4"/>
  <c r="R200" i="4"/>
  <c r="O201" i="4"/>
  <c r="P201" i="4"/>
  <c r="Q201" i="4"/>
  <c r="R201" i="4"/>
  <c r="O202" i="4"/>
  <c r="P202" i="4"/>
  <c r="Q202" i="4"/>
  <c r="R202" i="4"/>
  <c r="O203" i="4"/>
  <c r="P203" i="4"/>
  <c r="Q203" i="4"/>
  <c r="R203" i="4"/>
  <c r="O204" i="4"/>
  <c r="P204" i="4"/>
  <c r="Q204" i="4"/>
  <c r="R204" i="4"/>
  <c r="O205" i="4"/>
  <c r="P205" i="4"/>
  <c r="Q205" i="4"/>
  <c r="R205" i="4"/>
  <c r="O206" i="4"/>
  <c r="P206" i="4"/>
  <c r="Q206" i="4"/>
  <c r="R206" i="4"/>
  <c r="O207" i="4"/>
  <c r="P207" i="4"/>
  <c r="Q207" i="4"/>
  <c r="R207" i="4"/>
  <c r="O208" i="4"/>
  <c r="P208" i="4"/>
  <c r="Q208" i="4"/>
  <c r="R208" i="4"/>
  <c r="O209" i="4"/>
  <c r="P209" i="4"/>
  <c r="Q209" i="4"/>
  <c r="R209" i="4"/>
  <c r="O210" i="4"/>
  <c r="P210" i="4"/>
  <c r="Q210" i="4"/>
  <c r="R210" i="4"/>
  <c r="O211" i="4"/>
  <c r="P211" i="4"/>
  <c r="Q211" i="4"/>
  <c r="R211" i="4"/>
  <c r="O212" i="4"/>
  <c r="P212" i="4"/>
  <c r="Q212" i="4"/>
  <c r="R212" i="4"/>
  <c r="O213" i="4"/>
  <c r="P213" i="4"/>
  <c r="Q213" i="4"/>
  <c r="R213" i="4"/>
  <c r="O214" i="4"/>
  <c r="P214" i="4"/>
  <c r="Q214" i="4"/>
  <c r="R214" i="4"/>
  <c r="O215" i="4"/>
  <c r="P215" i="4"/>
  <c r="Q215" i="4"/>
  <c r="R215" i="4"/>
  <c r="O216" i="4"/>
  <c r="P216" i="4"/>
  <c r="Q216" i="4"/>
  <c r="R216" i="4"/>
  <c r="O217" i="4"/>
  <c r="P217" i="4"/>
  <c r="Q217" i="4"/>
  <c r="R217" i="4"/>
  <c r="O218" i="4"/>
  <c r="P218" i="4"/>
  <c r="Q218" i="4"/>
  <c r="R218" i="4"/>
  <c r="O219" i="4"/>
  <c r="P219" i="4"/>
  <c r="Q219" i="4"/>
  <c r="R219" i="4"/>
  <c r="O220" i="4"/>
  <c r="P220" i="4"/>
  <c r="Q220" i="4"/>
  <c r="R220" i="4"/>
  <c r="O3" i="4"/>
  <c r="P3" i="4"/>
  <c r="Q3" i="4"/>
  <c r="R3" i="4"/>
  <c r="O4" i="4"/>
  <c r="P4" i="4"/>
  <c r="Q4" i="4"/>
  <c r="R4" i="4"/>
  <c r="O5" i="4"/>
  <c r="P5" i="4"/>
  <c r="Q5" i="4"/>
  <c r="R5" i="4"/>
  <c r="O6" i="4"/>
  <c r="P6" i="4"/>
  <c r="Q6" i="4"/>
  <c r="R6" i="4"/>
  <c r="O7" i="4"/>
  <c r="P7" i="4"/>
  <c r="Q7" i="4"/>
  <c r="R7" i="4"/>
  <c r="O8" i="4"/>
  <c r="P8" i="4"/>
  <c r="Q8" i="4"/>
  <c r="R8" i="4"/>
  <c r="O9" i="4"/>
  <c r="P9" i="4"/>
  <c r="Q9" i="4"/>
  <c r="R9" i="4"/>
  <c r="O10" i="4"/>
  <c r="P10" i="4"/>
  <c r="Q10" i="4"/>
  <c r="R10" i="4"/>
  <c r="O11" i="4"/>
  <c r="P11" i="4"/>
  <c r="Q11" i="4"/>
  <c r="R11" i="4"/>
  <c r="O12" i="4"/>
  <c r="P12" i="4"/>
  <c r="Q12" i="4"/>
  <c r="R12" i="4"/>
  <c r="O2" i="4"/>
  <c r="P2" i="4"/>
  <c r="Q2" i="4"/>
  <c r="R2" i="4"/>
  <c r="M49" i="4"/>
  <c r="M47" i="4"/>
  <c r="M46" i="4"/>
  <c r="M44" i="4"/>
  <c r="M32" i="4"/>
  <c r="M30" i="4"/>
  <c r="M11" i="4"/>
  <c r="O23" i="4" l="1"/>
  <c r="N31" i="4"/>
  <c r="L223" i="4"/>
  <c r="M223" i="4" l="1"/>
  <c r="O221" i="4"/>
  <c r="Q221" i="4"/>
  <c r="K221" i="4"/>
  <c r="H270" i="6"/>
  <c r="I269" i="6"/>
  <c r="J269" i="6"/>
  <c r="K269" i="6"/>
  <c r="H269" i="6"/>
  <c r="T223" i="4"/>
  <c r="K223" i="4" l="1"/>
  <c r="R221" i="4"/>
  <c r="P221" i="4"/>
  <c r="O267" i="6"/>
  <c r="N267" i="6"/>
  <c r="M267" i="6"/>
  <c r="L267" i="6"/>
  <c r="O266" i="6"/>
  <c r="N266" i="6"/>
  <c r="M266" i="6"/>
  <c r="L266" i="6"/>
  <c r="O265" i="6"/>
  <c r="N265" i="6"/>
  <c r="M265" i="6"/>
  <c r="L265" i="6"/>
  <c r="O264" i="6"/>
  <c r="N264" i="6"/>
  <c r="M264" i="6"/>
  <c r="L264" i="6"/>
  <c r="O263" i="6"/>
  <c r="N263" i="6"/>
  <c r="M263" i="6"/>
  <c r="L263" i="6"/>
  <c r="O262" i="6"/>
  <c r="N262" i="6"/>
  <c r="M262" i="6"/>
  <c r="L262" i="6"/>
  <c r="O261" i="6"/>
  <c r="N261" i="6"/>
  <c r="M261" i="6"/>
  <c r="L261" i="6"/>
  <c r="O260" i="6"/>
  <c r="N260" i="6"/>
  <c r="M260" i="6"/>
  <c r="L260" i="6"/>
  <c r="O259" i="6"/>
  <c r="N259" i="6"/>
  <c r="M259" i="6"/>
  <c r="L259" i="6"/>
  <c r="O258" i="6"/>
  <c r="N258" i="6"/>
  <c r="M258" i="6"/>
  <c r="L258" i="6"/>
  <c r="O257" i="6"/>
  <c r="N257" i="6"/>
  <c r="M257" i="6"/>
  <c r="L257" i="6"/>
  <c r="O256" i="6"/>
  <c r="N256" i="6"/>
  <c r="M256" i="6"/>
  <c r="L256" i="6"/>
  <c r="O255" i="6"/>
  <c r="N255" i="6"/>
  <c r="M255" i="6"/>
  <c r="L255" i="6"/>
  <c r="O254" i="6"/>
  <c r="N254" i="6"/>
  <c r="M254" i="6"/>
  <c r="L254" i="6"/>
  <c r="O253" i="6"/>
  <c r="N253" i="6"/>
  <c r="M253" i="6"/>
  <c r="L253" i="6"/>
  <c r="O252" i="6"/>
  <c r="N252" i="6"/>
  <c r="M252" i="6"/>
  <c r="L252" i="6"/>
  <c r="O251" i="6"/>
  <c r="N251" i="6"/>
  <c r="M251" i="6"/>
  <c r="L251" i="6"/>
  <c r="O250" i="6"/>
  <c r="N250" i="6"/>
  <c r="M250" i="6"/>
  <c r="L250" i="6"/>
  <c r="O249" i="6"/>
  <c r="N249" i="6"/>
  <c r="M249" i="6"/>
  <c r="L249" i="6"/>
  <c r="O248" i="6"/>
  <c r="N248" i="6"/>
  <c r="M248" i="6"/>
  <c r="L248" i="6"/>
  <c r="O247" i="6"/>
  <c r="N247" i="6"/>
  <c r="M247" i="6"/>
  <c r="L247" i="6"/>
  <c r="O246" i="6"/>
  <c r="N246" i="6"/>
  <c r="M246" i="6"/>
  <c r="L246" i="6"/>
  <c r="O245" i="6"/>
  <c r="N245" i="6"/>
  <c r="M245" i="6"/>
  <c r="L245" i="6"/>
  <c r="O244" i="6"/>
  <c r="N244" i="6"/>
  <c r="M244" i="6"/>
  <c r="L244" i="6"/>
  <c r="O243" i="6"/>
  <c r="N243" i="6"/>
  <c r="M243" i="6"/>
  <c r="L243" i="6"/>
  <c r="O242" i="6"/>
  <c r="N242" i="6"/>
  <c r="M242" i="6"/>
  <c r="L242" i="6"/>
  <c r="O241" i="6"/>
  <c r="N241" i="6"/>
  <c r="M241" i="6"/>
  <c r="L241" i="6"/>
  <c r="O240" i="6"/>
  <c r="N240" i="6"/>
  <c r="M240" i="6"/>
  <c r="L240" i="6"/>
  <c r="O239" i="6"/>
  <c r="N239" i="6"/>
  <c r="M239" i="6"/>
  <c r="L239" i="6"/>
  <c r="O238" i="6"/>
  <c r="N238" i="6"/>
  <c r="M238" i="6"/>
  <c r="L238" i="6"/>
  <c r="O237" i="6"/>
  <c r="N237" i="6"/>
  <c r="M237" i="6"/>
  <c r="L237" i="6"/>
  <c r="O236" i="6"/>
  <c r="N236" i="6"/>
  <c r="M236" i="6"/>
  <c r="L236" i="6"/>
  <c r="O235" i="6"/>
  <c r="N235" i="6"/>
  <c r="M235" i="6"/>
  <c r="L235" i="6"/>
  <c r="O234" i="6"/>
  <c r="N234" i="6"/>
  <c r="M234" i="6"/>
  <c r="L234" i="6"/>
  <c r="O233" i="6"/>
  <c r="N233" i="6"/>
  <c r="M233" i="6"/>
  <c r="L233" i="6"/>
  <c r="O232" i="6"/>
  <c r="N232" i="6"/>
  <c r="M232" i="6"/>
  <c r="L232" i="6"/>
  <c r="O231" i="6"/>
  <c r="N231" i="6"/>
  <c r="M231" i="6"/>
  <c r="L231" i="6"/>
  <c r="O230" i="6"/>
  <c r="N230" i="6"/>
  <c r="M230" i="6"/>
  <c r="L230" i="6"/>
  <c r="O229" i="6"/>
  <c r="N229" i="6"/>
  <c r="M229" i="6"/>
  <c r="L229" i="6"/>
  <c r="O228" i="6"/>
  <c r="N228" i="6"/>
  <c r="M228" i="6"/>
  <c r="L228" i="6"/>
  <c r="O227" i="6"/>
  <c r="N227" i="6"/>
  <c r="M227" i="6"/>
  <c r="L227" i="6"/>
  <c r="O226" i="6"/>
  <c r="N226" i="6"/>
  <c r="M226" i="6"/>
  <c r="L226" i="6"/>
  <c r="O225" i="6"/>
  <c r="N225" i="6"/>
  <c r="M225" i="6"/>
  <c r="L225" i="6"/>
  <c r="O224" i="6"/>
  <c r="N224" i="6"/>
  <c r="M224" i="6"/>
  <c r="L224" i="6"/>
  <c r="O223" i="6"/>
  <c r="N223" i="6"/>
  <c r="M223" i="6"/>
  <c r="L223" i="6"/>
  <c r="O222" i="6"/>
  <c r="N222" i="6"/>
  <c r="M222" i="6"/>
  <c r="L222" i="6"/>
  <c r="O221" i="6"/>
  <c r="N221" i="6"/>
  <c r="M221" i="6"/>
  <c r="L221" i="6"/>
  <c r="O220" i="6"/>
  <c r="N220" i="6"/>
  <c r="M220" i="6"/>
  <c r="L220" i="6"/>
  <c r="O219" i="6"/>
  <c r="N219" i="6"/>
  <c r="M219" i="6"/>
  <c r="L219" i="6"/>
  <c r="O218" i="6"/>
  <c r="N218" i="6"/>
  <c r="M218" i="6"/>
  <c r="L218" i="6"/>
  <c r="O217" i="6"/>
  <c r="N217" i="6"/>
  <c r="M217" i="6"/>
  <c r="L217" i="6"/>
  <c r="O216" i="6"/>
  <c r="N216" i="6"/>
  <c r="M216" i="6"/>
  <c r="L216" i="6"/>
  <c r="O215" i="6"/>
  <c r="N215" i="6"/>
  <c r="M215" i="6"/>
  <c r="L215" i="6"/>
  <c r="O214" i="6"/>
  <c r="N214" i="6"/>
  <c r="M214" i="6"/>
  <c r="L214" i="6"/>
  <c r="O213" i="6"/>
  <c r="N213" i="6"/>
  <c r="M213" i="6"/>
  <c r="L213" i="6"/>
  <c r="O212" i="6"/>
  <c r="N212" i="6"/>
  <c r="M212" i="6"/>
  <c r="L212" i="6"/>
  <c r="O211" i="6"/>
  <c r="N211" i="6"/>
  <c r="M211" i="6"/>
  <c r="L211" i="6"/>
  <c r="O210" i="6"/>
  <c r="N210" i="6"/>
  <c r="M210" i="6"/>
  <c r="L210" i="6"/>
  <c r="O209" i="6"/>
  <c r="N209" i="6"/>
  <c r="M209" i="6"/>
  <c r="O208" i="6"/>
  <c r="N208" i="6"/>
  <c r="M208" i="6"/>
  <c r="L208" i="6"/>
  <c r="O207" i="6"/>
  <c r="N207" i="6"/>
  <c r="M207" i="6"/>
  <c r="L207" i="6"/>
  <c r="O206" i="6"/>
  <c r="N206" i="6"/>
  <c r="M206" i="6"/>
  <c r="L206" i="6"/>
  <c r="L188" i="6"/>
  <c r="L204" i="6"/>
  <c r="O205" i="6"/>
  <c r="N205" i="6"/>
  <c r="M205" i="6"/>
  <c r="L205" i="6"/>
  <c r="O204" i="6"/>
  <c r="N204" i="6"/>
  <c r="M204" i="6"/>
  <c r="O203" i="6"/>
  <c r="N203" i="6"/>
  <c r="M203" i="6"/>
  <c r="L203" i="6"/>
  <c r="O202" i="6"/>
  <c r="N202" i="6"/>
  <c r="M202" i="6"/>
  <c r="L202" i="6"/>
  <c r="O201" i="6"/>
  <c r="N201" i="6"/>
  <c r="M201" i="6"/>
  <c r="L201" i="6"/>
  <c r="O200" i="6"/>
  <c r="N200" i="6"/>
  <c r="M200" i="6"/>
  <c r="L200" i="6"/>
  <c r="O199" i="6"/>
  <c r="N199" i="6"/>
  <c r="M199" i="6"/>
  <c r="L199" i="6"/>
  <c r="O198" i="6"/>
  <c r="N198" i="6"/>
  <c r="M198" i="6"/>
  <c r="L198" i="6"/>
  <c r="O197" i="6"/>
  <c r="N197" i="6"/>
  <c r="M197" i="6"/>
  <c r="L197" i="6"/>
  <c r="O196" i="6"/>
  <c r="N196" i="6"/>
  <c r="M196" i="6"/>
  <c r="L196" i="6"/>
  <c r="O195" i="6"/>
  <c r="N195" i="6"/>
  <c r="M195" i="6"/>
  <c r="L195" i="6"/>
  <c r="O194" i="6"/>
  <c r="N194" i="6"/>
  <c r="M194" i="6"/>
  <c r="L194" i="6"/>
  <c r="O193" i="6"/>
  <c r="N193" i="6"/>
  <c r="M193" i="6"/>
  <c r="L193" i="6"/>
  <c r="O192" i="6"/>
  <c r="N192" i="6"/>
  <c r="M192" i="6"/>
  <c r="L192" i="6"/>
  <c r="O191" i="6"/>
  <c r="N191" i="6"/>
  <c r="M191" i="6"/>
  <c r="L191" i="6"/>
  <c r="O190" i="6"/>
  <c r="N190" i="6"/>
  <c r="M190" i="6"/>
  <c r="L190" i="6"/>
  <c r="O189" i="6"/>
  <c r="N189" i="6"/>
  <c r="M189" i="6"/>
  <c r="L189" i="6"/>
  <c r="O188" i="6"/>
  <c r="N188" i="6"/>
  <c r="M188" i="6"/>
  <c r="O187" i="6"/>
  <c r="N187" i="6"/>
  <c r="M187" i="6"/>
  <c r="L187" i="6"/>
  <c r="O186" i="6"/>
  <c r="N186" i="6"/>
  <c r="M186" i="6"/>
  <c r="L186" i="6"/>
  <c r="O185" i="6"/>
  <c r="N185" i="6"/>
  <c r="M185" i="6"/>
  <c r="L185" i="6"/>
  <c r="O184" i="6"/>
  <c r="N184" i="6"/>
  <c r="M184" i="6"/>
  <c r="L184" i="6"/>
  <c r="O183" i="6"/>
  <c r="N183" i="6"/>
  <c r="M183" i="6"/>
  <c r="L183" i="6"/>
  <c r="O182" i="6"/>
  <c r="N182" i="6"/>
  <c r="M182" i="6"/>
  <c r="L182" i="6"/>
  <c r="O181" i="6"/>
  <c r="N181" i="6"/>
  <c r="M181" i="6"/>
  <c r="L181" i="6"/>
  <c r="O180" i="6"/>
  <c r="N180" i="6"/>
  <c r="M180" i="6"/>
  <c r="L180" i="6"/>
  <c r="O179" i="6"/>
  <c r="N179" i="6"/>
  <c r="M179" i="6"/>
  <c r="L179" i="6"/>
  <c r="O178" i="6"/>
  <c r="N178" i="6"/>
  <c r="M178" i="6"/>
  <c r="L178" i="6"/>
  <c r="O177" i="6"/>
  <c r="N177" i="6"/>
  <c r="M177" i="6"/>
  <c r="L177" i="6"/>
  <c r="O176" i="6"/>
  <c r="N176" i="6"/>
  <c r="M176" i="6"/>
  <c r="L176" i="6"/>
  <c r="O175" i="6"/>
  <c r="N175" i="6"/>
  <c r="M175" i="6"/>
  <c r="L175" i="6"/>
  <c r="O174" i="6"/>
  <c r="N174" i="6"/>
  <c r="M174" i="6"/>
  <c r="L174" i="6"/>
  <c r="O173" i="6"/>
  <c r="N173" i="6"/>
  <c r="M173" i="6"/>
  <c r="L173" i="6"/>
  <c r="O172" i="6"/>
  <c r="N172" i="6"/>
  <c r="M172" i="6"/>
  <c r="L172" i="6"/>
  <c r="O171" i="6"/>
  <c r="N171" i="6"/>
  <c r="M171" i="6"/>
  <c r="L171" i="6"/>
  <c r="O170" i="6"/>
  <c r="N170" i="6"/>
  <c r="M170" i="6"/>
  <c r="L170" i="6"/>
  <c r="L148" i="6"/>
  <c r="O169" i="6"/>
  <c r="N169" i="6"/>
  <c r="M169" i="6"/>
  <c r="L169" i="6"/>
  <c r="O168" i="6"/>
  <c r="N168" i="6"/>
  <c r="M168" i="6"/>
  <c r="L168" i="6"/>
  <c r="O167" i="6"/>
  <c r="N167" i="6"/>
  <c r="M167" i="6"/>
  <c r="L167" i="6"/>
  <c r="O166" i="6"/>
  <c r="N166" i="6"/>
  <c r="M166" i="6"/>
  <c r="L166" i="6"/>
  <c r="O165" i="6"/>
  <c r="N165" i="6"/>
  <c r="M165" i="6"/>
  <c r="L165" i="6"/>
  <c r="O164" i="6"/>
  <c r="N164" i="6"/>
  <c r="M164" i="6"/>
  <c r="L164" i="6"/>
  <c r="O163" i="6"/>
  <c r="N163" i="6"/>
  <c r="M163" i="6"/>
  <c r="L163" i="6"/>
  <c r="O162" i="6"/>
  <c r="N162" i="6"/>
  <c r="M162" i="6"/>
  <c r="L162" i="6"/>
  <c r="O161" i="6"/>
  <c r="N161" i="6"/>
  <c r="M161" i="6"/>
  <c r="L161" i="6"/>
  <c r="O160" i="6"/>
  <c r="N160" i="6"/>
  <c r="M160" i="6"/>
  <c r="L160" i="6"/>
  <c r="O159" i="6"/>
  <c r="N159" i="6"/>
  <c r="M159" i="6"/>
  <c r="L159" i="6"/>
  <c r="O158" i="6"/>
  <c r="N158" i="6"/>
  <c r="M158" i="6"/>
  <c r="L158" i="6"/>
  <c r="O157" i="6"/>
  <c r="N157" i="6"/>
  <c r="M157" i="6"/>
  <c r="L157" i="6"/>
  <c r="O156" i="6"/>
  <c r="N156" i="6"/>
  <c r="M156" i="6"/>
  <c r="L156" i="6"/>
  <c r="O155" i="6"/>
  <c r="N155" i="6"/>
  <c r="M155" i="6"/>
  <c r="L155" i="6"/>
  <c r="O154" i="6"/>
  <c r="N154" i="6"/>
  <c r="M154" i="6"/>
  <c r="L154" i="6"/>
  <c r="O153" i="6"/>
  <c r="N153" i="6"/>
  <c r="M153" i="6"/>
  <c r="L153" i="6"/>
  <c r="O152" i="6"/>
  <c r="N152" i="6"/>
  <c r="M152" i="6"/>
  <c r="L152" i="6"/>
  <c r="O151" i="6"/>
  <c r="N151" i="6"/>
  <c r="M151" i="6"/>
  <c r="L151" i="6"/>
  <c r="O150" i="6"/>
  <c r="N150" i="6"/>
  <c r="M150" i="6"/>
  <c r="L150" i="6"/>
  <c r="O149" i="6"/>
  <c r="N149" i="6"/>
  <c r="M149" i="6"/>
  <c r="L149" i="6"/>
  <c r="O148" i="6"/>
  <c r="N148" i="6"/>
  <c r="M148" i="6"/>
  <c r="O147" i="6"/>
  <c r="N147" i="6"/>
  <c r="M147" i="6"/>
  <c r="L147" i="6"/>
  <c r="O146" i="6"/>
  <c r="N146" i="6"/>
  <c r="M146" i="6"/>
  <c r="L146" i="6"/>
  <c r="O145" i="6"/>
  <c r="N145" i="6"/>
  <c r="M145" i="6"/>
  <c r="L145" i="6"/>
  <c r="O144" i="6"/>
  <c r="N144" i="6"/>
  <c r="M144" i="6"/>
  <c r="L144" i="6"/>
  <c r="O143" i="6"/>
  <c r="N143" i="6"/>
  <c r="M143" i="6"/>
  <c r="L143" i="6"/>
  <c r="O142" i="6"/>
  <c r="N142" i="6"/>
  <c r="M142" i="6"/>
  <c r="L142" i="6"/>
  <c r="O141" i="6"/>
  <c r="N141" i="6"/>
  <c r="M141" i="6"/>
  <c r="L141" i="6"/>
  <c r="O140" i="6"/>
  <c r="N140" i="6"/>
  <c r="M140" i="6"/>
  <c r="L140" i="6"/>
  <c r="O139" i="6"/>
  <c r="N139" i="6"/>
  <c r="M139" i="6"/>
  <c r="L139" i="6"/>
  <c r="O138" i="6"/>
  <c r="N138" i="6"/>
  <c r="M138" i="6"/>
  <c r="L138" i="6"/>
  <c r="O137" i="6"/>
  <c r="N137" i="6"/>
  <c r="M137" i="6"/>
  <c r="L137" i="6"/>
  <c r="O136" i="6"/>
  <c r="N136" i="6"/>
  <c r="M136" i="6"/>
  <c r="L136" i="6"/>
  <c r="O135" i="6"/>
  <c r="N135" i="6"/>
  <c r="M135" i="6"/>
  <c r="L135" i="6"/>
  <c r="O134" i="6"/>
  <c r="N134" i="6"/>
  <c r="M134" i="6"/>
  <c r="L134" i="6"/>
  <c r="O133" i="6"/>
  <c r="N133" i="6"/>
  <c r="M133" i="6"/>
  <c r="L133" i="6"/>
  <c r="O132" i="6"/>
  <c r="N132" i="6"/>
  <c r="M132" i="6"/>
  <c r="L132" i="6"/>
  <c r="O131" i="6"/>
  <c r="N131" i="6"/>
  <c r="M131" i="6"/>
  <c r="L131" i="6"/>
  <c r="O130" i="6"/>
  <c r="N130" i="6"/>
  <c r="M130" i="6"/>
  <c r="L130" i="6"/>
  <c r="O129" i="6"/>
  <c r="N129" i="6"/>
  <c r="M129" i="6"/>
  <c r="L129" i="6"/>
  <c r="O128" i="6"/>
  <c r="N128" i="6"/>
  <c r="M128" i="6"/>
  <c r="L128" i="6"/>
  <c r="O127" i="6"/>
  <c r="N127" i="6"/>
  <c r="M127" i="6"/>
  <c r="L127" i="6"/>
  <c r="O126" i="6"/>
  <c r="N126" i="6"/>
  <c r="M126" i="6"/>
  <c r="L126" i="6"/>
  <c r="O125" i="6"/>
  <c r="N125" i="6"/>
  <c r="M125" i="6"/>
  <c r="L125" i="6"/>
  <c r="O124" i="6"/>
  <c r="N124" i="6"/>
  <c r="M124" i="6"/>
  <c r="L124" i="6"/>
  <c r="O123" i="6"/>
  <c r="N123" i="6"/>
  <c r="M123" i="6"/>
  <c r="L123" i="6"/>
  <c r="O122" i="6"/>
  <c r="N122" i="6"/>
  <c r="M122" i="6"/>
  <c r="L122" i="6"/>
  <c r="O121" i="6"/>
  <c r="N121" i="6"/>
  <c r="M121" i="6"/>
  <c r="L121" i="6"/>
  <c r="O120" i="6"/>
  <c r="N120" i="6"/>
  <c r="M120" i="6"/>
  <c r="L120" i="6"/>
  <c r="O119" i="6"/>
  <c r="N119" i="6"/>
  <c r="M119" i="6"/>
  <c r="L119" i="6"/>
  <c r="O118" i="6"/>
  <c r="N118" i="6"/>
  <c r="M118" i="6"/>
  <c r="L118" i="6"/>
  <c r="O117" i="6"/>
  <c r="N117" i="6"/>
  <c r="M117" i="6"/>
  <c r="L117" i="6"/>
  <c r="O116" i="6"/>
  <c r="N116" i="6"/>
  <c r="M116" i="6"/>
  <c r="L116" i="6"/>
  <c r="O115" i="6"/>
  <c r="N115" i="6"/>
  <c r="M115" i="6"/>
  <c r="L115" i="6"/>
  <c r="O114" i="6"/>
  <c r="N114" i="6"/>
  <c r="M114" i="6"/>
  <c r="L114" i="6"/>
  <c r="O113" i="6"/>
  <c r="N113" i="6"/>
  <c r="M113" i="6"/>
  <c r="L113" i="6"/>
  <c r="O112" i="6"/>
  <c r="N112" i="6"/>
  <c r="M112" i="6"/>
  <c r="L112" i="6"/>
  <c r="O111" i="6"/>
  <c r="N111" i="6"/>
  <c r="M111" i="6"/>
  <c r="L111" i="6"/>
  <c r="O110" i="6"/>
  <c r="N110" i="6"/>
  <c r="M110" i="6"/>
  <c r="L110" i="6"/>
  <c r="O109" i="6"/>
  <c r="N109" i="6"/>
  <c r="M109" i="6"/>
  <c r="L109" i="6"/>
  <c r="O108" i="6"/>
  <c r="N108" i="6"/>
  <c r="M108" i="6"/>
  <c r="L108" i="6"/>
  <c r="O107" i="6"/>
  <c r="N107" i="6"/>
  <c r="M107" i="6"/>
  <c r="L107" i="6"/>
  <c r="O106" i="6"/>
  <c r="N106" i="6"/>
  <c r="M106" i="6"/>
  <c r="L106" i="6"/>
  <c r="O105" i="6"/>
  <c r="N105" i="6"/>
  <c r="M105" i="6"/>
  <c r="L105" i="6"/>
  <c r="O104" i="6"/>
  <c r="N104" i="6"/>
  <c r="M104" i="6"/>
  <c r="L104" i="6"/>
  <c r="O103" i="6"/>
  <c r="N103" i="6"/>
  <c r="M103" i="6"/>
  <c r="L103" i="6"/>
  <c r="O102" i="6"/>
  <c r="N102" i="6"/>
  <c r="M102" i="6"/>
  <c r="L102" i="6"/>
  <c r="O101" i="6"/>
  <c r="N101" i="6"/>
  <c r="M101" i="6"/>
  <c r="L101" i="6"/>
  <c r="O100" i="6"/>
  <c r="N100" i="6"/>
  <c r="M100" i="6"/>
  <c r="L100" i="6"/>
  <c r="O99" i="6"/>
  <c r="N99" i="6"/>
  <c r="M99" i="6"/>
  <c r="L99" i="6"/>
  <c r="U79" i="6"/>
  <c r="T79" i="6"/>
  <c r="L79" i="6"/>
  <c r="M79" i="6"/>
  <c r="N79" i="6"/>
  <c r="O79" i="6"/>
  <c r="L80" i="6"/>
  <c r="M80" i="6"/>
  <c r="N80" i="6"/>
  <c r="O80" i="6"/>
  <c r="L81" i="6"/>
  <c r="M81" i="6"/>
  <c r="N81" i="6"/>
  <c r="O81" i="6"/>
  <c r="L82" i="6"/>
  <c r="M82" i="6"/>
  <c r="N82" i="6"/>
  <c r="O82" i="6"/>
  <c r="L83" i="6"/>
  <c r="M83" i="6"/>
  <c r="N83" i="6"/>
  <c r="O83" i="6"/>
  <c r="L84" i="6"/>
  <c r="M84" i="6"/>
  <c r="N84" i="6"/>
  <c r="O84" i="6"/>
  <c r="L85" i="6"/>
  <c r="M85" i="6"/>
  <c r="N85" i="6"/>
  <c r="O85" i="6"/>
  <c r="L86" i="6"/>
  <c r="M86" i="6"/>
  <c r="N86" i="6"/>
  <c r="O86" i="6"/>
  <c r="L87" i="6"/>
  <c r="M87" i="6"/>
  <c r="N87" i="6"/>
  <c r="O87" i="6"/>
  <c r="L88" i="6"/>
  <c r="M88" i="6"/>
  <c r="N88" i="6"/>
  <c r="O88" i="6"/>
  <c r="L89" i="6"/>
  <c r="M89" i="6"/>
  <c r="N89" i="6"/>
  <c r="O89" i="6"/>
  <c r="L90" i="6"/>
  <c r="M90" i="6"/>
  <c r="N90" i="6"/>
  <c r="O90" i="6"/>
  <c r="L91" i="6"/>
  <c r="M91" i="6"/>
  <c r="N91" i="6"/>
  <c r="O91" i="6"/>
  <c r="L92" i="6"/>
  <c r="M92" i="6"/>
  <c r="N92" i="6"/>
  <c r="O92" i="6"/>
  <c r="L93" i="6"/>
  <c r="M93" i="6"/>
  <c r="N93" i="6"/>
  <c r="O93" i="6"/>
  <c r="L94" i="6"/>
  <c r="M94" i="6"/>
  <c r="N94" i="6"/>
  <c r="O94" i="6"/>
  <c r="L95" i="6"/>
  <c r="M95" i="6"/>
  <c r="N95" i="6"/>
  <c r="O95" i="6"/>
  <c r="L96" i="6"/>
  <c r="M96" i="6"/>
  <c r="N96" i="6"/>
  <c r="O96" i="6"/>
  <c r="L97" i="6"/>
  <c r="M97" i="6"/>
  <c r="N97" i="6"/>
  <c r="O97" i="6"/>
  <c r="L98" i="6"/>
  <c r="M98" i="6"/>
  <c r="N98" i="6"/>
  <c r="O98" i="6"/>
  <c r="O78" i="6"/>
  <c r="N78" i="6"/>
  <c r="M78" i="6"/>
  <c r="L78" i="6"/>
  <c r="N269" i="6" l="1"/>
  <c r="L269" i="6"/>
  <c r="L209" i="6"/>
  <c r="O77" i="6"/>
  <c r="N77" i="6"/>
  <c r="M77" i="6"/>
  <c r="L77" i="6"/>
  <c r="O76" i="6"/>
  <c r="N76" i="6"/>
  <c r="M76" i="6"/>
  <c r="L76" i="6"/>
  <c r="O75" i="6"/>
  <c r="N75" i="6"/>
  <c r="M75" i="6"/>
  <c r="L75" i="6"/>
  <c r="O74" i="6"/>
  <c r="N74" i="6"/>
  <c r="M74" i="6"/>
  <c r="L74" i="6"/>
  <c r="O73" i="6"/>
  <c r="N73" i="6"/>
  <c r="M73" i="6"/>
  <c r="L73" i="6"/>
  <c r="O72" i="6"/>
  <c r="N72" i="6"/>
  <c r="M72" i="6"/>
  <c r="L72" i="6"/>
  <c r="O71" i="6"/>
  <c r="N71" i="6"/>
  <c r="M71" i="6"/>
  <c r="L71" i="6"/>
  <c r="O70" i="6"/>
  <c r="N70" i="6"/>
  <c r="M70" i="6"/>
  <c r="L70" i="6"/>
  <c r="O69" i="6"/>
  <c r="N69" i="6"/>
  <c r="M69" i="6"/>
  <c r="L69" i="6"/>
  <c r="O68" i="6"/>
  <c r="N68" i="6"/>
  <c r="M68" i="6"/>
  <c r="L68" i="6"/>
  <c r="O67" i="6"/>
  <c r="N67" i="6"/>
  <c r="M67" i="6"/>
  <c r="L67" i="6"/>
  <c r="O66" i="6"/>
  <c r="N66" i="6"/>
  <c r="M66" i="6"/>
  <c r="L66" i="6"/>
  <c r="O65" i="6"/>
  <c r="N65" i="6"/>
  <c r="M65" i="6"/>
  <c r="L65" i="6"/>
  <c r="O64" i="6"/>
  <c r="N64" i="6"/>
  <c r="M64" i="6"/>
  <c r="L64" i="6"/>
  <c r="O63" i="6"/>
  <c r="N63" i="6"/>
  <c r="M63" i="6"/>
  <c r="L63" i="6"/>
  <c r="O62" i="6"/>
  <c r="N62" i="6"/>
  <c r="M62" i="6"/>
  <c r="L62" i="6"/>
  <c r="O61" i="6"/>
  <c r="N61" i="6"/>
  <c r="M61" i="6"/>
  <c r="L61" i="6"/>
  <c r="O60" i="6"/>
  <c r="N60" i="6"/>
  <c r="M60" i="6"/>
  <c r="L60" i="6"/>
  <c r="O59" i="6"/>
  <c r="N59" i="6"/>
  <c r="M59" i="6"/>
  <c r="L59" i="6"/>
  <c r="O58" i="6"/>
  <c r="N58" i="6"/>
  <c r="M58" i="6"/>
  <c r="L58" i="6"/>
  <c r="O57" i="6"/>
  <c r="N57" i="6"/>
  <c r="M57" i="6"/>
  <c r="L57" i="6"/>
  <c r="O56" i="6"/>
  <c r="N56" i="6"/>
  <c r="M56" i="6"/>
  <c r="L56" i="6"/>
  <c r="O55" i="6"/>
  <c r="N55" i="6"/>
  <c r="M55" i="6"/>
  <c r="L55" i="6"/>
  <c r="O54" i="6"/>
  <c r="N54" i="6"/>
  <c r="M54" i="6"/>
  <c r="L54" i="6"/>
  <c r="O53" i="6"/>
  <c r="N53" i="6"/>
  <c r="M53" i="6"/>
  <c r="L53" i="6"/>
  <c r="O52" i="6"/>
  <c r="N52" i="6"/>
  <c r="M52" i="6"/>
  <c r="L52" i="6"/>
  <c r="O51" i="6"/>
  <c r="N51" i="6"/>
  <c r="M51" i="6"/>
  <c r="L51" i="6"/>
  <c r="O50" i="6"/>
  <c r="N50" i="6"/>
  <c r="M50" i="6"/>
  <c r="L50" i="6"/>
  <c r="O49" i="6"/>
  <c r="N49" i="6"/>
  <c r="M49" i="6"/>
  <c r="L49" i="6"/>
  <c r="O48" i="6"/>
  <c r="N48" i="6"/>
  <c r="M48" i="6"/>
  <c r="L48" i="6"/>
  <c r="O47" i="6"/>
  <c r="N47" i="6"/>
  <c r="M47" i="6"/>
  <c r="L47" i="6"/>
  <c r="O46" i="6"/>
  <c r="N46" i="6"/>
  <c r="M46" i="6"/>
  <c r="L46" i="6"/>
  <c r="O45" i="6"/>
  <c r="N45" i="6"/>
  <c r="M45" i="6"/>
  <c r="L45" i="6"/>
  <c r="O44" i="6"/>
  <c r="N44" i="6"/>
  <c r="M44" i="6"/>
  <c r="L44" i="6"/>
  <c r="O43" i="6"/>
  <c r="N43" i="6"/>
  <c r="M43" i="6"/>
  <c r="L43" i="6"/>
  <c r="O42" i="6"/>
  <c r="N42" i="6"/>
  <c r="M42" i="6"/>
  <c r="L42" i="6"/>
  <c r="O41" i="6"/>
  <c r="N41" i="6"/>
  <c r="M41" i="6"/>
  <c r="L41" i="6"/>
  <c r="O40" i="6"/>
  <c r="N40" i="6"/>
  <c r="M40" i="6"/>
  <c r="L40" i="6"/>
  <c r="H15" i="6"/>
  <c r="O269" i="6" s="1"/>
  <c r="L34" i="6"/>
  <c r="L35" i="6"/>
  <c r="L37" i="6"/>
  <c r="L38" i="6"/>
  <c r="L39" i="6"/>
  <c r="L22" i="6"/>
  <c r="L23" i="6"/>
  <c r="L27" i="6"/>
  <c r="L3" i="6"/>
  <c r="L10" i="6"/>
  <c r="L11" i="6"/>
  <c r="L12" i="6"/>
  <c r="L18" i="6"/>
  <c r="L2" i="6"/>
  <c r="M38" i="6"/>
  <c r="N38" i="6"/>
  <c r="O38" i="6"/>
  <c r="M39" i="6"/>
  <c r="N39" i="6"/>
  <c r="O39" i="6"/>
  <c r="L20" i="6"/>
  <c r="M20" i="6"/>
  <c r="N20" i="6"/>
  <c r="O20" i="6"/>
  <c r="L21" i="6"/>
  <c r="M21" i="6"/>
  <c r="N21" i="6"/>
  <c r="O21" i="6"/>
  <c r="M22" i="6"/>
  <c r="N22" i="6"/>
  <c r="O22" i="6"/>
  <c r="M23" i="6"/>
  <c r="N23" i="6"/>
  <c r="O23" i="6"/>
  <c r="L24" i="6"/>
  <c r="M24" i="6"/>
  <c r="N24" i="6"/>
  <c r="O24" i="6"/>
  <c r="L25" i="6"/>
  <c r="M25" i="6"/>
  <c r="N25" i="6"/>
  <c r="O25" i="6"/>
  <c r="L26" i="6"/>
  <c r="M26" i="6"/>
  <c r="N26" i="6"/>
  <c r="O26" i="6"/>
  <c r="M27" i="6"/>
  <c r="N27" i="6"/>
  <c r="O27" i="6"/>
  <c r="L28" i="6"/>
  <c r="M28" i="6"/>
  <c r="N28" i="6"/>
  <c r="O28" i="6"/>
  <c r="L29" i="6"/>
  <c r="M29" i="6"/>
  <c r="N29" i="6"/>
  <c r="O29" i="6"/>
  <c r="L30" i="6"/>
  <c r="M30" i="6"/>
  <c r="N30" i="6"/>
  <c r="O30" i="6"/>
  <c r="L31" i="6"/>
  <c r="M31" i="6"/>
  <c r="N31" i="6"/>
  <c r="O31" i="6"/>
  <c r="L32" i="6"/>
  <c r="M32" i="6"/>
  <c r="N32" i="6"/>
  <c r="O32" i="6"/>
  <c r="L33" i="6"/>
  <c r="M33" i="6"/>
  <c r="N33" i="6"/>
  <c r="O33" i="6"/>
  <c r="M34" i="6"/>
  <c r="N34" i="6"/>
  <c r="O34" i="6"/>
  <c r="M35" i="6"/>
  <c r="N35" i="6"/>
  <c r="O35" i="6"/>
  <c r="L36" i="6"/>
  <c r="M36" i="6"/>
  <c r="N36" i="6"/>
  <c r="O36" i="6"/>
  <c r="M37" i="6"/>
  <c r="N37" i="6"/>
  <c r="O37" i="6"/>
  <c r="M3" i="6"/>
  <c r="N3" i="6"/>
  <c r="O3" i="6"/>
  <c r="L4" i="6"/>
  <c r="M4" i="6"/>
  <c r="N4" i="6"/>
  <c r="O4" i="6"/>
  <c r="L5" i="6"/>
  <c r="M5" i="6"/>
  <c r="N5" i="6"/>
  <c r="O5" i="6"/>
  <c r="L6" i="6"/>
  <c r="M6" i="6"/>
  <c r="N6" i="6"/>
  <c r="O6" i="6"/>
  <c r="L7" i="6"/>
  <c r="M7" i="6"/>
  <c r="N7" i="6"/>
  <c r="O7" i="6"/>
  <c r="L8" i="6"/>
  <c r="M8" i="6"/>
  <c r="N8" i="6"/>
  <c r="O8" i="6"/>
  <c r="L9" i="6"/>
  <c r="M9" i="6"/>
  <c r="N9" i="6"/>
  <c r="O9" i="6"/>
  <c r="M10" i="6"/>
  <c r="N10" i="6"/>
  <c r="O10" i="6"/>
  <c r="M11" i="6"/>
  <c r="N11" i="6"/>
  <c r="O11" i="6"/>
  <c r="M12" i="6"/>
  <c r="N12" i="6"/>
  <c r="O12" i="6"/>
  <c r="L13" i="6"/>
  <c r="M13" i="6"/>
  <c r="N13" i="6"/>
  <c r="O13" i="6"/>
  <c r="L14" i="6"/>
  <c r="M14" i="6"/>
  <c r="N14" i="6"/>
  <c r="O14" i="6"/>
  <c r="L15" i="6"/>
  <c r="N15" i="6"/>
  <c r="L16" i="6"/>
  <c r="M16" i="6"/>
  <c r="N16" i="6"/>
  <c r="O16" i="6"/>
  <c r="L17" i="6"/>
  <c r="M17" i="6"/>
  <c r="N17" i="6"/>
  <c r="O17" i="6"/>
  <c r="M18" i="6"/>
  <c r="N18" i="6"/>
  <c r="O18" i="6"/>
  <c r="L19" i="6"/>
  <c r="M19" i="6"/>
  <c r="N19" i="6"/>
  <c r="O19" i="6"/>
  <c r="O2" i="6"/>
  <c r="N2" i="6"/>
  <c r="M2" i="6"/>
  <c r="I103" i="3"/>
  <c r="I90" i="3"/>
  <c r="I84" i="3"/>
  <c r="N103" i="3" l="1"/>
  <c r="P103" i="3"/>
  <c r="I136" i="3"/>
  <c r="N136" i="3" s="1"/>
  <c r="N90" i="3"/>
  <c r="P90" i="3"/>
  <c r="M269" i="6"/>
  <c r="K27" i="7"/>
  <c r="J27" i="7"/>
  <c r="P136" i="3" l="1"/>
  <c r="I138" i="3"/>
  <c r="J7" i="7"/>
  <c r="K7" i="7" s="1"/>
  <c r="J28" i="7"/>
  <c r="K28" i="7" s="1"/>
  <c r="J29" i="7"/>
  <c r="J30" i="7"/>
  <c r="J13" i="7"/>
  <c r="K13" i="7" s="1"/>
  <c r="J14" i="7"/>
  <c r="K14" i="7" s="1"/>
  <c r="J15" i="7"/>
  <c r="K15" i="7" s="1"/>
  <c r="J19" i="7"/>
  <c r="J18" i="7"/>
  <c r="K18" i="7" s="1"/>
  <c r="J16" i="7"/>
  <c r="K16" i="7" s="1"/>
  <c r="J17" i="7"/>
  <c r="K17" i="7" s="1"/>
  <c r="J20" i="7"/>
  <c r="J21" i="7"/>
  <c r="J22" i="7"/>
  <c r="J23" i="7"/>
  <c r="J24" i="7"/>
  <c r="J25" i="7"/>
  <c r="J26" i="7"/>
  <c r="J3" i="7"/>
  <c r="J4" i="7"/>
  <c r="J5" i="7"/>
  <c r="J6" i="7"/>
  <c r="J8" i="7"/>
  <c r="K8" i="7" s="1"/>
  <c r="J11" i="7"/>
  <c r="K11" i="7" s="1"/>
  <c r="J12" i="7"/>
  <c r="K12" i="7" s="1"/>
  <c r="J9" i="7"/>
  <c r="K9" i="7" s="1"/>
  <c r="J10" i="7"/>
  <c r="K10" i="7" s="1"/>
  <c r="J2" i="7"/>
  <c r="V3" i="5"/>
  <c r="W3" i="5"/>
  <c r="X3" i="5"/>
  <c r="Y3" i="5"/>
  <c r="V4" i="5"/>
  <c r="W4" i="5"/>
  <c r="X4" i="5"/>
  <c r="Y4" i="5"/>
  <c r="V5" i="5"/>
  <c r="W5" i="5"/>
  <c r="X5" i="5"/>
  <c r="Y5" i="5"/>
  <c r="V6" i="5"/>
  <c r="W6" i="5"/>
  <c r="X6" i="5"/>
  <c r="Y6" i="5"/>
  <c r="V7" i="5"/>
  <c r="W7" i="5"/>
  <c r="X7" i="5"/>
  <c r="Y7" i="5"/>
  <c r="V8" i="5"/>
  <c r="W8" i="5"/>
  <c r="X8" i="5"/>
  <c r="Y8" i="5"/>
  <c r="V9" i="5"/>
  <c r="W9" i="5"/>
  <c r="X9" i="5"/>
  <c r="Y9" i="5"/>
  <c r="V10" i="5"/>
  <c r="W10" i="5"/>
  <c r="X10" i="5"/>
  <c r="Y10" i="5"/>
  <c r="V11" i="5"/>
  <c r="W11" i="5"/>
  <c r="X11" i="5"/>
  <c r="Y11" i="5"/>
  <c r="V12" i="5"/>
  <c r="W12" i="5"/>
  <c r="X12" i="5"/>
  <c r="Y12" i="5"/>
  <c r="V13" i="5"/>
  <c r="W13" i="5"/>
  <c r="X13" i="5"/>
  <c r="Y13" i="5"/>
  <c r="V14" i="5"/>
  <c r="W14" i="5"/>
  <c r="X14" i="5"/>
  <c r="Y14" i="5"/>
  <c r="V15" i="5"/>
  <c r="W15" i="5"/>
  <c r="X15" i="5"/>
  <c r="Y15" i="5"/>
  <c r="V16" i="5"/>
  <c r="W16" i="5"/>
  <c r="X16" i="5"/>
  <c r="Y16" i="5"/>
  <c r="V17" i="5"/>
  <c r="W17" i="5"/>
  <c r="X17" i="5"/>
  <c r="Y17" i="5"/>
  <c r="V18" i="5"/>
  <c r="W18" i="5"/>
  <c r="X18" i="5"/>
  <c r="Y18" i="5"/>
  <c r="V19" i="5"/>
  <c r="W19" i="5"/>
  <c r="X19" i="5"/>
  <c r="Y19" i="5"/>
  <c r="V20" i="5"/>
  <c r="W20" i="5"/>
  <c r="X20" i="5"/>
  <c r="Y20" i="5"/>
  <c r="V21" i="5"/>
  <c r="W21" i="5"/>
  <c r="X21" i="5"/>
  <c r="Y21" i="5"/>
  <c r="V22" i="5"/>
  <c r="W22" i="5"/>
  <c r="X22" i="5"/>
  <c r="Y22" i="5"/>
  <c r="V23" i="5"/>
  <c r="W23" i="5"/>
  <c r="X23" i="5"/>
  <c r="Y23" i="5"/>
  <c r="V24" i="5"/>
  <c r="W24" i="5"/>
  <c r="X24" i="5"/>
  <c r="Y24" i="5"/>
  <c r="K19" i="7" l="1"/>
  <c r="S36" i="5"/>
  <c r="V36" i="5" s="1"/>
  <c r="T42" i="5"/>
  <c r="W42" i="5" s="1"/>
  <c r="S31" i="5"/>
  <c r="Y31" i="5" s="1"/>
  <c r="T32" i="5"/>
  <c r="V32" i="5" s="1"/>
  <c r="T31" i="5"/>
  <c r="X31" i="5" s="1"/>
  <c r="V30" i="5"/>
  <c r="W30" i="5"/>
  <c r="X30" i="5"/>
  <c r="Y30" i="5"/>
  <c r="Y32" i="5"/>
  <c r="V33" i="5"/>
  <c r="W33" i="5"/>
  <c r="X33" i="5"/>
  <c r="Y33" i="5"/>
  <c r="V35" i="5"/>
  <c r="W35" i="5"/>
  <c r="X35" i="5"/>
  <c r="Y35" i="5"/>
  <c r="W36" i="5"/>
  <c r="X36" i="5"/>
  <c r="V37" i="5"/>
  <c r="W37" i="5"/>
  <c r="X37" i="5"/>
  <c r="Y37" i="5"/>
  <c r="V38" i="5"/>
  <c r="W38" i="5"/>
  <c r="X38" i="5"/>
  <c r="Y38" i="5"/>
  <c r="V39" i="5"/>
  <c r="W39" i="5"/>
  <c r="X39" i="5"/>
  <c r="Y39" i="5"/>
  <c r="V40" i="5"/>
  <c r="W40" i="5"/>
  <c r="X40" i="5"/>
  <c r="Y40" i="5"/>
  <c r="V41" i="5"/>
  <c r="W41" i="5"/>
  <c r="X41" i="5"/>
  <c r="Y41" i="5"/>
  <c r="Y42" i="5"/>
  <c r="V43" i="5"/>
  <c r="W43" i="5"/>
  <c r="X43" i="5"/>
  <c r="Y43" i="5"/>
  <c r="W32" i="5" l="1"/>
  <c r="Y36" i="5"/>
  <c r="V42" i="5"/>
  <c r="X42" i="5"/>
  <c r="V31" i="5"/>
  <c r="X32" i="5"/>
  <c r="W31" i="5"/>
  <c r="Y63" i="5"/>
  <c r="X63" i="5"/>
  <c r="W63" i="5"/>
  <c r="V63" i="5"/>
  <c r="Y62" i="5"/>
  <c r="X62" i="5"/>
  <c r="W62" i="5"/>
  <c r="V62" i="5"/>
  <c r="Y61" i="5"/>
  <c r="X61" i="5"/>
  <c r="W61" i="5"/>
  <c r="V61" i="5"/>
  <c r="Y60" i="5"/>
  <c r="X60" i="5"/>
  <c r="W60" i="5"/>
  <c r="V60" i="5"/>
  <c r="Y59" i="5"/>
  <c r="X59" i="5"/>
  <c r="W59" i="5"/>
  <c r="V59" i="5"/>
  <c r="Y58" i="5"/>
  <c r="X58" i="5"/>
  <c r="W58" i="5"/>
  <c r="V58" i="5"/>
  <c r="Y56" i="5"/>
  <c r="X56" i="5"/>
  <c r="W56" i="5"/>
  <c r="V56" i="5"/>
  <c r="Y55" i="5"/>
  <c r="X55" i="5"/>
  <c r="W55" i="5"/>
  <c r="V55" i="5"/>
  <c r="Y54" i="5"/>
  <c r="X54" i="5"/>
  <c r="W54" i="5"/>
  <c r="V54" i="5"/>
  <c r="Y53" i="5"/>
  <c r="X53" i="5"/>
  <c r="W53" i="5"/>
  <c r="V53" i="5"/>
  <c r="Y52" i="5"/>
  <c r="X52" i="5"/>
  <c r="W52" i="5"/>
  <c r="V52" i="5"/>
  <c r="Y49" i="5"/>
  <c r="X49" i="5"/>
  <c r="W49" i="5"/>
  <c r="V49" i="5"/>
  <c r="Y48" i="5"/>
  <c r="X48" i="5"/>
  <c r="W48" i="5"/>
  <c r="V48" i="5"/>
  <c r="Y29" i="5"/>
  <c r="X29" i="5"/>
  <c r="W29" i="5"/>
  <c r="V29" i="5"/>
  <c r="Y47" i="5"/>
  <c r="X47" i="5"/>
  <c r="W47" i="5"/>
  <c r="V47" i="5"/>
  <c r="Y46" i="5"/>
  <c r="X46" i="5"/>
  <c r="W46" i="5"/>
  <c r="V46" i="5"/>
  <c r="Y45" i="5"/>
  <c r="X45" i="5"/>
  <c r="W45" i="5"/>
  <c r="V45" i="5"/>
  <c r="Y44" i="5"/>
  <c r="X44" i="5"/>
  <c r="W44" i="5"/>
  <c r="V44" i="5"/>
  <c r="Y2" i="5"/>
  <c r="X2" i="5"/>
  <c r="W2" i="5"/>
  <c r="V2" i="5"/>
  <c r="S67" i="5"/>
  <c r="T67" i="5"/>
  <c r="U67" i="5"/>
  <c r="U221" i="4"/>
  <c r="U223" i="4" s="1"/>
  <c r="W67" i="5" l="1"/>
  <c r="Y67" i="5"/>
  <c r="X67" i="5"/>
  <c r="V67" i="5"/>
  <c r="W221" i="4" l="1"/>
  <c r="W223" i="4" s="1"/>
  <c r="Z141" i="4" l="1"/>
  <c r="Z144" i="4"/>
  <c r="Z145" i="4"/>
  <c r="W146" i="4"/>
  <c r="Z147" i="4"/>
  <c r="Z148" i="4"/>
  <c r="Z149" i="4"/>
  <c r="Z150" i="4"/>
  <c r="Z151" i="4"/>
  <c r="Z153" i="4"/>
  <c r="Z154" i="4"/>
  <c r="Z155" i="4"/>
  <c r="Z156" i="4"/>
  <c r="W158" i="4"/>
  <c r="Z159" i="4"/>
  <c r="W160" i="4"/>
  <c r="Z163" i="4"/>
  <c r="Z164" i="4"/>
  <c r="Z165" i="4"/>
  <c r="W168" i="4"/>
  <c r="Z169" i="4"/>
  <c r="Z170" i="4"/>
  <c r="Z172" i="4"/>
  <c r="Z173" i="4"/>
  <c r="Z174" i="4"/>
  <c r="Z175" i="4"/>
  <c r="Z177" i="4"/>
  <c r="Z179" i="4"/>
  <c r="Z180" i="4"/>
  <c r="Z181" i="4"/>
  <c r="Z184" i="4"/>
  <c r="Z185" i="4"/>
  <c r="Z187" i="4"/>
  <c r="Z188" i="4"/>
  <c r="Z189" i="4"/>
  <c r="Z191" i="4"/>
  <c r="Z192" i="4"/>
  <c r="Z193" i="4"/>
  <c r="Z194" i="4"/>
  <c r="W195" i="4"/>
  <c r="Z196" i="4"/>
  <c r="Z198" i="4"/>
  <c r="Z199" i="4"/>
  <c r="Z200" i="4"/>
  <c r="Z201" i="4"/>
  <c r="W202" i="4"/>
  <c r="Z203" i="4"/>
  <c r="Z204" i="4"/>
  <c r="Z205" i="4"/>
  <c r="Z206" i="4"/>
  <c r="Z207" i="4"/>
  <c r="W208" i="4"/>
  <c r="Z209" i="4"/>
  <c r="Z210" i="4"/>
  <c r="Z211" i="4"/>
  <c r="Z212" i="4"/>
  <c r="Z213" i="4"/>
  <c r="Z214" i="4"/>
  <c r="Z215" i="4"/>
  <c r="W216" i="4"/>
  <c r="Z217" i="4"/>
  <c r="W218" i="4"/>
  <c r="Z2" i="4"/>
  <c r="Y218" i="4"/>
  <c r="X218" i="4"/>
  <c r="Y217" i="4"/>
  <c r="X217" i="4"/>
  <c r="Y216" i="4"/>
  <c r="X216" i="4"/>
  <c r="Y215" i="4"/>
  <c r="X215" i="4"/>
  <c r="Y214" i="4"/>
  <c r="X214" i="4"/>
  <c r="Y213" i="4"/>
  <c r="X213" i="4"/>
  <c r="Y212" i="4"/>
  <c r="X212" i="4"/>
  <c r="Y211" i="4"/>
  <c r="X211" i="4"/>
  <c r="Y210" i="4"/>
  <c r="X210" i="4"/>
  <c r="Y209" i="4"/>
  <c r="X209" i="4"/>
  <c r="Y208" i="4"/>
  <c r="X208" i="4"/>
  <c r="Y207" i="4"/>
  <c r="X207" i="4"/>
  <c r="Y206" i="4"/>
  <c r="X206" i="4"/>
  <c r="Y205" i="4"/>
  <c r="X205" i="4"/>
  <c r="Y204" i="4"/>
  <c r="X204" i="4"/>
  <c r="Y203" i="4"/>
  <c r="X203" i="4"/>
  <c r="Y202" i="4"/>
  <c r="X202" i="4"/>
  <c r="Y201" i="4"/>
  <c r="X201" i="4"/>
  <c r="Y200" i="4"/>
  <c r="X200" i="4"/>
  <c r="Y199" i="4"/>
  <c r="X199" i="4"/>
  <c r="Y198" i="4"/>
  <c r="X198" i="4"/>
  <c r="Y196" i="4"/>
  <c r="X196" i="4"/>
  <c r="Y195" i="4"/>
  <c r="X195" i="4"/>
  <c r="Y194" i="4"/>
  <c r="X194" i="4"/>
  <c r="Y193" i="4"/>
  <c r="X193" i="4"/>
  <c r="Y192" i="4"/>
  <c r="X192" i="4"/>
  <c r="Y191" i="4"/>
  <c r="X191" i="4"/>
  <c r="Y189" i="4"/>
  <c r="X189" i="4"/>
  <c r="Y188" i="4"/>
  <c r="X188" i="4"/>
  <c r="Y187" i="4"/>
  <c r="X187" i="4"/>
  <c r="Y185" i="4"/>
  <c r="X185" i="4"/>
  <c r="Y184" i="4"/>
  <c r="X184" i="4"/>
  <c r="Y181" i="4"/>
  <c r="X181" i="4"/>
  <c r="Y180" i="4"/>
  <c r="X180" i="4"/>
  <c r="Y179" i="4"/>
  <c r="X179" i="4"/>
  <c r="Y177" i="4"/>
  <c r="X177" i="4"/>
  <c r="Y175" i="4"/>
  <c r="X175" i="4"/>
  <c r="Y174" i="4"/>
  <c r="X174" i="4"/>
  <c r="Y173" i="4"/>
  <c r="X173" i="4"/>
  <c r="Y172" i="4"/>
  <c r="X172" i="4"/>
  <c r="Y170" i="4"/>
  <c r="X170" i="4"/>
  <c r="Y169" i="4"/>
  <c r="X169" i="4"/>
  <c r="Y168" i="4"/>
  <c r="X168" i="4"/>
  <c r="Y165" i="4"/>
  <c r="X165" i="4"/>
  <c r="Y164" i="4"/>
  <c r="X164" i="4"/>
  <c r="Y163" i="4"/>
  <c r="X163" i="4"/>
  <c r="Y160" i="4"/>
  <c r="X160" i="4"/>
  <c r="Y159" i="4"/>
  <c r="X159" i="4"/>
  <c r="Y158" i="4"/>
  <c r="X158" i="4"/>
  <c r="Y156" i="4"/>
  <c r="X156" i="4"/>
  <c r="Y155" i="4"/>
  <c r="X155" i="4"/>
  <c r="Y154" i="4"/>
  <c r="X154" i="4"/>
  <c r="Y153" i="4"/>
  <c r="X153" i="4"/>
  <c r="Y151" i="4"/>
  <c r="X151" i="4"/>
  <c r="Y150" i="4"/>
  <c r="X150" i="4"/>
  <c r="Y149" i="4"/>
  <c r="X149" i="4"/>
  <c r="Y148" i="4"/>
  <c r="X148" i="4"/>
  <c r="Y147" i="4"/>
  <c r="X147" i="4"/>
  <c r="Y146" i="4"/>
  <c r="X146" i="4"/>
  <c r="Y145" i="4"/>
  <c r="X145" i="4"/>
  <c r="Y144" i="4"/>
  <c r="X144" i="4"/>
  <c r="Y141" i="4"/>
  <c r="X141" i="4"/>
  <c r="Z139" i="4"/>
  <c r="Y139" i="4"/>
  <c r="X139" i="4"/>
  <c r="W139" i="4"/>
  <c r="Z138" i="4"/>
  <c r="Y138" i="4"/>
  <c r="X138" i="4"/>
  <c r="W138" i="4"/>
  <c r="Z137" i="4"/>
  <c r="Y137" i="4"/>
  <c r="X137" i="4"/>
  <c r="W137" i="4"/>
  <c r="Z134" i="4"/>
  <c r="Y134" i="4"/>
  <c r="X134" i="4"/>
  <c r="W134" i="4"/>
  <c r="Z133" i="4"/>
  <c r="Y133" i="4"/>
  <c r="X133" i="4"/>
  <c r="W133" i="4"/>
  <c r="Z132" i="4"/>
  <c r="Y132" i="4"/>
  <c r="X132" i="4"/>
  <c r="W132" i="4"/>
  <c r="Z131" i="4"/>
  <c r="Y131" i="4"/>
  <c r="X131" i="4"/>
  <c r="W131" i="4"/>
  <c r="Z130" i="4"/>
  <c r="Y130" i="4"/>
  <c r="X130" i="4"/>
  <c r="W130" i="4"/>
  <c r="Z129" i="4"/>
  <c r="Y129" i="4"/>
  <c r="X129" i="4"/>
  <c r="W129" i="4"/>
  <c r="Z126" i="4"/>
  <c r="Y126" i="4"/>
  <c r="X126" i="4"/>
  <c r="W126" i="4"/>
  <c r="Z125" i="4"/>
  <c r="Y125" i="4"/>
  <c r="X125" i="4"/>
  <c r="W125" i="4"/>
  <c r="Z124" i="4"/>
  <c r="Y124" i="4"/>
  <c r="X124" i="4"/>
  <c r="W124" i="4"/>
  <c r="Z123" i="4"/>
  <c r="Y123" i="4"/>
  <c r="X123" i="4"/>
  <c r="W123" i="4"/>
  <c r="Z122" i="4"/>
  <c r="Y122" i="4"/>
  <c r="X122" i="4"/>
  <c r="W122" i="4"/>
  <c r="Z121" i="4"/>
  <c r="Y121" i="4"/>
  <c r="X121" i="4"/>
  <c r="W121" i="4"/>
  <c r="Z120" i="4"/>
  <c r="Y120" i="4"/>
  <c r="X120" i="4"/>
  <c r="W120" i="4"/>
  <c r="Z119" i="4"/>
  <c r="Y119" i="4"/>
  <c r="X119" i="4"/>
  <c r="W119" i="4"/>
  <c r="Z117" i="4"/>
  <c r="Y117" i="4"/>
  <c r="X117" i="4"/>
  <c r="W117" i="4"/>
  <c r="Z116" i="4"/>
  <c r="Y116" i="4"/>
  <c r="X116" i="4"/>
  <c r="W116" i="4"/>
  <c r="Z115" i="4"/>
  <c r="Y115" i="4"/>
  <c r="X115" i="4"/>
  <c r="W115" i="4"/>
  <c r="Z113" i="4"/>
  <c r="Y113" i="4"/>
  <c r="X113" i="4"/>
  <c r="W113" i="4"/>
  <c r="Z112" i="4"/>
  <c r="Y112" i="4"/>
  <c r="X112" i="4"/>
  <c r="W112" i="4"/>
  <c r="Z111" i="4"/>
  <c r="Y111" i="4"/>
  <c r="X111" i="4"/>
  <c r="W111" i="4"/>
  <c r="Z110" i="4"/>
  <c r="Y110" i="4"/>
  <c r="X110" i="4"/>
  <c r="W110" i="4"/>
  <c r="Z109" i="4"/>
  <c r="Y109" i="4"/>
  <c r="X109" i="4"/>
  <c r="W109" i="4"/>
  <c r="Z108" i="4"/>
  <c r="Y108" i="4"/>
  <c r="X108" i="4"/>
  <c r="W108" i="4"/>
  <c r="Z107" i="4"/>
  <c r="Y107" i="4"/>
  <c r="X107" i="4"/>
  <c r="W107" i="4"/>
  <c r="Z106" i="4"/>
  <c r="Y106" i="4"/>
  <c r="X106" i="4"/>
  <c r="W106" i="4"/>
  <c r="Z105" i="4"/>
  <c r="Y105" i="4"/>
  <c r="X105" i="4"/>
  <c r="W105" i="4"/>
  <c r="Z104" i="4"/>
  <c r="Y104" i="4"/>
  <c r="X104" i="4"/>
  <c r="W104" i="4"/>
  <c r="Z102" i="4"/>
  <c r="Y102" i="4"/>
  <c r="X102" i="4"/>
  <c r="W102" i="4"/>
  <c r="Z101" i="4"/>
  <c r="Y101" i="4"/>
  <c r="X101" i="4"/>
  <c r="W101" i="4"/>
  <c r="Z99" i="4"/>
  <c r="Y99" i="4"/>
  <c r="X99" i="4"/>
  <c r="W99" i="4"/>
  <c r="Z97" i="4"/>
  <c r="Y97" i="4"/>
  <c r="X97" i="4"/>
  <c r="W97" i="4"/>
  <c r="Z95" i="4"/>
  <c r="Y95" i="4"/>
  <c r="X95" i="4"/>
  <c r="W95" i="4"/>
  <c r="Z94" i="4"/>
  <c r="Y94" i="4"/>
  <c r="X94" i="4"/>
  <c r="W94" i="4"/>
  <c r="Z93" i="4"/>
  <c r="Y93" i="4"/>
  <c r="X93" i="4"/>
  <c r="W93" i="4"/>
  <c r="Z91" i="4"/>
  <c r="Y91" i="4"/>
  <c r="X91" i="4"/>
  <c r="W91" i="4"/>
  <c r="Z90" i="4"/>
  <c r="Y90" i="4"/>
  <c r="X90" i="4"/>
  <c r="W90" i="4"/>
  <c r="Z88" i="4"/>
  <c r="Y88" i="4"/>
  <c r="X88" i="4"/>
  <c r="W88" i="4"/>
  <c r="Z85" i="4"/>
  <c r="Y85" i="4"/>
  <c r="X85" i="4"/>
  <c r="W85" i="4"/>
  <c r="Z84" i="4"/>
  <c r="Y84" i="4"/>
  <c r="X84" i="4"/>
  <c r="W84" i="4"/>
  <c r="Z83" i="4"/>
  <c r="Y83" i="4"/>
  <c r="X83" i="4"/>
  <c r="W83" i="4"/>
  <c r="Z82" i="4"/>
  <c r="Y82" i="4"/>
  <c r="X82" i="4"/>
  <c r="W82" i="4"/>
  <c r="Z81" i="4"/>
  <c r="Y81" i="4"/>
  <c r="X81" i="4"/>
  <c r="W81" i="4"/>
  <c r="Z80" i="4"/>
  <c r="Y80" i="4"/>
  <c r="X80" i="4"/>
  <c r="W80" i="4"/>
  <c r="Z79" i="4"/>
  <c r="Y79" i="4"/>
  <c r="X79" i="4"/>
  <c r="W79" i="4"/>
  <c r="Z77" i="4"/>
  <c r="Y77" i="4"/>
  <c r="X77" i="4"/>
  <c r="W77" i="4"/>
  <c r="Z76" i="4"/>
  <c r="Y76" i="4"/>
  <c r="X76" i="4"/>
  <c r="W76" i="4"/>
  <c r="Z75" i="4"/>
  <c r="Y75" i="4"/>
  <c r="X75" i="4"/>
  <c r="W75" i="4"/>
  <c r="Z74" i="4"/>
  <c r="Y74" i="4"/>
  <c r="X74" i="4"/>
  <c r="W74" i="4"/>
  <c r="Z73" i="4"/>
  <c r="Y73" i="4"/>
  <c r="X73" i="4"/>
  <c r="W73" i="4"/>
  <c r="Z72" i="4"/>
  <c r="Y72" i="4"/>
  <c r="X72" i="4"/>
  <c r="W72" i="4"/>
  <c r="Z71" i="4"/>
  <c r="Y71" i="4"/>
  <c r="X71" i="4"/>
  <c r="W71" i="4"/>
  <c r="Z70" i="4"/>
  <c r="Y70" i="4"/>
  <c r="X70" i="4"/>
  <c r="W70" i="4"/>
  <c r="Z69" i="4"/>
  <c r="Y69" i="4"/>
  <c r="X69" i="4"/>
  <c r="W69" i="4"/>
  <c r="Z68" i="4"/>
  <c r="Y68" i="4"/>
  <c r="X68" i="4"/>
  <c r="W68" i="4"/>
  <c r="Z67" i="4"/>
  <c r="Y67" i="4"/>
  <c r="X67" i="4"/>
  <c r="W67" i="4"/>
  <c r="Z66" i="4"/>
  <c r="Y66" i="4"/>
  <c r="X66" i="4"/>
  <c r="W66" i="4"/>
  <c r="Z65" i="4"/>
  <c r="Y65" i="4"/>
  <c r="X65" i="4"/>
  <c r="W65" i="4"/>
  <c r="Z64" i="4"/>
  <c r="Y64" i="4"/>
  <c r="X64" i="4"/>
  <c r="W64" i="4"/>
  <c r="Z63" i="4"/>
  <c r="Y63" i="4"/>
  <c r="X63" i="4"/>
  <c r="W63" i="4"/>
  <c r="Z62" i="4"/>
  <c r="Y62" i="4"/>
  <c r="X62" i="4"/>
  <c r="W62" i="4"/>
  <c r="Z61" i="4"/>
  <c r="Y61" i="4"/>
  <c r="X61" i="4"/>
  <c r="W61" i="4"/>
  <c r="Z60" i="4"/>
  <c r="Y60" i="4"/>
  <c r="X60" i="4"/>
  <c r="W60" i="4"/>
  <c r="Z59" i="4"/>
  <c r="Y59" i="4"/>
  <c r="X59" i="4"/>
  <c r="W59" i="4"/>
  <c r="Z58" i="4"/>
  <c r="Y58" i="4"/>
  <c r="X58" i="4"/>
  <c r="W58" i="4"/>
  <c r="Z56" i="4"/>
  <c r="Y56" i="4"/>
  <c r="X56" i="4"/>
  <c r="W56" i="4"/>
  <c r="Z55" i="4"/>
  <c r="Y55" i="4"/>
  <c r="X55" i="4"/>
  <c r="W55" i="4"/>
  <c r="Z54" i="4"/>
  <c r="Y54" i="4"/>
  <c r="X54" i="4"/>
  <c r="W54" i="4"/>
  <c r="Z53" i="4"/>
  <c r="Y53" i="4"/>
  <c r="X53" i="4"/>
  <c r="W53" i="4"/>
  <c r="Z52" i="4"/>
  <c r="Y52" i="4"/>
  <c r="X52" i="4"/>
  <c r="W52" i="4"/>
  <c r="Z51" i="4"/>
  <c r="Y51" i="4"/>
  <c r="X51" i="4"/>
  <c r="W51" i="4"/>
  <c r="Z50" i="4"/>
  <c r="Y50" i="4"/>
  <c r="X50" i="4"/>
  <c r="W50" i="4"/>
  <c r="Z49" i="4"/>
  <c r="Y49" i="4"/>
  <c r="X49" i="4"/>
  <c r="W49" i="4"/>
  <c r="Z48" i="4"/>
  <c r="Y48" i="4"/>
  <c r="X48" i="4"/>
  <c r="W48" i="4"/>
  <c r="Z47" i="4"/>
  <c r="Y47" i="4"/>
  <c r="X47" i="4"/>
  <c r="W47" i="4"/>
  <c r="Z46" i="4"/>
  <c r="Y46" i="4"/>
  <c r="X46" i="4"/>
  <c r="W46" i="4"/>
  <c r="Z45" i="4"/>
  <c r="Y45" i="4"/>
  <c r="X45" i="4"/>
  <c r="W45" i="4"/>
  <c r="Z44" i="4"/>
  <c r="Y44" i="4"/>
  <c r="X44" i="4"/>
  <c r="W44" i="4"/>
  <c r="Z43" i="4"/>
  <c r="Y43" i="4"/>
  <c r="X43" i="4"/>
  <c r="W43" i="4"/>
  <c r="Z42" i="4"/>
  <c r="Y42" i="4"/>
  <c r="X42" i="4"/>
  <c r="W42" i="4"/>
  <c r="Z41" i="4"/>
  <c r="Y41" i="4"/>
  <c r="X41" i="4"/>
  <c r="W41" i="4"/>
  <c r="Z40" i="4"/>
  <c r="Y40" i="4"/>
  <c r="X40" i="4"/>
  <c r="W40" i="4"/>
  <c r="Z39" i="4"/>
  <c r="Y39" i="4"/>
  <c r="X39" i="4"/>
  <c r="W39" i="4"/>
  <c r="W21" i="4"/>
  <c r="X21" i="4"/>
  <c r="Y21" i="4"/>
  <c r="Z21" i="4"/>
  <c r="W22" i="4"/>
  <c r="X22" i="4"/>
  <c r="Y22" i="4"/>
  <c r="Z22" i="4"/>
  <c r="W23" i="4"/>
  <c r="X23" i="4"/>
  <c r="Y23" i="4"/>
  <c r="Z23" i="4"/>
  <c r="W24" i="4"/>
  <c r="X24" i="4"/>
  <c r="Y24" i="4"/>
  <c r="Z24" i="4"/>
  <c r="W25" i="4"/>
  <c r="X25" i="4"/>
  <c r="Y25" i="4"/>
  <c r="Z25" i="4"/>
  <c r="W26" i="4"/>
  <c r="X26" i="4"/>
  <c r="Y26" i="4"/>
  <c r="Z26" i="4"/>
  <c r="W27" i="4"/>
  <c r="X27" i="4"/>
  <c r="Y27" i="4"/>
  <c r="Z27" i="4"/>
  <c r="W28" i="4"/>
  <c r="X28" i="4"/>
  <c r="Y28" i="4"/>
  <c r="Z28" i="4"/>
  <c r="W29" i="4"/>
  <c r="X29" i="4"/>
  <c r="Y29" i="4"/>
  <c r="Z29" i="4"/>
  <c r="W30" i="4"/>
  <c r="X30" i="4"/>
  <c r="Y30" i="4"/>
  <c r="Z30" i="4"/>
  <c r="W31" i="4"/>
  <c r="X31" i="4"/>
  <c r="Z31" i="4"/>
  <c r="W32" i="4"/>
  <c r="X32" i="4"/>
  <c r="Y32" i="4"/>
  <c r="Z32" i="4"/>
  <c r="W33" i="4"/>
  <c r="X33" i="4"/>
  <c r="Y33" i="4"/>
  <c r="Z33" i="4"/>
  <c r="W34" i="4"/>
  <c r="X34" i="4"/>
  <c r="Y34" i="4"/>
  <c r="Z34" i="4"/>
  <c r="W35" i="4"/>
  <c r="X35" i="4"/>
  <c r="Y35" i="4"/>
  <c r="Z35" i="4"/>
  <c r="W36" i="4"/>
  <c r="X36" i="4"/>
  <c r="Y36" i="4"/>
  <c r="Z36" i="4"/>
  <c r="W37" i="4"/>
  <c r="X37" i="4"/>
  <c r="Y37" i="4"/>
  <c r="Z37" i="4"/>
  <c r="W38" i="4"/>
  <c r="X38" i="4"/>
  <c r="Y38" i="4"/>
  <c r="Z38" i="4"/>
  <c r="W3" i="4"/>
  <c r="X3" i="4"/>
  <c r="Y3" i="4"/>
  <c r="Z3" i="4"/>
  <c r="W4" i="4"/>
  <c r="X4" i="4"/>
  <c r="Y4" i="4"/>
  <c r="Z4" i="4"/>
  <c r="W5" i="4"/>
  <c r="X5" i="4"/>
  <c r="Y5" i="4"/>
  <c r="Z5" i="4"/>
  <c r="W6" i="4"/>
  <c r="X6" i="4"/>
  <c r="Y6" i="4"/>
  <c r="Z6" i="4"/>
  <c r="W7" i="4"/>
  <c r="X7" i="4"/>
  <c r="Y7" i="4"/>
  <c r="Z7" i="4"/>
  <c r="W8" i="4"/>
  <c r="X8" i="4"/>
  <c r="Y8" i="4"/>
  <c r="Z8" i="4"/>
  <c r="W9" i="4"/>
  <c r="X9" i="4"/>
  <c r="Y9" i="4"/>
  <c r="Z9" i="4"/>
  <c r="W10" i="4"/>
  <c r="X10" i="4"/>
  <c r="Y10" i="4"/>
  <c r="Z10" i="4"/>
  <c r="W11" i="4"/>
  <c r="X11" i="4"/>
  <c r="Y11" i="4"/>
  <c r="Z11" i="4"/>
  <c r="W12" i="4"/>
  <c r="X12" i="4"/>
  <c r="Y12" i="4"/>
  <c r="Z12" i="4"/>
  <c r="W13" i="4"/>
  <c r="X13" i="4"/>
  <c r="Y13" i="4"/>
  <c r="Z13" i="4"/>
  <c r="W14" i="4"/>
  <c r="X14" i="4"/>
  <c r="Y14" i="4"/>
  <c r="Z14" i="4"/>
  <c r="W15" i="4"/>
  <c r="X15" i="4"/>
  <c r="Y15" i="4"/>
  <c r="Z15" i="4"/>
  <c r="W16" i="4"/>
  <c r="X16" i="4"/>
  <c r="Y16" i="4"/>
  <c r="Z16" i="4"/>
  <c r="W17" i="4"/>
  <c r="X17" i="4"/>
  <c r="Y17" i="4"/>
  <c r="Z17" i="4"/>
  <c r="W18" i="4"/>
  <c r="X18" i="4"/>
  <c r="Y18" i="4"/>
  <c r="Z18" i="4"/>
  <c r="W19" i="4"/>
  <c r="X19" i="4"/>
  <c r="Y19" i="4"/>
  <c r="Z19" i="4"/>
  <c r="Y2" i="4"/>
  <c r="X2" i="4"/>
  <c r="W181" i="4" l="1"/>
  <c r="Z158" i="4"/>
  <c r="W200" i="4"/>
  <c r="W192" i="4"/>
  <c r="W209" i="4"/>
  <c r="Z218" i="4"/>
  <c r="W172" i="4"/>
  <c r="W169" i="4"/>
  <c r="Z202" i="4"/>
  <c r="Z168" i="4"/>
  <c r="W175" i="4"/>
  <c r="W170" i="4"/>
  <c r="W193" i="4"/>
  <c r="Z195" i="4"/>
  <c r="W203" i="4"/>
  <c r="W210" i="4"/>
  <c r="W156" i="4"/>
  <c r="W180" i="4"/>
  <c r="W185" i="4"/>
  <c r="W201" i="4"/>
  <c r="W211" i="4"/>
  <c r="W164" i="4"/>
  <c r="W206" i="4"/>
  <c r="W173" i="4"/>
  <c r="W198" i="4"/>
  <c r="W153" i="4"/>
  <c r="W184" i="4"/>
  <c r="W188" i="4"/>
  <c r="W214" i="4"/>
  <c r="Z146" i="4"/>
  <c r="W155" i="4"/>
  <c r="Z208" i="4"/>
  <c r="Z160" i="4"/>
  <c r="Z216" i="4"/>
  <c r="W179" i="4"/>
  <c r="W204" i="4"/>
  <c r="W217" i="4"/>
  <c r="W159" i="4"/>
  <c r="W191" i="4"/>
  <c r="W212" i="4"/>
  <c r="W194" i="4"/>
  <c r="W144" i="4"/>
  <c r="W148" i="4"/>
  <c r="W150" i="4"/>
  <c r="W141" i="4"/>
  <c r="W145" i="4"/>
  <c r="W147" i="4"/>
  <c r="W149" i="4"/>
  <c r="W151" i="4"/>
  <c r="W154" i="4"/>
  <c r="W163" i="4"/>
  <c r="W165" i="4"/>
  <c r="W174" i="4"/>
  <c r="W177" i="4"/>
  <c r="W187" i="4"/>
  <c r="W189" i="4"/>
  <c r="W196" i="4"/>
  <c r="W199" i="4"/>
  <c r="W205" i="4"/>
  <c r="W207" i="4"/>
  <c r="W213" i="4"/>
  <c r="W215" i="4"/>
  <c r="W2" i="4"/>
  <c r="V31" i="4"/>
  <c r="Y31" i="4" l="1"/>
  <c r="V221" i="4"/>
  <c r="Q122" i="6"/>
  <c r="Q142" i="6"/>
  <c r="Q129" i="6"/>
  <c r="Q128" i="6"/>
  <c r="Y221" i="4" l="1"/>
  <c r="Y223" i="4" s="1"/>
  <c r="V223" i="4"/>
  <c r="Z221" i="4"/>
  <c r="Z223" i="4" s="1"/>
  <c r="X221" i="4"/>
  <c r="X223" i="4" s="1"/>
  <c r="Q143" i="6"/>
  <c r="Q140" i="6"/>
  <c r="Q139" i="6"/>
  <c r="Q138" i="6"/>
  <c r="Q136" i="6"/>
  <c r="Q135" i="6"/>
  <c r="Q134" i="6"/>
  <c r="Q133" i="6"/>
  <c r="Q132" i="6"/>
  <c r="Q130" i="6"/>
  <c r="W3" i="3" l="1"/>
  <c r="T134" i="6"/>
  <c r="T145" i="6"/>
  <c r="U145" i="6"/>
  <c r="V145" i="6"/>
  <c r="W145" i="6"/>
  <c r="T146" i="6"/>
  <c r="U146" i="6"/>
  <c r="V146" i="6"/>
  <c r="W146" i="6"/>
  <c r="T135" i="6"/>
  <c r="U135" i="6"/>
  <c r="V135" i="6"/>
  <c r="W135" i="6"/>
  <c r="T136" i="6"/>
  <c r="U136" i="6"/>
  <c r="V136" i="6"/>
  <c r="W136" i="6"/>
  <c r="T137" i="6"/>
  <c r="U137" i="6"/>
  <c r="V137" i="6"/>
  <c r="W137" i="6"/>
  <c r="T138" i="6"/>
  <c r="U138" i="6"/>
  <c r="V138" i="6"/>
  <c r="W138" i="6"/>
  <c r="T139" i="6"/>
  <c r="U139" i="6"/>
  <c r="V139" i="6"/>
  <c r="W139" i="6"/>
  <c r="T140" i="6"/>
  <c r="U140" i="6"/>
  <c r="V140" i="6"/>
  <c r="W140" i="6"/>
  <c r="T141" i="6"/>
  <c r="U141" i="6"/>
  <c r="V141" i="6"/>
  <c r="W141" i="6"/>
  <c r="T142" i="6"/>
  <c r="U142" i="6"/>
  <c r="V142" i="6"/>
  <c r="W142" i="6"/>
  <c r="T143" i="6"/>
  <c r="U143" i="6"/>
  <c r="V143" i="6"/>
  <c r="W143" i="6"/>
  <c r="T144" i="6"/>
  <c r="U144" i="6"/>
  <c r="V144" i="6"/>
  <c r="W144" i="6"/>
  <c r="T121" i="6"/>
  <c r="U121" i="6"/>
  <c r="V121" i="6"/>
  <c r="W121" i="6"/>
  <c r="T122" i="6"/>
  <c r="U122" i="6"/>
  <c r="V122" i="6"/>
  <c r="W122" i="6"/>
  <c r="T123" i="6"/>
  <c r="U123" i="6"/>
  <c r="V123" i="6"/>
  <c r="W123" i="6"/>
  <c r="T124" i="6"/>
  <c r="U124" i="6"/>
  <c r="V124" i="6"/>
  <c r="W124" i="6"/>
  <c r="T126" i="6"/>
  <c r="U126" i="6"/>
  <c r="V126" i="6"/>
  <c r="W126" i="6"/>
  <c r="T127" i="6"/>
  <c r="U127" i="6"/>
  <c r="V127" i="6"/>
  <c r="W127" i="6"/>
  <c r="T128" i="6"/>
  <c r="U128" i="6"/>
  <c r="V128" i="6"/>
  <c r="W128" i="6"/>
  <c r="T129" i="6"/>
  <c r="U129" i="6"/>
  <c r="V129" i="6"/>
  <c r="W129" i="6"/>
  <c r="T130" i="6"/>
  <c r="U130" i="6"/>
  <c r="V130" i="6"/>
  <c r="W130" i="6"/>
  <c r="T131" i="6"/>
  <c r="U131" i="6"/>
  <c r="V131" i="6"/>
  <c r="W131" i="6"/>
  <c r="T132" i="6"/>
  <c r="U132" i="6"/>
  <c r="V132" i="6"/>
  <c r="W132" i="6"/>
  <c r="T133" i="6"/>
  <c r="U133" i="6"/>
  <c r="V133" i="6"/>
  <c r="W133" i="6"/>
  <c r="U134" i="6"/>
  <c r="V134" i="6"/>
  <c r="W134" i="6"/>
  <c r="Q244" i="6"/>
  <c r="T244" i="6" s="1"/>
  <c r="R269" i="6"/>
  <c r="R271" i="6" s="1"/>
  <c r="T264" i="6"/>
  <c r="U264" i="6"/>
  <c r="V264" i="6"/>
  <c r="W264" i="6"/>
  <c r="Q247" i="6"/>
  <c r="W247" i="6" s="1"/>
  <c r="Q253" i="6"/>
  <c r="W253" i="6" s="1"/>
  <c r="Q254" i="6"/>
  <c r="T254" i="6" s="1"/>
  <c r="Q255" i="6"/>
  <c r="T255" i="6" s="1"/>
  <c r="Q259" i="6"/>
  <c r="T259" i="6" s="1"/>
  <c r="Q258" i="6"/>
  <c r="W258" i="6" s="1"/>
  <c r="Q256" i="6"/>
  <c r="T256" i="6" s="1"/>
  <c r="T263" i="6"/>
  <c r="W262" i="6"/>
  <c r="T261" i="6"/>
  <c r="T260" i="6"/>
  <c r="Q257" i="6"/>
  <c r="T257" i="6" s="1"/>
  <c r="Q246" i="6"/>
  <c r="T246" i="6" s="1"/>
  <c r="Q245" i="6"/>
  <c r="W245" i="6" s="1"/>
  <c r="U259" i="6"/>
  <c r="V259" i="6"/>
  <c r="U260" i="6"/>
  <c r="V260" i="6"/>
  <c r="U261" i="6"/>
  <c r="V261" i="6"/>
  <c r="U262" i="6"/>
  <c r="V262" i="6"/>
  <c r="U263" i="6"/>
  <c r="V263" i="6"/>
  <c r="U244" i="6"/>
  <c r="V244" i="6"/>
  <c r="U245" i="6"/>
  <c r="V245" i="6"/>
  <c r="U246" i="6"/>
  <c r="V246" i="6"/>
  <c r="U247" i="6"/>
  <c r="V247" i="6"/>
  <c r="T248" i="6"/>
  <c r="U248" i="6"/>
  <c r="V248" i="6"/>
  <c r="W248" i="6"/>
  <c r="T249" i="6"/>
  <c r="U249" i="6"/>
  <c r="V249" i="6"/>
  <c r="W249" i="6"/>
  <c r="T250" i="6"/>
  <c r="U250" i="6"/>
  <c r="V250" i="6"/>
  <c r="W250" i="6"/>
  <c r="T251" i="6"/>
  <c r="U251" i="6"/>
  <c r="V251" i="6"/>
  <c r="W251" i="6"/>
  <c r="T252" i="6"/>
  <c r="U252" i="6"/>
  <c r="V252" i="6"/>
  <c r="W252" i="6"/>
  <c r="U253" i="6"/>
  <c r="V253" i="6"/>
  <c r="U254" i="6"/>
  <c r="V254" i="6"/>
  <c r="U255" i="6"/>
  <c r="V255" i="6"/>
  <c r="U256" i="6"/>
  <c r="V256" i="6"/>
  <c r="U257" i="6"/>
  <c r="V257" i="6"/>
  <c r="U258" i="6"/>
  <c r="V258" i="6"/>
  <c r="Q197" i="6"/>
  <c r="Q195" i="6"/>
  <c r="Q190" i="6"/>
  <c r="Q178" i="6"/>
  <c r="Q188" i="6"/>
  <c r="Q205" i="6"/>
  <c r="Q191" i="6"/>
  <c r="Q192" i="6"/>
  <c r="Q181" i="6"/>
  <c r="Q198" i="6"/>
  <c r="Q199" i="6"/>
  <c r="Q203" i="6"/>
  <c r="Q196" i="6"/>
  <c r="Q194" i="6"/>
  <c r="Q189" i="6"/>
  <c r="Q176" i="6"/>
  <c r="Q204" i="6"/>
  <c r="U193" i="6"/>
  <c r="V193" i="6"/>
  <c r="U194" i="6"/>
  <c r="V194" i="6"/>
  <c r="U195" i="6"/>
  <c r="V195" i="6"/>
  <c r="U196" i="6"/>
  <c r="V196" i="6"/>
  <c r="U197" i="6"/>
  <c r="V197" i="6"/>
  <c r="U198" i="6"/>
  <c r="V198" i="6"/>
  <c r="U199" i="6"/>
  <c r="V199" i="6"/>
  <c r="U200" i="6"/>
  <c r="V200" i="6"/>
  <c r="U201" i="6"/>
  <c r="V201" i="6"/>
  <c r="U202" i="6"/>
  <c r="V202" i="6"/>
  <c r="U203" i="6"/>
  <c r="V203" i="6"/>
  <c r="U204" i="6"/>
  <c r="V204" i="6"/>
  <c r="U205" i="6"/>
  <c r="V205" i="6"/>
  <c r="U183" i="6"/>
  <c r="V183" i="6"/>
  <c r="U184" i="6"/>
  <c r="V184" i="6"/>
  <c r="U185" i="6"/>
  <c r="V185" i="6"/>
  <c r="U186" i="6"/>
  <c r="V186" i="6"/>
  <c r="U187" i="6"/>
  <c r="V187" i="6"/>
  <c r="U188" i="6"/>
  <c r="V188" i="6"/>
  <c r="U189" i="6"/>
  <c r="V189" i="6"/>
  <c r="U190" i="6"/>
  <c r="V190" i="6"/>
  <c r="U191" i="6"/>
  <c r="V191" i="6"/>
  <c r="U192" i="6"/>
  <c r="V192" i="6"/>
  <c r="U170" i="6"/>
  <c r="V170" i="6"/>
  <c r="U171" i="6"/>
  <c r="V171" i="6"/>
  <c r="U172" i="6"/>
  <c r="V172" i="6"/>
  <c r="U173" i="6"/>
  <c r="V173" i="6"/>
  <c r="U174" i="6"/>
  <c r="V174" i="6"/>
  <c r="U175" i="6"/>
  <c r="V175" i="6"/>
  <c r="U176" i="6"/>
  <c r="V176" i="6"/>
  <c r="U177" i="6"/>
  <c r="V177" i="6"/>
  <c r="U178" i="6"/>
  <c r="V178" i="6"/>
  <c r="U179" i="6"/>
  <c r="V179" i="6"/>
  <c r="U180" i="6"/>
  <c r="V180" i="6"/>
  <c r="U181" i="6"/>
  <c r="V181" i="6"/>
  <c r="U182" i="6"/>
  <c r="V182" i="6"/>
  <c r="W244" i="6" l="1"/>
  <c r="T253" i="6"/>
  <c r="W254" i="6"/>
  <c r="W255" i="6"/>
  <c r="W259" i="6"/>
  <c r="T258" i="6"/>
  <c r="W256" i="6"/>
  <c r="W246" i="6"/>
  <c r="W263" i="6"/>
  <c r="T262" i="6"/>
  <c r="W261" i="6"/>
  <c r="W260" i="6"/>
  <c r="W257" i="6"/>
  <c r="T247" i="6"/>
  <c r="T245" i="6"/>
  <c r="W199" i="6" l="1"/>
  <c r="T199" i="6"/>
  <c r="W170" i="6"/>
  <c r="T170" i="6"/>
  <c r="T186" i="6"/>
  <c r="W186" i="6"/>
  <c r="T175" i="6"/>
  <c r="W175" i="6"/>
  <c r="T185" i="6"/>
  <c r="W185" i="6"/>
  <c r="T174" i="6"/>
  <c r="W174" i="6"/>
  <c r="W183" i="6"/>
  <c r="T183" i="6"/>
  <c r="W172" i="6"/>
  <c r="T172" i="6"/>
  <c r="T197" i="6"/>
  <c r="W197" i="6"/>
  <c r="W179" i="6"/>
  <c r="T179" i="6"/>
  <c r="T171" i="6"/>
  <c r="W171" i="6"/>
  <c r="W189" i="6"/>
  <c r="T189" i="6"/>
  <c r="W204" i="6"/>
  <c r="T204" i="6"/>
  <c r="W176" i="6"/>
  <c r="T176" i="6"/>
  <c r="W201" i="6"/>
  <c r="T201" i="6"/>
  <c r="T193" i="6"/>
  <c r="W193" i="6"/>
  <c r="W181" i="6"/>
  <c r="T181" i="6"/>
  <c r="W184" i="6"/>
  <c r="T184" i="6"/>
  <c r="T173" i="6"/>
  <c r="W173" i="6"/>
  <c r="T198" i="6"/>
  <c r="W198" i="6"/>
  <c r="W190" i="6"/>
  <c r="T190" i="6"/>
  <c r="W205" i="6"/>
  <c r="T205" i="6"/>
  <c r="W178" i="6"/>
  <c r="T178" i="6"/>
  <c r="W196" i="6"/>
  <c r="T196" i="6"/>
  <c r="T188" i="6"/>
  <c r="W188" i="6"/>
  <c r="T203" i="6"/>
  <c r="W203" i="6"/>
  <c r="W194" i="6"/>
  <c r="T194" i="6"/>
  <c r="T182" i="6"/>
  <c r="W182" i="6"/>
  <c r="W200" i="6"/>
  <c r="T200" i="6"/>
  <c r="W192" i="6"/>
  <c r="T192" i="6"/>
  <c r="W191" i="6"/>
  <c r="T191" i="6"/>
  <c r="W180" i="6"/>
  <c r="T180" i="6"/>
  <c r="W177" i="6"/>
  <c r="T177" i="6"/>
  <c r="T195" i="6"/>
  <c r="W195" i="6"/>
  <c r="T187" i="6"/>
  <c r="W187" i="6"/>
  <c r="W202" i="6"/>
  <c r="T202" i="6"/>
  <c r="Q236" i="6" l="1"/>
  <c r="W236" i="6" s="1"/>
  <c r="Q148" i="6"/>
  <c r="W148" i="6" s="1"/>
  <c r="Q234" i="6"/>
  <c r="W234" i="6" s="1"/>
  <c r="Q231" i="6"/>
  <c r="T231" i="6" s="1"/>
  <c r="Q230" i="6"/>
  <c r="T230" i="6" s="1"/>
  <c r="Q229" i="6"/>
  <c r="T229" i="6" s="1"/>
  <c r="Q227" i="6"/>
  <c r="T227" i="6" s="1"/>
  <c r="Q243" i="6"/>
  <c r="W243" i="6" s="1"/>
  <c r="Q239" i="6"/>
  <c r="T239" i="6" s="1"/>
  <c r="Q232" i="6"/>
  <c r="W232" i="6" s="1"/>
  <c r="Q238" i="6"/>
  <c r="W238" i="6" s="1"/>
  <c r="Q233" i="6"/>
  <c r="W233" i="6" s="1"/>
  <c r="Q222" i="6"/>
  <c r="T222" i="6" s="1"/>
  <c r="Q217" i="6"/>
  <c r="T217" i="6" s="1"/>
  <c r="Q214" i="6"/>
  <c r="W214" i="6" s="1"/>
  <c r="Q216" i="6"/>
  <c r="W216" i="6" s="1"/>
  <c r="Q215" i="6"/>
  <c r="T215" i="6" s="1"/>
  <c r="Q209" i="6"/>
  <c r="W237" i="6"/>
  <c r="W240" i="6"/>
  <c r="W241" i="6"/>
  <c r="W223" i="6"/>
  <c r="T224" i="6"/>
  <c r="T226" i="6"/>
  <c r="T207" i="6"/>
  <c r="W208" i="6"/>
  <c r="W212" i="6"/>
  <c r="T213" i="6"/>
  <c r="W206" i="6"/>
  <c r="V243" i="6"/>
  <c r="U243" i="6"/>
  <c r="W242" i="6"/>
  <c r="V242" i="6"/>
  <c r="U242" i="6"/>
  <c r="T242" i="6"/>
  <c r="V241" i="6"/>
  <c r="U241" i="6"/>
  <c r="T241" i="6"/>
  <c r="V240" i="6"/>
  <c r="U240" i="6"/>
  <c r="T240" i="6"/>
  <c r="V239" i="6"/>
  <c r="U239" i="6"/>
  <c r="V238" i="6"/>
  <c r="U238" i="6"/>
  <c r="V237" i="6"/>
  <c r="U237" i="6"/>
  <c r="T237" i="6"/>
  <c r="V236" i="6"/>
  <c r="U236" i="6"/>
  <c r="W235" i="6"/>
  <c r="V235" i="6"/>
  <c r="U235" i="6"/>
  <c r="T235" i="6"/>
  <c r="V234" i="6"/>
  <c r="U234" i="6"/>
  <c r="V233" i="6"/>
  <c r="U233" i="6"/>
  <c r="V232" i="6"/>
  <c r="U232" i="6"/>
  <c r="V231" i="6"/>
  <c r="U231" i="6"/>
  <c r="V230" i="6"/>
  <c r="U230" i="6"/>
  <c r="V229" i="6"/>
  <c r="U229" i="6"/>
  <c r="W228" i="6"/>
  <c r="V228" i="6"/>
  <c r="U228" i="6"/>
  <c r="T228" i="6"/>
  <c r="V227" i="6"/>
  <c r="U227" i="6"/>
  <c r="W226" i="6"/>
  <c r="V226" i="6"/>
  <c r="U226" i="6"/>
  <c r="W225" i="6"/>
  <c r="V225" i="6"/>
  <c r="U225" i="6"/>
  <c r="T225" i="6"/>
  <c r="W224" i="6"/>
  <c r="V224" i="6"/>
  <c r="U224" i="6"/>
  <c r="V223" i="6"/>
  <c r="U223" i="6"/>
  <c r="T223" i="6"/>
  <c r="V222" i="6"/>
  <c r="U222" i="6"/>
  <c r="W221" i="6"/>
  <c r="V221" i="6"/>
  <c r="U221" i="6"/>
  <c r="T221" i="6"/>
  <c r="W219" i="6"/>
  <c r="U219" i="6"/>
  <c r="T219" i="6"/>
  <c r="W218" i="6"/>
  <c r="V218" i="6"/>
  <c r="U218" i="6"/>
  <c r="T218" i="6"/>
  <c r="V217" i="6"/>
  <c r="U217" i="6"/>
  <c r="V216" i="6"/>
  <c r="U216" i="6"/>
  <c r="V215" i="6"/>
  <c r="U215" i="6"/>
  <c r="V214" i="6"/>
  <c r="U214" i="6"/>
  <c r="V213" i="6"/>
  <c r="U213" i="6"/>
  <c r="V212" i="6"/>
  <c r="U212" i="6"/>
  <c r="W211" i="6"/>
  <c r="V211" i="6"/>
  <c r="U211" i="6"/>
  <c r="T211" i="6"/>
  <c r="W210" i="6"/>
  <c r="V210" i="6"/>
  <c r="U210" i="6"/>
  <c r="T210" i="6"/>
  <c r="V209" i="6"/>
  <c r="U209" i="6"/>
  <c r="V208" i="6"/>
  <c r="U208" i="6"/>
  <c r="W207" i="6"/>
  <c r="V207" i="6"/>
  <c r="U207" i="6"/>
  <c r="V206" i="6"/>
  <c r="U206" i="6"/>
  <c r="T206" i="6"/>
  <c r="S219" i="6"/>
  <c r="V219" i="6" s="1"/>
  <c r="Q147" i="6"/>
  <c r="W147" i="6" s="1"/>
  <c r="Q155" i="6"/>
  <c r="W155" i="6" s="1"/>
  <c r="Q156" i="6"/>
  <c r="W156" i="6" s="1"/>
  <c r="Q157" i="6"/>
  <c r="T157" i="6" s="1"/>
  <c r="Q168" i="6"/>
  <c r="W168" i="6" s="1"/>
  <c r="Q166" i="6"/>
  <c r="W166" i="6" s="1"/>
  <c r="Q152" i="6"/>
  <c r="W152" i="6" s="1"/>
  <c r="Q151" i="6"/>
  <c r="W151" i="6" s="1"/>
  <c r="Q153" i="6"/>
  <c r="T153" i="6" s="1"/>
  <c r="W169" i="6"/>
  <c r="V169" i="6"/>
  <c r="U169" i="6"/>
  <c r="T169" i="6"/>
  <c r="V168" i="6"/>
  <c r="U168" i="6"/>
  <c r="W167" i="6"/>
  <c r="V167" i="6"/>
  <c r="U167" i="6"/>
  <c r="T167" i="6"/>
  <c r="V166" i="6"/>
  <c r="U166" i="6"/>
  <c r="W165" i="6"/>
  <c r="V165" i="6"/>
  <c r="U165" i="6"/>
  <c r="T165" i="6"/>
  <c r="W164" i="6"/>
  <c r="V164" i="6"/>
  <c r="U164" i="6"/>
  <c r="T164" i="6"/>
  <c r="W163" i="6"/>
  <c r="V163" i="6"/>
  <c r="U163" i="6"/>
  <c r="T163" i="6"/>
  <c r="W162" i="6"/>
  <c r="V162" i="6"/>
  <c r="U162" i="6"/>
  <c r="T162" i="6"/>
  <c r="W161" i="6"/>
  <c r="V161" i="6"/>
  <c r="U161" i="6"/>
  <c r="T161" i="6"/>
  <c r="W160" i="6"/>
  <c r="V160" i="6"/>
  <c r="U160" i="6"/>
  <c r="T160" i="6"/>
  <c r="W159" i="6"/>
  <c r="V159" i="6"/>
  <c r="U159" i="6"/>
  <c r="T159" i="6"/>
  <c r="W158" i="6"/>
  <c r="V158" i="6"/>
  <c r="U158" i="6"/>
  <c r="T158" i="6"/>
  <c r="V157" i="6"/>
  <c r="U157" i="6"/>
  <c r="V156" i="6"/>
  <c r="U156" i="6"/>
  <c r="V155" i="6"/>
  <c r="U155" i="6"/>
  <c r="W154" i="6"/>
  <c r="V154" i="6"/>
  <c r="U154" i="6"/>
  <c r="T154" i="6"/>
  <c r="V153" i="6"/>
  <c r="U153" i="6"/>
  <c r="V152" i="6"/>
  <c r="U152" i="6"/>
  <c r="V151" i="6"/>
  <c r="U151" i="6"/>
  <c r="W150" i="6"/>
  <c r="V150" i="6"/>
  <c r="U150" i="6"/>
  <c r="T150" i="6"/>
  <c r="W149" i="6"/>
  <c r="V149" i="6"/>
  <c r="U149" i="6"/>
  <c r="T149" i="6"/>
  <c r="V148" i="6"/>
  <c r="U148" i="6"/>
  <c r="V147" i="6"/>
  <c r="U147" i="6"/>
  <c r="Q107" i="6"/>
  <c r="W107" i="6" s="1"/>
  <c r="Q99" i="6"/>
  <c r="W99" i="6" s="1"/>
  <c r="Q118" i="6"/>
  <c r="T118" i="6" s="1"/>
  <c r="Q114" i="6"/>
  <c r="W114" i="6" s="1"/>
  <c r="Q112" i="6"/>
  <c r="W112" i="6" s="1"/>
  <c r="Q103" i="6"/>
  <c r="W103" i="6" s="1"/>
  <c r="T113" i="6"/>
  <c r="T100" i="6"/>
  <c r="T104" i="6"/>
  <c r="W108" i="6"/>
  <c r="T119" i="6"/>
  <c r="W109" i="6"/>
  <c r="W110" i="6"/>
  <c r="W116" i="6"/>
  <c r="W117" i="6"/>
  <c r="T101" i="6"/>
  <c r="T105" i="6"/>
  <c r="U119" i="6"/>
  <c r="V119" i="6"/>
  <c r="T120" i="6"/>
  <c r="U120" i="6"/>
  <c r="V120" i="6"/>
  <c r="W120" i="6"/>
  <c r="T109" i="6"/>
  <c r="U109" i="6"/>
  <c r="V109" i="6"/>
  <c r="T110" i="6"/>
  <c r="U110" i="6"/>
  <c r="V110" i="6"/>
  <c r="T111" i="6"/>
  <c r="U111" i="6"/>
  <c r="V111" i="6"/>
  <c r="W111" i="6"/>
  <c r="U112" i="6"/>
  <c r="V112" i="6"/>
  <c r="U113" i="6"/>
  <c r="V113" i="6"/>
  <c r="W113" i="6"/>
  <c r="U114" i="6"/>
  <c r="V114" i="6"/>
  <c r="T115" i="6"/>
  <c r="U115" i="6"/>
  <c r="V115" i="6"/>
  <c r="W115" i="6"/>
  <c r="T116" i="6"/>
  <c r="U116" i="6"/>
  <c r="V116" i="6"/>
  <c r="T117" i="6"/>
  <c r="U117" i="6"/>
  <c r="V117" i="6"/>
  <c r="U118" i="6"/>
  <c r="V118" i="6"/>
  <c r="U99" i="6"/>
  <c r="V99" i="6"/>
  <c r="U100" i="6"/>
  <c r="V100" i="6"/>
  <c r="U101" i="6"/>
  <c r="V101" i="6"/>
  <c r="T102" i="6"/>
  <c r="U102" i="6"/>
  <c r="V102" i="6"/>
  <c r="W102" i="6"/>
  <c r="U103" i="6"/>
  <c r="V103" i="6"/>
  <c r="U104" i="6"/>
  <c r="V104" i="6"/>
  <c r="W104" i="6"/>
  <c r="U105" i="6"/>
  <c r="V105" i="6"/>
  <c r="W105" i="6"/>
  <c r="T106" i="6"/>
  <c r="U106" i="6"/>
  <c r="V106" i="6"/>
  <c r="W106" i="6"/>
  <c r="U107" i="6"/>
  <c r="V107" i="6"/>
  <c r="U108" i="6"/>
  <c r="V108" i="6"/>
  <c r="Q89" i="6"/>
  <c r="T89" i="6" s="1"/>
  <c r="Q88" i="6"/>
  <c r="T88" i="6" s="1"/>
  <c r="Q85" i="6"/>
  <c r="T92" i="6"/>
  <c r="U92" i="6"/>
  <c r="V92" i="6"/>
  <c r="W92" i="6"/>
  <c r="T93" i="6"/>
  <c r="U93" i="6"/>
  <c r="V93" i="6"/>
  <c r="W93" i="6"/>
  <c r="T94" i="6"/>
  <c r="U94" i="6"/>
  <c r="V94" i="6"/>
  <c r="W94" i="6"/>
  <c r="T95" i="6"/>
  <c r="U95" i="6"/>
  <c r="V95" i="6"/>
  <c r="W95" i="6"/>
  <c r="T96" i="6"/>
  <c r="U96" i="6"/>
  <c r="V96" i="6"/>
  <c r="W96" i="6"/>
  <c r="T97" i="6"/>
  <c r="U97" i="6"/>
  <c r="V97" i="6"/>
  <c r="W97" i="6"/>
  <c r="T98" i="6"/>
  <c r="U98" i="6"/>
  <c r="V98" i="6"/>
  <c r="W98" i="6"/>
  <c r="T78" i="6"/>
  <c r="U78" i="6"/>
  <c r="V78" i="6"/>
  <c r="W78" i="6"/>
  <c r="V79" i="6"/>
  <c r="W79" i="6"/>
  <c r="T80" i="6"/>
  <c r="U80" i="6"/>
  <c r="V80" i="6"/>
  <c r="W80" i="6"/>
  <c r="T81" i="6"/>
  <c r="U81" i="6"/>
  <c r="V81" i="6"/>
  <c r="W81" i="6"/>
  <c r="T82" i="6"/>
  <c r="U82" i="6"/>
  <c r="V82" i="6"/>
  <c r="W82" i="6"/>
  <c r="T83" i="6"/>
  <c r="U83" i="6"/>
  <c r="V83" i="6"/>
  <c r="W83" i="6"/>
  <c r="T84" i="6"/>
  <c r="U84" i="6"/>
  <c r="V84" i="6"/>
  <c r="W84" i="6"/>
  <c r="U85" i="6"/>
  <c r="V85" i="6"/>
  <c r="T86" i="6"/>
  <c r="U86" i="6"/>
  <c r="V86" i="6"/>
  <c r="W86" i="6"/>
  <c r="T87" i="6"/>
  <c r="U87" i="6"/>
  <c r="V87" i="6"/>
  <c r="W87" i="6"/>
  <c r="U88" i="6"/>
  <c r="V88" i="6"/>
  <c r="U89" i="6"/>
  <c r="V89" i="6"/>
  <c r="T90" i="6"/>
  <c r="U90" i="6"/>
  <c r="V90" i="6"/>
  <c r="W90" i="6"/>
  <c r="T91" i="6"/>
  <c r="U91" i="6"/>
  <c r="V91" i="6"/>
  <c r="W91" i="6"/>
  <c r="Q61" i="6"/>
  <c r="T236" i="6" l="1"/>
  <c r="T234" i="6"/>
  <c r="T243" i="6"/>
  <c r="W239" i="6"/>
  <c r="T232" i="6"/>
  <c r="W230" i="6"/>
  <c r="W229" i="6"/>
  <c r="W227" i="6"/>
  <c r="T238" i="6"/>
  <c r="T233" i="6"/>
  <c r="W222" i="6"/>
  <c r="W217" i="6"/>
  <c r="T214" i="6"/>
  <c r="T209" i="6"/>
  <c r="W231" i="6"/>
  <c r="W209" i="6"/>
  <c r="W213" i="6"/>
  <c r="W215" i="6"/>
  <c r="T208" i="6"/>
  <c r="T212" i="6"/>
  <c r="T216" i="6"/>
  <c r="T147" i="6"/>
  <c r="T166" i="6"/>
  <c r="W157" i="6"/>
  <c r="T155" i="6"/>
  <c r="T168" i="6"/>
  <c r="T156" i="6"/>
  <c r="W153" i="6"/>
  <c r="T152" i="6"/>
  <c r="T151" i="6"/>
  <c r="T148" i="6"/>
  <c r="T99" i="6"/>
  <c r="T112" i="6"/>
  <c r="T103" i="6"/>
  <c r="T114" i="6"/>
  <c r="T108" i="6"/>
  <c r="T107" i="6"/>
  <c r="W100" i="6"/>
  <c r="W119" i="6"/>
  <c r="W118" i="6"/>
  <c r="W101" i="6"/>
  <c r="W89" i="6"/>
  <c r="W88" i="6"/>
  <c r="W85" i="6"/>
  <c r="T85" i="6"/>
  <c r="W66" i="6" l="1"/>
  <c r="T67" i="6"/>
  <c r="T68" i="6"/>
  <c r="T70" i="6"/>
  <c r="W71" i="6"/>
  <c r="T73" i="6"/>
  <c r="T74" i="6"/>
  <c r="T75" i="6"/>
  <c r="W76" i="6"/>
  <c r="T77" i="6"/>
  <c r="T50" i="6"/>
  <c r="T51" i="6"/>
  <c r="T53" i="6"/>
  <c r="W56" i="6"/>
  <c r="T57" i="6"/>
  <c r="T58" i="6"/>
  <c r="T59" i="6"/>
  <c r="T60" i="6"/>
  <c r="T65" i="6"/>
  <c r="T41" i="6"/>
  <c r="W42" i="6"/>
  <c r="W45" i="6"/>
  <c r="T47" i="6"/>
  <c r="T48" i="6"/>
  <c r="T40" i="6"/>
  <c r="U40" i="6"/>
  <c r="V40" i="6"/>
  <c r="U41" i="6"/>
  <c r="V41" i="6"/>
  <c r="W41" i="6"/>
  <c r="T42" i="6"/>
  <c r="U42" i="6"/>
  <c r="V42" i="6"/>
  <c r="T43" i="6"/>
  <c r="U43" i="6"/>
  <c r="V43" i="6"/>
  <c r="W43" i="6"/>
  <c r="T44" i="6"/>
  <c r="U44" i="6"/>
  <c r="V44" i="6"/>
  <c r="W44" i="6"/>
  <c r="U65" i="6"/>
  <c r="V65" i="6"/>
  <c r="W65" i="6"/>
  <c r="U66" i="6"/>
  <c r="V66" i="6"/>
  <c r="U67" i="6"/>
  <c r="V67" i="6"/>
  <c r="U68" i="6"/>
  <c r="V68" i="6"/>
  <c r="W68" i="6"/>
  <c r="T69" i="6"/>
  <c r="U69" i="6"/>
  <c r="V69" i="6"/>
  <c r="W69" i="6"/>
  <c r="U70" i="6"/>
  <c r="V70" i="6"/>
  <c r="W70" i="6"/>
  <c r="U71" i="6"/>
  <c r="V71" i="6"/>
  <c r="T72" i="6"/>
  <c r="U72" i="6"/>
  <c r="V72" i="6"/>
  <c r="W72" i="6"/>
  <c r="U73" i="6"/>
  <c r="V73" i="6"/>
  <c r="W73" i="6"/>
  <c r="U74" i="6"/>
  <c r="V74" i="6"/>
  <c r="U75" i="6"/>
  <c r="V75" i="6"/>
  <c r="U76" i="6"/>
  <c r="V76" i="6"/>
  <c r="U77" i="6"/>
  <c r="V77" i="6"/>
  <c r="U51" i="6"/>
  <c r="V51" i="6"/>
  <c r="T52" i="6"/>
  <c r="U52" i="6"/>
  <c r="V52" i="6"/>
  <c r="W52" i="6"/>
  <c r="U53" i="6"/>
  <c r="T55" i="6"/>
  <c r="U55" i="6"/>
  <c r="V55" i="6"/>
  <c r="W55" i="6"/>
  <c r="U56" i="6"/>
  <c r="V56" i="6"/>
  <c r="U57" i="6"/>
  <c r="V57" i="6"/>
  <c r="U58" i="6"/>
  <c r="V58" i="6"/>
  <c r="U59" i="6"/>
  <c r="V59" i="6"/>
  <c r="U60" i="6"/>
  <c r="V60" i="6"/>
  <c r="W60" i="6"/>
  <c r="T61" i="6"/>
  <c r="U61" i="6"/>
  <c r="V61" i="6"/>
  <c r="W61" i="6"/>
  <c r="T62" i="6"/>
  <c r="U62" i="6"/>
  <c r="V62" i="6"/>
  <c r="W62" i="6"/>
  <c r="T63" i="6"/>
  <c r="U63" i="6"/>
  <c r="V63" i="6"/>
  <c r="W63" i="6"/>
  <c r="T64" i="6"/>
  <c r="U64" i="6"/>
  <c r="V64" i="6"/>
  <c r="W64" i="6"/>
  <c r="U45" i="6"/>
  <c r="V45" i="6"/>
  <c r="T46" i="6"/>
  <c r="U46" i="6"/>
  <c r="V46" i="6"/>
  <c r="W46" i="6"/>
  <c r="U47" i="6"/>
  <c r="V47" i="6"/>
  <c r="W47" i="6"/>
  <c r="U48" i="6"/>
  <c r="V48" i="6"/>
  <c r="T49" i="6"/>
  <c r="U49" i="6"/>
  <c r="V49" i="6"/>
  <c r="W49" i="6"/>
  <c r="U50" i="6"/>
  <c r="V50" i="6"/>
  <c r="S53" i="6"/>
  <c r="V53" i="6" s="1"/>
  <c r="Q5" i="6"/>
  <c r="Q269" i="6" l="1"/>
  <c r="Q271" i="6" s="1"/>
  <c r="T71" i="6"/>
  <c r="W58" i="6"/>
  <c r="W77" i="6"/>
  <c r="T66" i="6"/>
  <c r="W53" i="6"/>
  <c r="T56" i="6"/>
  <c r="T45" i="6"/>
  <c r="W74" i="6"/>
  <c r="W57" i="6"/>
  <c r="W51" i="6"/>
  <c r="W67" i="6"/>
  <c r="T76" i="6"/>
  <c r="W75" i="6"/>
  <c r="W50" i="6"/>
  <c r="W59" i="6"/>
  <c r="W48" i="6"/>
  <c r="W40" i="6"/>
  <c r="T32" i="6"/>
  <c r="U32" i="6"/>
  <c r="V32" i="6"/>
  <c r="W32" i="6"/>
  <c r="T33" i="6"/>
  <c r="U33" i="6"/>
  <c r="V33" i="6"/>
  <c r="W33" i="6"/>
  <c r="T34" i="6"/>
  <c r="U34" i="6"/>
  <c r="V34" i="6"/>
  <c r="W34" i="6"/>
  <c r="T35" i="6"/>
  <c r="U35" i="6"/>
  <c r="V35" i="6"/>
  <c r="W35" i="6"/>
  <c r="T36" i="6"/>
  <c r="U36" i="6"/>
  <c r="V36" i="6"/>
  <c r="W36" i="6"/>
  <c r="T37" i="6"/>
  <c r="U37" i="6"/>
  <c r="V37" i="6"/>
  <c r="W37" i="6"/>
  <c r="T38" i="6"/>
  <c r="U38" i="6"/>
  <c r="V38" i="6"/>
  <c r="W38" i="6"/>
  <c r="T39" i="6"/>
  <c r="U39" i="6"/>
  <c r="V39" i="6"/>
  <c r="W39" i="6"/>
  <c r="T22" i="6"/>
  <c r="U22" i="6"/>
  <c r="V22" i="6"/>
  <c r="W22" i="6"/>
  <c r="T23" i="6"/>
  <c r="U23" i="6"/>
  <c r="V23" i="6"/>
  <c r="W23" i="6"/>
  <c r="T24" i="6"/>
  <c r="U24" i="6"/>
  <c r="V24" i="6"/>
  <c r="W24" i="6"/>
  <c r="T25" i="6"/>
  <c r="U25" i="6"/>
  <c r="V25" i="6"/>
  <c r="W25" i="6"/>
  <c r="T26" i="6"/>
  <c r="U26" i="6"/>
  <c r="V26" i="6"/>
  <c r="W26" i="6"/>
  <c r="T27" i="6"/>
  <c r="U27" i="6"/>
  <c r="V27" i="6"/>
  <c r="W27" i="6"/>
  <c r="T28" i="6"/>
  <c r="U28" i="6"/>
  <c r="V28" i="6"/>
  <c r="W28" i="6"/>
  <c r="T29" i="6"/>
  <c r="U29" i="6"/>
  <c r="V29" i="6"/>
  <c r="W29" i="6"/>
  <c r="T30" i="6"/>
  <c r="U30" i="6"/>
  <c r="V30" i="6"/>
  <c r="W30" i="6"/>
  <c r="T31" i="6"/>
  <c r="U31" i="6"/>
  <c r="V31" i="6"/>
  <c r="W31" i="6"/>
  <c r="T3" i="6"/>
  <c r="U3" i="6"/>
  <c r="V3" i="6"/>
  <c r="W3" i="6"/>
  <c r="T4" i="6"/>
  <c r="U4" i="6"/>
  <c r="V4" i="6"/>
  <c r="W4" i="6"/>
  <c r="T5" i="6"/>
  <c r="U5" i="6"/>
  <c r="V5" i="6"/>
  <c r="W5" i="6"/>
  <c r="T6" i="6"/>
  <c r="U6" i="6"/>
  <c r="V6" i="6"/>
  <c r="W6" i="6"/>
  <c r="T7" i="6"/>
  <c r="U7" i="6"/>
  <c r="V7" i="6"/>
  <c r="W7" i="6"/>
  <c r="T8" i="6"/>
  <c r="U8" i="6"/>
  <c r="V8" i="6"/>
  <c r="W8" i="6"/>
  <c r="T9" i="6"/>
  <c r="U9" i="6"/>
  <c r="V9" i="6"/>
  <c r="W9" i="6"/>
  <c r="T10" i="6"/>
  <c r="U10" i="6"/>
  <c r="V10" i="6"/>
  <c r="W10" i="6"/>
  <c r="T11" i="6"/>
  <c r="U11" i="6"/>
  <c r="V11" i="6"/>
  <c r="W11" i="6"/>
  <c r="T12" i="6"/>
  <c r="U12" i="6"/>
  <c r="V12" i="6"/>
  <c r="W12" i="6"/>
  <c r="T13" i="6"/>
  <c r="U13" i="6"/>
  <c r="V13" i="6"/>
  <c r="W13" i="6"/>
  <c r="T14" i="6"/>
  <c r="U14" i="6"/>
  <c r="V14" i="6"/>
  <c r="W14" i="6"/>
  <c r="T15" i="6"/>
  <c r="T17" i="6"/>
  <c r="U17" i="6"/>
  <c r="V17" i="6"/>
  <c r="W17" i="6"/>
  <c r="T18" i="6"/>
  <c r="U18" i="6"/>
  <c r="V18" i="6"/>
  <c r="W18" i="6"/>
  <c r="T19" i="6"/>
  <c r="U19" i="6"/>
  <c r="V19" i="6"/>
  <c r="W19" i="6"/>
  <c r="T20" i="6"/>
  <c r="U20" i="6"/>
  <c r="V20" i="6"/>
  <c r="W20" i="6"/>
  <c r="T21" i="6"/>
  <c r="U21" i="6"/>
  <c r="V21" i="6"/>
  <c r="W21" i="6"/>
  <c r="W2" i="6"/>
  <c r="V2" i="6"/>
  <c r="U2" i="6"/>
  <c r="T2" i="6"/>
  <c r="S15" i="6"/>
  <c r="M15" i="6" l="1"/>
  <c r="O15" i="6"/>
  <c r="T269" i="6"/>
  <c r="T271" i="6" s="1"/>
  <c r="V15" i="6"/>
  <c r="S269" i="6"/>
  <c r="W15" i="6"/>
  <c r="U15" i="6"/>
  <c r="U125" i="3"/>
  <c r="V125" i="3"/>
  <c r="W125" i="3"/>
  <c r="X125" i="3"/>
  <c r="U126" i="3"/>
  <c r="V126" i="3"/>
  <c r="W126" i="3"/>
  <c r="X126" i="3"/>
  <c r="U127" i="3"/>
  <c r="V127" i="3"/>
  <c r="W127" i="3"/>
  <c r="X127" i="3"/>
  <c r="U128" i="3"/>
  <c r="V128" i="3"/>
  <c r="W128" i="3"/>
  <c r="X128" i="3"/>
  <c r="U129" i="3"/>
  <c r="V129" i="3"/>
  <c r="W129" i="3"/>
  <c r="X129" i="3"/>
  <c r="U130" i="3"/>
  <c r="V130" i="3"/>
  <c r="W130" i="3"/>
  <c r="X130" i="3"/>
  <c r="U131" i="3"/>
  <c r="V131" i="3"/>
  <c r="W131" i="3"/>
  <c r="X131" i="3"/>
  <c r="U132" i="3"/>
  <c r="V132" i="3"/>
  <c r="W132" i="3"/>
  <c r="X132" i="3"/>
  <c r="U133" i="3"/>
  <c r="V133" i="3"/>
  <c r="W133" i="3"/>
  <c r="X133" i="3"/>
  <c r="U134" i="3"/>
  <c r="V134" i="3"/>
  <c r="W134" i="3"/>
  <c r="X134" i="3"/>
  <c r="U135" i="3"/>
  <c r="V135" i="3"/>
  <c r="W135" i="3"/>
  <c r="X135" i="3"/>
  <c r="U103" i="3"/>
  <c r="V103" i="3"/>
  <c r="W103" i="3"/>
  <c r="X103" i="3"/>
  <c r="U106" i="3"/>
  <c r="V106" i="3"/>
  <c r="W106" i="3"/>
  <c r="X106" i="3"/>
  <c r="U109" i="3"/>
  <c r="V109" i="3"/>
  <c r="W109" i="3"/>
  <c r="X109" i="3"/>
  <c r="U107" i="3"/>
  <c r="V107" i="3"/>
  <c r="W107" i="3"/>
  <c r="X107" i="3"/>
  <c r="U108" i="3"/>
  <c r="V108" i="3"/>
  <c r="W108" i="3"/>
  <c r="X108" i="3"/>
  <c r="U112" i="3"/>
  <c r="V112" i="3"/>
  <c r="W112" i="3"/>
  <c r="X112" i="3"/>
  <c r="U113" i="3"/>
  <c r="V113" i="3"/>
  <c r="W113" i="3"/>
  <c r="X113" i="3"/>
  <c r="U114" i="3"/>
  <c r="V114" i="3"/>
  <c r="W114" i="3"/>
  <c r="X114" i="3"/>
  <c r="U115" i="3"/>
  <c r="V115" i="3"/>
  <c r="W115" i="3"/>
  <c r="X115" i="3"/>
  <c r="U116" i="3"/>
  <c r="V116" i="3"/>
  <c r="W116" i="3"/>
  <c r="X116" i="3"/>
  <c r="U118" i="3"/>
  <c r="V118" i="3"/>
  <c r="W118" i="3"/>
  <c r="X118" i="3"/>
  <c r="U119" i="3"/>
  <c r="V119" i="3"/>
  <c r="W119" i="3"/>
  <c r="X119" i="3"/>
  <c r="U120" i="3"/>
  <c r="V120" i="3"/>
  <c r="W120" i="3"/>
  <c r="X120" i="3"/>
  <c r="U122" i="3"/>
  <c r="V122" i="3"/>
  <c r="W122" i="3"/>
  <c r="X122" i="3"/>
  <c r="U123" i="3"/>
  <c r="V123" i="3"/>
  <c r="W123" i="3"/>
  <c r="X123" i="3"/>
  <c r="U124" i="3"/>
  <c r="V124" i="3"/>
  <c r="W124" i="3"/>
  <c r="X124" i="3"/>
  <c r="U90" i="3"/>
  <c r="V90" i="3"/>
  <c r="W90" i="3"/>
  <c r="X90" i="3"/>
  <c r="U86" i="3"/>
  <c r="V86" i="3"/>
  <c r="W86" i="3"/>
  <c r="X86" i="3"/>
  <c r="U87" i="3"/>
  <c r="V87" i="3"/>
  <c r="W87" i="3"/>
  <c r="X87" i="3"/>
  <c r="U88" i="3"/>
  <c r="V88" i="3"/>
  <c r="W88" i="3"/>
  <c r="X88" i="3"/>
  <c r="U89" i="3"/>
  <c r="V89" i="3"/>
  <c r="W89" i="3"/>
  <c r="X89" i="3"/>
  <c r="U91" i="3"/>
  <c r="V91" i="3"/>
  <c r="W91" i="3"/>
  <c r="X91" i="3"/>
  <c r="U92" i="3"/>
  <c r="V92" i="3"/>
  <c r="W92" i="3"/>
  <c r="X92" i="3"/>
  <c r="U93" i="3"/>
  <c r="V93" i="3"/>
  <c r="W93" i="3"/>
  <c r="X93" i="3"/>
  <c r="U94" i="3"/>
  <c r="V94" i="3"/>
  <c r="W94" i="3"/>
  <c r="X94" i="3"/>
  <c r="U95" i="3"/>
  <c r="V95" i="3"/>
  <c r="W95" i="3"/>
  <c r="X95" i="3"/>
  <c r="U96" i="3"/>
  <c r="V96" i="3"/>
  <c r="W96" i="3"/>
  <c r="X96" i="3"/>
  <c r="U97" i="3"/>
  <c r="V97" i="3"/>
  <c r="W97" i="3"/>
  <c r="X97" i="3"/>
  <c r="U98" i="3"/>
  <c r="V98" i="3"/>
  <c r="W98" i="3"/>
  <c r="X98" i="3"/>
  <c r="U99" i="3"/>
  <c r="V99" i="3"/>
  <c r="W99" i="3"/>
  <c r="X99" i="3"/>
  <c r="U100" i="3"/>
  <c r="V100" i="3"/>
  <c r="W100" i="3"/>
  <c r="X100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U77" i="3"/>
  <c r="V77" i="3"/>
  <c r="W77" i="3"/>
  <c r="X77" i="3"/>
  <c r="U78" i="3"/>
  <c r="V78" i="3"/>
  <c r="W78" i="3"/>
  <c r="X78" i="3"/>
  <c r="U79" i="3"/>
  <c r="V79" i="3"/>
  <c r="W79" i="3"/>
  <c r="X79" i="3"/>
  <c r="U80" i="3"/>
  <c r="V80" i="3"/>
  <c r="W80" i="3"/>
  <c r="X80" i="3"/>
  <c r="U82" i="3"/>
  <c r="V82" i="3"/>
  <c r="W82" i="3"/>
  <c r="X82" i="3"/>
  <c r="U84" i="3"/>
  <c r="V84" i="3"/>
  <c r="W84" i="3"/>
  <c r="X84" i="3"/>
  <c r="U49" i="3"/>
  <c r="V49" i="3"/>
  <c r="W49" i="3"/>
  <c r="X49" i="3"/>
  <c r="U50" i="3"/>
  <c r="V50" i="3"/>
  <c r="W50" i="3"/>
  <c r="X50" i="3"/>
  <c r="U51" i="3"/>
  <c r="V51" i="3"/>
  <c r="W51" i="3"/>
  <c r="X51" i="3"/>
  <c r="U52" i="3"/>
  <c r="V52" i="3"/>
  <c r="W52" i="3"/>
  <c r="X52" i="3"/>
  <c r="U53" i="3"/>
  <c r="V53" i="3"/>
  <c r="W53" i="3"/>
  <c r="X53" i="3"/>
  <c r="U54" i="3"/>
  <c r="V54" i="3"/>
  <c r="W54" i="3"/>
  <c r="X54" i="3"/>
  <c r="U55" i="3"/>
  <c r="V55" i="3"/>
  <c r="W55" i="3"/>
  <c r="X55" i="3"/>
  <c r="U56" i="3"/>
  <c r="V56" i="3"/>
  <c r="W56" i="3"/>
  <c r="X56" i="3"/>
  <c r="U57" i="3"/>
  <c r="V57" i="3"/>
  <c r="W57" i="3"/>
  <c r="X57" i="3"/>
  <c r="U58" i="3"/>
  <c r="V58" i="3"/>
  <c r="W58" i="3"/>
  <c r="X58" i="3"/>
  <c r="U59" i="3"/>
  <c r="V59" i="3"/>
  <c r="W59" i="3"/>
  <c r="X59" i="3"/>
  <c r="U60" i="3"/>
  <c r="V60" i="3"/>
  <c r="W60" i="3"/>
  <c r="X60" i="3"/>
  <c r="U61" i="3"/>
  <c r="V61" i="3"/>
  <c r="W61" i="3"/>
  <c r="X61" i="3"/>
  <c r="U62" i="3"/>
  <c r="V62" i="3"/>
  <c r="W62" i="3"/>
  <c r="X62" i="3"/>
  <c r="U63" i="3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37" i="3"/>
  <c r="V37" i="3"/>
  <c r="W37" i="3"/>
  <c r="X37" i="3"/>
  <c r="U38" i="3"/>
  <c r="V38" i="3"/>
  <c r="W38" i="3"/>
  <c r="X38" i="3"/>
  <c r="U39" i="3"/>
  <c r="V39" i="3"/>
  <c r="W39" i="3"/>
  <c r="X39" i="3"/>
  <c r="U40" i="3"/>
  <c r="V40" i="3"/>
  <c r="W40" i="3"/>
  <c r="X40" i="3"/>
  <c r="U41" i="3"/>
  <c r="V41" i="3"/>
  <c r="W41" i="3"/>
  <c r="X41" i="3"/>
  <c r="U43" i="3"/>
  <c r="V43" i="3"/>
  <c r="W43" i="3"/>
  <c r="X43" i="3"/>
  <c r="U44" i="3"/>
  <c r="V44" i="3"/>
  <c r="W44" i="3"/>
  <c r="X44" i="3"/>
  <c r="U42" i="3"/>
  <c r="V42" i="3"/>
  <c r="W42" i="3"/>
  <c r="X42" i="3"/>
  <c r="U46" i="3"/>
  <c r="V46" i="3"/>
  <c r="W46" i="3"/>
  <c r="X46" i="3"/>
  <c r="U47" i="3"/>
  <c r="V47" i="3"/>
  <c r="W47" i="3"/>
  <c r="X47" i="3"/>
  <c r="U48" i="3"/>
  <c r="V48" i="3"/>
  <c r="W48" i="3"/>
  <c r="X48" i="3"/>
  <c r="U22" i="3"/>
  <c r="V22" i="3"/>
  <c r="W22" i="3"/>
  <c r="X22" i="3"/>
  <c r="U23" i="3"/>
  <c r="V23" i="3"/>
  <c r="W23" i="3"/>
  <c r="X23" i="3"/>
  <c r="U24" i="3"/>
  <c r="V24" i="3"/>
  <c r="W24" i="3"/>
  <c r="X24" i="3"/>
  <c r="U25" i="3"/>
  <c r="V25" i="3"/>
  <c r="W25" i="3"/>
  <c r="X25" i="3"/>
  <c r="U26" i="3"/>
  <c r="V26" i="3"/>
  <c r="W26" i="3"/>
  <c r="X26" i="3"/>
  <c r="U27" i="3"/>
  <c r="V27" i="3"/>
  <c r="W27" i="3"/>
  <c r="X27" i="3"/>
  <c r="U28" i="3"/>
  <c r="V28" i="3"/>
  <c r="W28" i="3"/>
  <c r="X28" i="3"/>
  <c r="U32" i="3"/>
  <c r="V32" i="3"/>
  <c r="W32" i="3"/>
  <c r="X32" i="3"/>
  <c r="U33" i="3"/>
  <c r="V33" i="3"/>
  <c r="W33" i="3"/>
  <c r="X33" i="3"/>
  <c r="U34" i="3"/>
  <c r="V34" i="3"/>
  <c r="W34" i="3"/>
  <c r="X34" i="3"/>
  <c r="U30" i="3"/>
  <c r="V30" i="3"/>
  <c r="W30" i="3"/>
  <c r="X30" i="3"/>
  <c r="U31" i="3"/>
  <c r="V31" i="3"/>
  <c r="W31" i="3"/>
  <c r="X31" i="3"/>
  <c r="U4" i="3"/>
  <c r="V4" i="3"/>
  <c r="W4" i="3"/>
  <c r="X4" i="3"/>
  <c r="U5" i="3"/>
  <c r="V5" i="3"/>
  <c r="W5" i="3"/>
  <c r="X5" i="3"/>
  <c r="U6" i="3"/>
  <c r="V6" i="3"/>
  <c r="W6" i="3"/>
  <c r="X6" i="3"/>
  <c r="U7" i="3"/>
  <c r="V7" i="3"/>
  <c r="W7" i="3"/>
  <c r="X7" i="3"/>
  <c r="U8" i="3"/>
  <c r="V8" i="3"/>
  <c r="W8" i="3"/>
  <c r="X8" i="3"/>
  <c r="U9" i="3"/>
  <c r="V9" i="3"/>
  <c r="W9" i="3"/>
  <c r="X9" i="3"/>
  <c r="U10" i="3"/>
  <c r="V10" i="3"/>
  <c r="W10" i="3"/>
  <c r="X10" i="3"/>
  <c r="U11" i="3"/>
  <c r="V11" i="3"/>
  <c r="W11" i="3"/>
  <c r="X11" i="3"/>
  <c r="U12" i="3"/>
  <c r="V12" i="3"/>
  <c r="W12" i="3"/>
  <c r="X12" i="3"/>
  <c r="U13" i="3"/>
  <c r="V13" i="3"/>
  <c r="W13" i="3"/>
  <c r="X13" i="3"/>
  <c r="U14" i="3"/>
  <c r="V14" i="3"/>
  <c r="W14" i="3"/>
  <c r="X14" i="3"/>
  <c r="U15" i="3"/>
  <c r="V15" i="3"/>
  <c r="W15" i="3"/>
  <c r="X15" i="3"/>
  <c r="U16" i="3"/>
  <c r="V16" i="3"/>
  <c r="W16" i="3"/>
  <c r="X16" i="3"/>
  <c r="U17" i="3"/>
  <c r="V17" i="3"/>
  <c r="W17" i="3"/>
  <c r="X17" i="3"/>
  <c r="U18" i="3"/>
  <c r="V18" i="3"/>
  <c r="W18" i="3"/>
  <c r="X18" i="3"/>
  <c r="U19" i="3"/>
  <c r="V19" i="3"/>
  <c r="W19" i="3"/>
  <c r="X19" i="3"/>
  <c r="U20" i="3"/>
  <c r="V20" i="3"/>
  <c r="W20" i="3"/>
  <c r="X20" i="3"/>
  <c r="U21" i="3"/>
  <c r="V21" i="3"/>
  <c r="W21" i="3"/>
  <c r="X21" i="3"/>
  <c r="R136" i="3"/>
  <c r="S136" i="3"/>
  <c r="S139" i="3" s="1"/>
  <c r="T136" i="3"/>
  <c r="T139" i="3" s="1"/>
  <c r="T141" i="3"/>
  <c r="T144" i="3" s="1"/>
  <c r="S141" i="3"/>
  <c r="S144" i="3" s="1"/>
  <c r="X3" i="3"/>
  <c r="H38" i="3"/>
  <c r="H26" i="3"/>
  <c r="V269" i="6" l="1"/>
  <c r="V271" i="6" s="1"/>
  <c r="S271" i="6"/>
  <c r="W269" i="6"/>
  <c r="W271" i="6" s="1"/>
  <c r="U269" i="6"/>
  <c r="U271" i="6" s="1"/>
  <c r="U136" i="3"/>
  <c r="W136" i="3"/>
  <c r="V136" i="3"/>
  <c r="X136" i="3" l="1"/>
  <c r="U3" i="3" l="1"/>
  <c r="V3" i="3" l="1"/>
  <c r="H46" i="3" l="1"/>
  <c r="H84" i="3"/>
  <c r="H7" i="3"/>
  <c r="H90" i="3"/>
  <c r="H103" i="3"/>
  <c r="H3" i="3"/>
  <c r="H37" i="3"/>
  <c r="H94" i="3"/>
  <c r="H78" i="3"/>
  <c r="H27" i="3"/>
  <c r="H39" i="3"/>
  <c r="H4" i="3"/>
  <c r="H5" i="3"/>
  <c r="H24" i="3"/>
  <c r="H49" i="3"/>
  <c r="H92" i="3"/>
  <c r="H112" i="3"/>
  <c r="H6" i="3"/>
  <c r="H25" i="3"/>
  <c r="H28" i="3"/>
  <c r="H95" i="3"/>
  <c r="H33" i="3"/>
  <c r="H79" i="3"/>
  <c r="H34" i="3"/>
  <c r="H8" i="3"/>
  <c r="H50" i="3"/>
  <c r="H64" i="3"/>
  <c r="H9" i="3"/>
  <c r="H51" i="3"/>
  <c r="H65" i="3"/>
  <c r="H10" i="3"/>
  <c r="H52" i="3"/>
  <c r="H66" i="3"/>
  <c r="H53" i="3"/>
  <c r="H67" i="3"/>
  <c r="H11" i="3"/>
  <c r="H54" i="3"/>
  <c r="H68" i="3"/>
  <c r="H12" i="3"/>
  <c r="H55" i="3"/>
  <c r="H69" i="3"/>
  <c r="H13" i="3"/>
  <c r="H56" i="3"/>
  <c r="H70" i="3"/>
  <c r="H14" i="3"/>
  <c r="H57" i="3"/>
  <c r="H71" i="3"/>
  <c r="H15" i="3"/>
  <c r="H58" i="3"/>
  <c r="H72" i="3"/>
  <c r="H16" i="3"/>
  <c r="H59" i="3"/>
  <c r="H73" i="3"/>
  <c r="H60" i="3"/>
  <c r="H74" i="3"/>
  <c r="H17" i="3"/>
  <c r="H61" i="3"/>
  <c r="H75" i="3"/>
  <c r="H18" i="3"/>
  <c r="H62" i="3"/>
  <c r="H76" i="3"/>
  <c r="H19" i="3"/>
  <c r="H20" i="3"/>
  <c r="H21" i="3"/>
  <c r="H63" i="3"/>
  <c r="H77" i="3"/>
  <c r="H22" i="3"/>
  <c r="H23" i="3"/>
  <c r="H32" i="3"/>
</calcChain>
</file>

<file path=xl/sharedStrings.xml><?xml version="1.0" encoding="utf-8"?>
<sst xmlns="http://schemas.openxmlformats.org/spreadsheetml/2006/main" count="12537" uniqueCount="927">
  <si>
    <t>KWI</t>
  </si>
  <si>
    <t>10110003</t>
  </si>
  <si>
    <t>PI.N0.NA.10110003.01</t>
  </si>
  <si>
    <t/>
  </si>
  <si>
    <t>PEJABAT PENASIHAT UNDANG-UNDANG-PPUU</t>
  </si>
  <si>
    <t>B62000</t>
  </si>
  <si>
    <t>BELANJA PROGRAM INDUSTRI</t>
  </si>
  <si>
    <t>Perundangan</t>
  </si>
  <si>
    <t>3</t>
  </si>
  <si>
    <t>10130001</t>
  </si>
  <si>
    <t>PI.A0.AB.10130001.01</t>
  </si>
  <si>
    <t>PENGURUSAN LEVI-BPLV</t>
  </si>
  <si>
    <t>Pemakluman &amp; Pengenaan Levi</t>
  </si>
  <si>
    <t>10130003</t>
  </si>
  <si>
    <t>PI.C0.CA.10130003.01</t>
  </si>
  <si>
    <t>PENGUATKUASAAN-BPGK</t>
  </si>
  <si>
    <t>Pendakwaan/tatatertib</t>
  </si>
  <si>
    <t>PI.C0.CB.10130003.01</t>
  </si>
  <si>
    <t>Pematuhan Akta 520</t>
  </si>
  <si>
    <t>10130007</t>
  </si>
  <si>
    <t>PI.B0.BA.10130007.02</t>
  </si>
  <si>
    <t>PEMATUHAN KUALITI BAHAN (BPKB)</t>
  </si>
  <si>
    <t>Pematuhan Bahan Binaan (QPASS)</t>
  </si>
  <si>
    <t>PI.B0.BB.10130007.04</t>
  </si>
  <si>
    <t>Pendaftaran Bahan Binaan</t>
  </si>
  <si>
    <t>PI.F0.FA.10130007.02</t>
  </si>
  <si>
    <t>Alam Sekitar</t>
  </si>
  <si>
    <t>PI.F0.FB.10130007.02</t>
  </si>
  <si>
    <t>Kualiti</t>
  </si>
  <si>
    <t>PI.F0.FC.10130007.02</t>
  </si>
  <si>
    <t>Keselamatan</t>
  </si>
  <si>
    <t>10140007</t>
  </si>
  <si>
    <t>PI.E0.EA.10140007.02</t>
  </si>
  <si>
    <t>PEMBANGUNAN TEKNOLOGI (BPT)</t>
  </si>
  <si>
    <t>IBS</t>
  </si>
  <si>
    <t>PI.E0.EC.10140007.02</t>
  </si>
  <si>
    <t>ICT</t>
  </si>
  <si>
    <t>PI.F0.FB.10140007.02</t>
  </si>
  <si>
    <t>PI.F0.FC.10140007.02</t>
  </si>
  <si>
    <t>PI.F0.FD.10140007.02</t>
  </si>
  <si>
    <t>Standard</t>
  </si>
  <si>
    <t>10140008</t>
  </si>
  <si>
    <t>PI.F0.FA.10140008.02</t>
  </si>
  <si>
    <t>PERSEKITARAN BISNES (BPS)</t>
  </si>
  <si>
    <t>PI.K0.KB.10140008.02</t>
  </si>
  <si>
    <t>National Construction Cost Centre (N3C)</t>
  </si>
  <si>
    <t>PI.K0.KD.10140008.01</t>
  </si>
  <si>
    <t>PerForm</t>
  </si>
  <si>
    <t>PI.K0.KF.10140008.02</t>
  </si>
  <si>
    <t>Pemasaran Eksport Perkhidmatan Binaan</t>
  </si>
  <si>
    <t>10150008</t>
  </si>
  <si>
    <t>PI.A0.AA.10150008.01</t>
  </si>
  <si>
    <t>PDFTRN KONTRAKTOR&amp;PERSONEL BINAAN-BPKPB</t>
  </si>
  <si>
    <t>Pendaftaran Kontraktor</t>
  </si>
  <si>
    <t>PI.D0.DA.10150008.01</t>
  </si>
  <si>
    <t>Perlindungan Takaful Personel Binaan</t>
  </si>
  <si>
    <t>PI.D0.DB.10150008.01</t>
  </si>
  <si>
    <t>Pendaftaran Personel Binaan</t>
  </si>
  <si>
    <t>10150009</t>
  </si>
  <si>
    <t>PI.E0.EA.10150009.02</t>
  </si>
  <si>
    <t>LATIHAN &amp; AKREDITASI (BLA)</t>
  </si>
  <si>
    <t>PI.E0.EC.10150009.02</t>
  </si>
  <si>
    <t>PI.G0.GD.10150009.02</t>
  </si>
  <si>
    <t>Latihan Kontraktor Pakar</t>
  </si>
  <si>
    <t>PI.G0.GE.10150009.02</t>
  </si>
  <si>
    <t>Peningkatan Kapasiti &amp; Kapabiliti Kontra</t>
  </si>
  <si>
    <t>PI.H0.HC.10150009.02</t>
  </si>
  <si>
    <t>Latihan Kemahiran</t>
  </si>
  <si>
    <t>PI.H0.HC.10150009.03</t>
  </si>
  <si>
    <t>PI.H0.HD.10150009.01</t>
  </si>
  <si>
    <t>Penilaian Kemahiran</t>
  </si>
  <si>
    <t>PI.I0.IA.10150009.02</t>
  </si>
  <si>
    <t>Penilaian Penyeliaan &amp; Pengurusan</t>
  </si>
  <si>
    <t>PI.I0.IC.10150009.01</t>
  </si>
  <si>
    <t>Penjenamaan Industri</t>
  </si>
  <si>
    <t>PI.I0.IE.10150009.01</t>
  </si>
  <si>
    <t>Pentauliahan &amp; Pemantauan PLB</t>
  </si>
  <si>
    <t>10160001</t>
  </si>
  <si>
    <t>PI.J0.JA.10160001.01</t>
  </si>
  <si>
    <t>DASAR STRATEGI &amp; TADBIR URUS-BSTU</t>
  </si>
  <si>
    <t>Corporate Governance</t>
  </si>
  <si>
    <t>PI.J0.JC.10160001.01</t>
  </si>
  <si>
    <t>CSP</t>
  </si>
  <si>
    <t>10160003</t>
  </si>
  <si>
    <t>PI.F0.FC.10160003.02</t>
  </si>
  <si>
    <t>KOMUNIKASI KORPORAT-BKK</t>
  </si>
  <si>
    <t>PI.L0.LA.10160003.01</t>
  </si>
  <si>
    <t>Media Relations</t>
  </si>
  <si>
    <t>PI.L0.LB.10160003.01</t>
  </si>
  <si>
    <t>Corporate Stakeholder Relation</t>
  </si>
  <si>
    <t>PI.L0.LC.10160003.01</t>
  </si>
  <si>
    <t>Corporate Event Management</t>
  </si>
  <si>
    <t>PI.L0.LD.10160003.01</t>
  </si>
  <si>
    <t>Corporate Branding</t>
  </si>
  <si>
    <t>10170003</t>
  </si>
  <si>
    <t>PI.H0.HA.10170003.02</t>
  </si>
  <si>
    <t>PEMBANGUNAN PERSONEL BINAAN (BPB)</t>
  </si>
  <si>
    <t>NOSS/COS/Modul</t>
  </si>
  <si>
    <t>PI.H0.HB.10170003.02</t>
  </si>
  <si>
    <t>Tenaga Pengajar personel Binaan</t>
  </si>
  <si>
    <t>PI.H0.HB.10170003.04</t>
  </si>
  <si>
    <t>10170004</t>
  </si>
  <si>
    <t>PI.A0.AA.10170004.01</t>
  </si>
  <si>
    <t>PEMBANGUNAN KONTRAKTOR (BPK)</t>
  </si>
  <si>
    <t>PI.A0.AC.10170004.01</t>
  </si>
  <si>
    <t>Penilaian Prestasi Kontraktor</t>
  </si>
  <si>
    <t>PI.G0.GB.10170004.02</t>
  </si>
  <si>
    <t>Modul Latihan Kontraktor</t>
  </si>
  <si>
    <t>PI.G0.GD.10170004.02</t>
  </si>
  <si>
    <t>PI.G0.GE.10170004.02</t>
  </si>
  <si>
    <t>10200001</t>
  </si>
  <si>
    <t>PI.A0.AA.10200001.01</t>
  </si>
  <si>
    <t>PL-PERLIS</t>
  </si>
  <si>
    <t>PI.C0.CA.10200001.01</t>
  </si>
  <si>
    <t>PI.C0.CB.10200001.01</t>
  </si>
  <si>
    <t>PI.G0.GE.10200001.02</t>
  </si>
  <si>
    <t>PI.H0.HD.10200001.01</t>
  </si>
  <si>
    <t>PI.I0.IA.10200001.02</t>
  </si>
  <si>
    <t>Latihan Penyeliaan &amp; Pengurusan</t>
  </si>
  <si>
    <t>10200002</t>
  </si>
  <si>
    <t>PI.A0.AA.10200002.01</t>
  </si>
  <si>
    <t>KD-KEDAH</t>
  </si>
  <si>
    <t>PI.C0.CA.10200002.01</t>
  </si>
  <si>
    <t>PI.C0.CB.10200002.01</t>
  </si>
  <si>
    <t>PI.G0.GE.10200002.02</t>
  </si>
  <si>
    <t>PI.H0.HD.10200002.01</t>
  </si>
  <si>
    <t>PI.I0.IA.10200002.02</t>
  </si>
  <si>
    <t>10200003</t>
  </si>
  <si>
    <t>PP-PULAU PINANG</t>
  </si>
  <si>
    <t>PI.A0.AC.10200003.01</t>
  </si>
  <si>
    <t>PI.C0.CA.10200003.01</t>
  </si>
  <si>
    <t>PI.C0.CB.10200003.01</t>
  </si>
  <si>
    <t>PI.G0.GE.10200003.02</t>
  </si>
  <si>
    <t>PI.H0.HD.10200003.01</t>
  </si>
  <si>
    <t>PI.I0.IA.10200003.02</t>
  </si>
  <si>
    <t>10200004</t>
  </si>
  <si>
    <t>PI.A0.AA.10200004.01</t>
  </si>
  <si>
    <t>PR-PERAK</t>
  </si>
  <si>
    <t>PI.C0.CA.10200004.01</t>
  </si>
  <si>
    <t>PI.C0.CB.10200004.01</t>
  </si>
  <si>
    <t>PI.G0.GE.10200004.02</t>
  </si>
  <si>
    <t>PI.H0.HD.10200004.01</t>
  </si>
  <si>
    <t>PI.I0.IA.10200004.02</t>
  </si>
  <si>
    <t>10200005</t>
  </si>
  <si>
    <t>PI.A0.AA.10200005.01</t>
  </si>
  <si>
    <t>SL-SELANGOR</t>
  </si>
  <si>
    <t>PI.C0.CA.10200005.01</t>
  </si>
  <si>
    <t>PI.C0.CB.10200005.01</t>
  </si>
  <si>
    <t>PI.G0.GE.10200005.02</t>
  </si>
  <si>
    <t>PI.H0.HD.10200005.01</t>
  </si>
  <si>
    <t>PI.I0.IA.10200005.02</t>
  </si>
  <si>
    <t>10200006</t>
  </si>
  <si>
    <t>PI.A0.AA.10200006.01</t>
  </si>
  <si>
    <t>WP-WILAYAH PERSEKUTUAN (KL)</t>
  </si>
  <si>
    <t>PI.C0.CA.10200006.01</t>
  </si>
  <si>
    <t>PI.C0.CB.10200006.01</t>
  </si>
  <si>
    <t>PI.G0.GE.10200006.02</t>
  </si>
  <si>
    <t>PI.H0.HD.10200006.01</t>
  </si>
  <si>
    <t>PI.I0.IA.10200006.02</t>
  </si>
  <si>
    <t>10200007</t>
  </si>
  <si>
    <t>PI.A0.AA.10200007.01</t>
  </si>
  <si>
    <t>NS-NEGERI SEMBILAN</t>
  </si>
  <si>
    <t>PI.A0.AC.10200007.01</t>
  </si>
  <si>
    <t>PI.C0.CA.10200007.01</t>
  </si>
  <si>
    <t>PI.C0.CB.10200007.01</t>
  </si>
  <si>
    <t>PI.G0.GE.10200007.02</t>
  </si>
  <si>
    <t>PI.H0.HD.10200007.01</t>
  </si>
  <si>
    <t>PI.I0.IA.10200007.02</t>
  </si>
  <si>
    <t>PI.L0.LB.10200007.01</t>
  </si>
  <si>
    <t>PI.N0.NA.10200007.01</t>
  </si>
  <si>
    <t>10200008</t>
  </si>
  <si>
    <t>PI.A0.AA.10200008.01</t>
  </si>
  <si>
    <t>ML-MELAKA</t>
  </si>
  <si>
    <t>PI.A0.AB.10200008.01</t>
  </si>
  <si>
    <t>PI.C0.CA.10200008.01</t>
  </si>
  <si>
    <t>PI.C0.CB.10200008.01</t>
  </si>
  <si>
    <t>PI.G0.GE.10200008.02</t>
  </si>
  <si>
    <t>PI.H0.HD.10200008.01</t>
  </si>
  <si>
    <t>PI.I0.IA.10200008.02</t>
  </si>
  <si>
    <t>10200009</t>
  </si>
  <si>
    <t>PI.A0.AA.10200009.01</t>
  </si>
  <si>
    <t>JH-JOHOR</t>
  </si>
  <si>
    <t>PI.A0.AB.10200009.01</t>
  </si>
  <si>
    <t>PI.A0.AC.10200009.01</t>
  </si>
  <si>
    <t>PI.C0.CA.10200009.01</t>
  </si>
  <si>
    <t>PI.C0.CB.10200009.01</t>
  </si>
  <si>
    <t>PI.G0.GE.10200009.02</t>
  </si>
  <si>
    <t>PI.H0.HD.10200009.01</t>
  </si>
  <si>
    <t>PI.I0.IA.10200009.02</t>
  </si>
  <si>
    <t>10200010</t>
  </si>
  <si>
    <t>PI.A0.AA.10200010.01</t>
  </si>
  <si>
    <t>PH-PAHANG</t>
  </si>
  <si>
    <t>PI.A0.AC.10200010.01</t>
  </si>
  <si>
    <t>PI.C0.CA.10200010.01</t>
  </si>
  <si>
    <t>PI.C0.CB.10200010.01</t>
  </si>
  <si>
    <t>PI.G0.GE.10200010.02</t>
  </si>
  <si>
    <t>PI.H0.HD.10200010.01</t>
  </si>
  <si>
    <t>PI.I0.IA.10200010.02</t>
  </si>
  <si>
    <t>10200011</t>
  </si>
  <si>
    <t>PI.A0.AA.10200011.01</t>
  </si>
  <si>
    <t>TR-TERENGGANU</t>
  </si>
  <si>
    <t>PI.C0.CA.10200011.01</t>
  </si>
  <si>
    <t>PI.C0.CB.10200011.01</t>
  </si>
  <si>
    <t>PI.G0.GE.10200011.02</t>
  </si>
  <si>
    <t>PI.H0.HD.10200011.01</t>
  </si>
  <si>
    <t>PI.I0.IA.10200011.02</t>
  </si>
  <si>
    <t>10200012</t>
  </si>
  <si>
    <t>PI.A0.AA.10200012.01</t>
  </si>
  <si>
    <t>KN-KELANTAN</t>
  </si>
  <si>
    <t>PI.C0.CA.10200012.01</t>
  </si>
  <si>
    <t>PI.C0.CB.10200012.01</t>
  </si>
  <si>
    <t>PI.G0.GE.10200012.02</t>
  </si>
  <si>
    <t>PI.H0.HD.10200012.01</t>
  </si>
  <si>
    <t>PI.I0.IA.10200012.02</t>
  </si>
  <si>
    <t>10200020</t>
  </si>
  <si>
    <t>PI.A0.AA.10200020.01</t>
  </si>
  <si>
    <t>SR-SARAWAK</t>
  </si>
  <si>
    <t>PI.A0.AB.10200020.01</t>
  </si>
  <si>
    <t>PI.A0.AC.10200020.01</t>
  </si>
  <si>
    <t>PI.C0.CA.10200020.01</t>
  </si>
  <si>
    <t>PI.C0.CB.10200020.01</t>
  </si>
  <si>
    <t>PI.E0.EA.10200020.02</t>
  </si>
  <si>
    <t>PI.G0.GE.10200020.02</t>
  </si>
  <si>
    <t>PI.H0.HD.10200020.01</t>
  </si>
  <si>
    <t>PI.I0.IA.10200020.02</t>
  </si>
  <si>
    <t>PI.L0.LD.10200020.01</t>
  </si>
  <si>
    <t>10200021</t>
  </si>
  <si>
    <t>PI.A0.AA.10200021.01</t>
  </si>
  <si>
    <t>MR-MIRI</t>
  </si>
  <si>
    <t>PI.A0.AB.10200021.01</t>
  </si>
  <si>
    <t>PI.C0.CB.10200021.01</t>
  </si>
  <si>
    <t>PI.G0.GE.10200021.02</t>
  </si>
  <si>
    <t>PI.H0.HD.10200021.01</t>
  </si>
  <si>
    <t>PI.I0.IA.10200021.02</t>
  </si>
  <si>
    <t>10200022</t>
  </si>
  <si>
    <t>PI.A0.AA.10200022.01</t>
  </si>
  <si>
    <t>BT-BINTULU</t>
  </si>
  <si>
    <t>PI.A0.AB.10200022.01</t>
  </si>
  <si>
    <t>PI.G0.GE.10200022.02</t>
  </si>
  <si>
    <t>PI.H0.HD.10200022.01</t>
  </si>
  <si>
    <t>PI.I0.IA.10200022.02</t>
  </si>
  <si>
    <t>10200023</t>
  </si>
  <si>
    <t>PI.A0.AA.10200023.01</t>
  </si>
  <si>
    <t>SI-SIBU</t>
  </si>
  <si>
    <t>PI.C0.CB.10200023.01</t>
  </si>
  <si>
    <t>PI.G0.GE.10200023.02</t>
  </si>
  <si>
    <t>PI.H0.HD.10200023.01</t>
  </si>
  <si>
    <t>PI.I0.IA.10200023.02</t>
  </si>
  <si>
    <t>10200030</t>
  </si>
  <si>
    <t>PI.A0.AA.10200030.01</t>
  </si>
  <si>
    <t>SB-SABAH</t>
  </si>
  <si>
    <t>PI.A0.AB.10200031.01</t>
  </si>
  <si>
    <t>PI.A0.AC.10200030.01</t>
  </si>
  <si>
    <t>PI.C0.CA.10200030.01</t>
  </si>
  <si>
    <t>PI.C0.CB.10200030.01</t>
  </si>
  <si>
    <t>PI.G0.GE.10200030.02</t>
  </si>
  <si>
    <t>PI.H0.HD.10200030.01</t>
  </si>
  <si>
    <t>PI.I0.IA.10200030.02</t>
  </si>
  <si>
    <t>PI.L0.LB.10200030.01</t>
  </si>
  <si>
    <t>10200031</t>
  </si>
  <si>
    <t>PI.A0.AA.10200031.01</t>
  </si>
  <si>
    <t>TW-TAWAU</t>
  </si>
  <si>
    <t>PI.C0.CA.10200031.01</t>
  </si>
  <si>
    <t>PI.C0.CB.10200031.01</t>
  </si>
  <si>
    <t>PI.G0.GE.10200031.02</t>
  </si>
  <si>
    <t>PI.H0.HD.10200031.01</t>
  </si>
  <si>
    <t>PI.I0.IA.10200031.02</t>
  </si>
  <si>
    <t>PI.L0.LD.10200031.01</t>
  </si>
  <si>
    <t>10200032</t>
  </si>
  <si>
    <t>PI.A0.AA.10200032.01</t>
  </si>
  <si>
    <t>SD-SANDAKAN</t>
  </si>
  <si>
    <t>PI.C0.CA.10200032.01</t>
  </si>
  <si>
    <t>PI.C0.CB.10200032.01</t>
  </si>
  <si>
    <t>PI.G0.GE.10200032.02</t>
  </si>
  <si>
    <t>PI.H0.HD.10200032.01</t>
  </si>
  <si>
    <t>PI.I0.IA.10200032.02</t>
  </si>
  <si>
    <t>KWM</t>
  </si>
  <si>
    <t>10110001</t>
  </si>
  <si>
    <t>PEJABAT KETUA EKSEKUTIF-PKE</t>
  </si>
  <si>
    <t>B11000</t>
  </si>
  <si>
    <t>EMOLUMEN</t>
  </si>
  <si>
    <t>B21000</t>
  </si>
  <si>
    <t>PERBELANJAAN PERJALANAN DAN SARA HIDUP</t>
  </si>
  <si>
    <t>B26000</t>
  </si>
  <si>
    <t>BEKALAN BAHAN MENTAH DAN BAHAN-BAHAN UNTUK</t>
  </si>
  <si>
    <t>B29000</t>
  </si>
  <si>
    <t>IKHTISAS</t>
  </si>
  <si>
    <t>B29500</t>
  </si>
  <si>
    <t>IKHTISAS-EMOLUMEN COS</t>
  </si>
  <si>
    <t>B44000</t>
  </si>
  <si>
    <t>TUNTUTAN INSURAN DAN PAMPASAN</t>
  </si>
  <si>
    <t>H72100</t>
  </si>
  <si>
    <t>YURAN KURSUS</t>
  </si>
  <si>
    <t>10110004</t>
  </si>
  <si>
    <t>AUDIT &amp; RISIKO-BAR</t>
  </si>
  <si>
    <t>10120001</t>
  </si>
  <si>
    <t>SUMBER MANUSIA-BSM</t>
  </si>
  <si>
    <t>A34000</t>
  </si>
  <si>
    <t>KENDERAAN</t>
  </si>
  <si>
    <t>A35000</t>
  </si>
  <si>
    <t>KELENGKAPAN PEJABAT</t>
  </si>
  <si>
    <t>A37000</t>
  </si>
  <si>
    <t>JENTERA</t>
  </si>
  <si>
    <t>A38000</t>
  </si>
  <si>
    <t>KOMPUTER</t>
  </si>
  <si>
    <t>A39200</t>
  </si>
  <si>
    <t>PERABOT &amp; LENGKAPAN</t>
  </si>
  <si>
    <t>B22100</t>
  </si>
  <si>
    <t>PENGANGKUTAN BARANG-BARANG</t>
  </si>
  <si>
    <t>B23000</t>
  </si>
  <si>
    <t>PERHUBUNGAN DAN UTILITI</t>
  </si>
  <si>
    <t>B24000</t>
  </si>
  <si>
    <t>SEWAAN</t>
  </si>
  <si>
    <t>B27000</t>
  </si>
  <si>
    <t>BEKALAN DAN BAHAN-BAHAN LAIN</t>
  </si>
  <si>
    <t>B28000</t>
  </si>
  <si>
    <t>PENYELENGGARAAN DAN PEMBAIKAN KECIL YANG DIBELI</t>
  </si>
  <si>
    <t>B51000</t>
  </si>
  <si>
    <t>BAYARAN BALIK DAN HAPUSKIRA</t>
  </si>
  <si>
    <t>B53000</t>
  </si>
  <si>
    <t>SUSUTNILAI / PELUNASAN</t>
  </si>
  <si>
    <t>B59100</t>
  </si>
  <si>
    <t>CUKAI</t>
  </si>
  <si>
    <t>B61000</t>
  </si>
  <si>
    <t>LATIHAN</t>
  </si>
  <si>
    <t>H73100</t>
  </si>
  <si>
    <t>JUALAN BARANG-BARANG CETAK</t>
  </si>
  <si>
    <t>H79100</t>
  </si>
  <si>
    <t>LLP</t>
  </si>
  <si>
    <t>10120002</t>
  </si>
  <si>
    <t>TEKNOLOGI MAKLUMAT-BTM</t>
  </si>
  <si>
    <t>B57000</t>
  </si>
  <si>
    <t>ASET YANG TIDAK DIPERMODALKAN</t>
  </si>
  <si>
    <t>10120003</t>
  </si>
  <si>
    <t>KEWANGAN &amp; AKAUN-BKA</t>
  </si>
  <si>
    <t>B45000</t>
  </si>
  <si>
    <t>FAEDAH, DIVIDEN DAN KENAAN BAYARAN YANG LAIN</t>
  </si>
  <si>
    <t>B54000</t>
  </si>
  <si>
    <t>HUTANG RAGU</t>
  </si>
  <si>
    <t>H75100</t>
  </si>
  <si>
    <t>FAEDAH DAN PEROLEHAN DARI PELABURAN</t>
  </si>
  <si>
    <t>10120004</t>
  </si>
  <si>
    <t>UNIT PENGURUSAN FASILITI-UPF</t>
  </si>
  <si>
    <t>B52101</t>
  </si>
  <si>
    <t>ZAKAT</t>
  </si>
  <si>
    <t>B59200</t>
  </si>
  <si>
    <t>CUKAI SYARIKAT</t>
  </si>
  <si>
    <t>H79200</t>
  </si>
  <si>
    <t>LLH</t>
  </si>
  <si>
    <t>H62100</t>
  </si>
  <si>
    <t>LEVI</t>
  </si>
  <si>
    <t>H72200</t>
  </si>
  <si>
    <t>BAYARAN VERIFIKASI</t>
  </si>
  <si>
    <t>H83000</t>
  </si>
  <si>
    <t>GERAN</t>
  </si>
  <si>
    <t>H71100</t>
  </si>
  <si>
    <t>FI PENDAFTARAN PERSONEL BINAAN</t>
  </si>
  <si>
    <t>H71200</t>
  </si>
  <si>
    <t>FI PENDAFTARAN KONTRAKTOR</t>
  </si>
  <si>
    <t>H76100</t>
  </si>
  <si>
    <t>PENALTI &amp; DENDA</t>
  </si>
  <si>
    <t>H71300</t>
  </si>
  <si>
    <t>PENILAIAN KEMAHIRAN</t>
  </si>
  <si>
    <t>10150010</t>
  </si>
  <si>
    <t>NA-PENGURUSAN AKREDITASI (BPAK)</t>
  </si>
  <si>
    <t>H76200</t>
  </si>
  <si>
    <t>KOMPAUN</t>
  </si>
  <si>
    <t>KWP</t>
  </si>
  <si>
    <t>PM.000002.K01</t>
  </si>
  <si>
    <t>B31000</t>
  </si>
  <si>
    <t>BAYARAN PROJEK</t>
  </si>
  <si>
    <t>P'binaan Kampus ABM Sbh- P'ltkn Kontraktor Binaan</t>
  </si>
  <si>
    <t>PM.000002.K02</t>
  </si>
  <si>
    <t>P'binaan Kampus ABM Sbh- Kontraktor KTI Sdn Bhd</t>
  </si>
  <si>
    <t>PM.000002.P01</t>
  </si>
  <si>
    <t>Pembinaan Kampus ABM Sbh-Perunding Arkitek</t>
  </si>
  <si>
    <t>PM.000002.P02</t>
  </si>
  <si>
    <t>P'binaan Kampus ABM Sabah-Perunding Jurutera Sivil</t>
  </si>
  <si>
    <t>PM.000002.P03</t>
  </si>
  <si>
    <t>ABM Sabah-Perunding Jurutera Mekanikal</t>
  </si>
  <si>
    <t>PM.000002.P05</t>
  </si>
  <si>
    <t>Pembinaan Kampus ABM Sabah-Perunding Ukur Bahan</t>
  </si>
  <si>
    <t>PM.000002.P08</t>
  </si>
  <si>
    <t>Pembinaan Kampus ABM Sabah-Perunding BIM</t>
  </si>
  <si>
    <t>PM.000008.K01</t>
  </si>
  <si>
    <t>Kompleks CIDB Johor-Perlantikan Kontraktor Binaan</t>
  </si>
  <si>
    <t>PM.000008.P01</t>
  </si>
  <si>
    <t>Kompleks CIDB Johor-Perunding Arkitek</t>
  </si>
  <si>
    <t>PM.000008.P02</t>
  </si>
  <si>
    <t>Kompleks CIDB Johor-Perunding Jurutera Sivil</t>
  </si>
  <si>
    <t>PM.000008.P03</t>
  </si>
  <si>
    <t>Kompleks CIDB Jhr-Perunding Mekanikal &amp; Elektrikal</t>
  </si>
  <si>
    <t>PM.000008.P05</t>
  </si>
  <si>
    <t>Kompleks CIDB Johor-Perunding Jurukur Bahan</t>
  </si>
  <si>
    <t>PM.000008.P08</t>
  </si>
  <si>
    <t>Kompleks CIDB Johor-Perunding BIM</t>
  </si>
  <si>
    <t>PM.000019.P08</t>
  </si>
  <si>
    <t>The MET-Ubahsuai Pejabat CIDBH</t>
  </si>
  <si>
    <t>PM.000022.P01</t>
  </si>
  <si>
    <t>Bangunan CIDB Trg-Perunding Arkitek</t>
  </si>
  <si>
    <t>A93300</t>
  </si>
  <si>
    <t>SISTEM KOMPUTER</t>
  </si>
  <si>
    <t>PT.000004.P13</t>
  </si>
  <si>
    <t>Penambahbaikkan SAP 2026</t>
  </si>
  <si>
    <t>PT.000025.P10</t>
  </si>
  <si>
    <t>CCPM 2026</t>
  </si>
  <si>
    <t>PT.000041.P09</t>
  </si>
  <si>
    <t>CR CIMS 2026</t>
  </si>
  <si>
    <t>PT.000045.P08</t>
  </si>
  <si>
    <t>Sistem Pendaftaran Personel Binaan 2026</t>
  </si>
  <si>
    <t>PT.000048.P08</t>
  </si>
  <si>
    <t>Competency Management System (CMS) 2026</t>
  </si>
  <si>
    <t>PT.000054.P07</t>
  </si>
  <si>
    <t>PMS 2026</t>
  </si>
  <si>
    <t>PT.000061.P05</t>
  </si>
  <si>
    <t>Portal Staf 2026</t>
  </si>
  <si>
    <t>PT.000066.P04</t>
  </si>
  <si>
    <t>IDEAL 2026</t>
  </si>
  <si>
    <t>PT.000067.P04</t>
  </si>
  <si>
    <t>ELMS 2026</t>
  </si>
  <si>
    <t>PT.000079.P02</t>
  </si>
  <si>
    <t>Sistem Repositori Dokumen 2026</t>
  </si>
  <si>
    <t>PT.000080.P02</t>
  </si>
  <si>
    <t>Sistem Automasi Bangunan CIDB (BAS) 2026</t>
  </si>
  <si>
    <t>A93200</t>
  </si>
  <si>
    <t>BANGUNAN</t>
  </si>
  <si>
    <t>PM.000031.P01</t>
  </si>
  <si>
    <t>Usuai CIDB Kelantan-Perunding Arkitek</t>
  </si>
  <si>
    <t>PM.000050.K01</t>
  </si>
  <si>
    <t>P'YELGARA'N KOMP. CIDB SRWK-KONT. BINAAN</t>
  </si>
  <si>
    <t>PM.000050.P02</t>
  </si>
  <si>
    <t>P'YELGARA'N KOMP. CIDB SRWK-PERUNDING J/TERA SIVIL</t>
  </si>
  <si>
    <t>PM.000064.K01</t>
  </si>
  <si>
    <t>SISTEM PECEGAH KEBAKARAN ABM UTARA-KONTRAKTOR</t>
  </si>
  <si>
    <t>PM.000066.K01</t>
  </si>
  <si>
    <t>KERJA MEMBINA LONGKANG DI ABM TIMUR-KONTRAKTOR</t>
  </si>
  <si>
    <t>PM.000069.K01</t>
  </si>
  <si>
    <t>BUMBUNG CIDB NEGERI JOHOR-PERLANTIKAN KONTRAKTOR</t>
  </si>
  <si>
    <t>Fund</t>
  </si>
  <si>
    <t>Funds Center</t>
  </si>
  <si>
    <t>Funded Program</t>
  </si>
  <si>
    <t>Consumable Amt</t>
  </si>
  <si>
    <t>Consumed Amt</t>
  </si>
  <si>
    <t>Available Amt</t>
  </si>
  <si>
    <t>Number of DB Records</t>
  </si>
  <si>
    <t>Status</t>
  </si>
  <si>
    <t>Funds Center Description</t>
  </si>
  <si>
    <t>Commitment Item</t>
  </si>
  <si>
    <t>Commitment Item Description</t>
  </si>
  <si>
    <t>Funded Program Description</t>
  </si>
  <si>
    <t>Commitment Item Category</t>
  </si>
  <si>
    <t>BIL.</t>
  </si>
  <si>
    <t>NAMA PTJ</t>
  </si>
  <si>
    <t>PTJ</t>
  </si>
  <si>
    <t>KOD PTJ</t>
  </si>
  <si>
    <t>PEJ. K.EKSEKUTIF-PKE</t>
  </si>
  <si>
    <t>PKE</t>
  </si>
  <si>
    <t>PEJ.  PUU-PPUU</t>
  </si>
  <si>
    <t>PPUU</t>
  </si>
  <si>
    <t>BAR</t>
  </si>
  <si>
    <t>BSM</t>
  </si>
  <si>
    <t>TEK. MAKLUMAT-BTM</t>
  </si>
  <si>
    <t>BTM</t>
  </si>
  <si>
    <t>BKA</t>
  </si>
  <si>
    <t>U.PGRSN FASILITI-UPF</t>
  </si>
  <si>
    <t>UPF</t>
  </si>
  <si>
    <t>BPLV</t>
  </si>
  <si>
    <t>BPGK</t>
  </si>
  <si>
    <t>PMTHN KUALITI (BPKB)</t>
  </si>
  <si>
    <t>BPKB</t>
  </si>
  <si>
    <t>PBGN TEKNOLOGI (BPT)</t>
  </si>
  <si>
    <t>BPT</t>
  </si>
  <si>
    <t>PSKTRN BISNES (BPS)</t>
  </si>
  <si>
    <t>BPS</t>
  </si>
  <si>
    <t>PDFTR KONT&amp;PB(BPKPB)</t>
  </si>
  <si>
    <t>BPKPB</t>
  </si>
  <si>
    <t>LATIHAN &amp; AKRE (BLA)</t>
  </si>
  <si>
    <t>BLA</t>
  </si>
  <si>
    <t>NA-PGRSNAKREDI(BPAK)</t>
  </si>
  <si>
    <t>DSR STRA&amp;T.URUS-BSTU</t>
  </si>
  <si>
    <t>BSTU</t>
  </si>
  <si>
    <t>KOMUNIKASI KORP-BKK</t>
  </si>
  <si>
    <t>BKK</t>
  </si>
  <si>
    <t>PBGN PB (BPB)</t>
  </si>
  <si>
    <t>BPB</t>
  </si>
  <si>
    <t>PBGN KONT (BPK)</t>
  </si>
  <si>
    <t>BPK</t>
  </si>
  <si>
    <t>PL</t>
  </si>
  <si>
    <t>KD</t>
  </si>
  <si>
    <t>PP</t>
  </si>
  <si>
    <t>PR</t>
  </si>
  <si>
    <t>SL</t>
  </si>
  <si>
    <t>WP-WPKL</t>
  </si>
  <si>
    <t>WP</t>
  </si>
  <si>
    <t>NS-N.SEMBILAN</t>
  </si>
  <si>
    <t>NS</t>
  </si>
  <si>
    <t>ML</t>
  </si>
  <si>
    <t>JH</t>
  </si>
  <si>
    <t>PH</t>
  </si>
  <si>
    <t>TR</t>
  </si>
  <si>
    <t>KN</t>
  </si>
  <si>
    <t>SR</t>
  </si>
  <si>
    <t>MR</t>
  </si>
  <si>
    <t>BT</t>
  </si>
  <si>
    <t>SI</t>
  </si>
  <si>
    <t>SB</t>
  </si>
  <si>
    <t>TW</t>
  </si>
  <si>
    <t>SD</t>
  </si>
  <si>
    <t>BAJET 2026</t>
  </si>
  <si>
    <t>SEBENAR 
03-2026</t>
  </si>
  <si>
    <t>PRESTASI 2026</t>
  </si>
  <si>
    <t>PRESTASI 
26 vs 25</t>
  </si>
  <si>
    <t>BAJET 03-2026</t>
  </si>
  <si>
    <t>PRESTASI 
03-2026</t>
  </si>
  <si>
    <t>KOD CI</t>
  </si>
  <si>
    <t>YP-PPB</t>
  </si>
  <si>
    <t>YP-PK</t>
  </si>
  <si>
    <t>FDHD</t>
  </si>
  <si>
    <t>PK</t>
  </si>
  <si>
    <t>YK-YKK</t>
  </si>
  <si>
    <t>YK-YKPB</t>
  </si>
  <si>
    <t>YK-YKBS</t>
  </si>
  <si>
    <t>YK-YKBB</t>
  </si>
  <si>
    <t>YK-YKKorp</t>
  </si>
  <si>
    <t>YK-LLYK</t>
  </si>
  <si>
    <t>YK-YKSHEQ</t>
  </si>
  <si>
    <t>JUAL-DOK</t>
  </si>
  <si>
    <t>JUAL-TENDER</t>
  </si>
  <si>
    <t>VR-BI</t>
  </si>
  <si>
    <t>VR-BT</t>
  </si>
  <si>
    <t>PENALTI</t>
  </si>
  <si>
    <t>SUMBGN</t>
  </si>
  <si>
    <t>LLP-SEWA-BGN</t>
  </si>
  <si>
    <t>LLP-SEWA-TNH</t>
  </si>
  <si>
    <t>LLH-MUDHARABAH</t>
  </si>
  <si>
    <t>LLH-JUAL ASET</t>
  </si>
  <si>
    <t>BAKI BAJET 2026</t>
  </si>
  <si>
    <t>LLP-UP CAJ SEKATAN</t>
  </si>
  <si>
    <t xml:space="preserve">LLP-UP </t>
  </si>
  <si>
    <t>LLH-HK LEVI</t>
  </si>
  <si>
    <t>KOD</t>
  </si>
  <si>
    <t>4-SEWAAN</t>
  </si>
  <si>
    <t>5-BEKALAN</t>
  </si>
  <si>
    <t>6-PENYELENGGARAAN</t>
  </si>
  <si>
    <t>7-IKHTISAS</t>
  </si>
  <si>
    <t>8-LATIHAN</t>
  </si>
  <si>
    <t>A39100</t>
  </si>
  <si>
    <t>TEMP</t>
  </si>
  <si>
    <t xml:space="preserve">BEKALAN </t>
  </si>
  <si>
    <t>1-EMO</t>
  </si>
  <si>
    <t>2-EP</t>
  </si>
  <si>
    <t>3-UTILITI</t>
  </si>
  <si>
    <t>7-IKHTISAS-EMO COS</t>
  </si>
  <si>
    <t>9-SUSUT NILAI</t>
  </si>
  <si>
    <t>10-H/KIRA &amp; H/RAGU</t>
  </si>
  <si>
    <t>SK</t>
  </si>
  <si>
    <t>KOD1</t>
  </si>
  <si>
    <t>PTJ1</t>
  </si>
  <si>
    <t>NA-PPUU</t>
  </si>
  <si>
    <t>NA</t>
  </si>
  <si>
    <t>HQ</t>
  </si>
  <si>
    <t>PI.A0.AB.10200003.01</t>
  </si>
  <si>
    <t>PI.A0.AB.10200010.01</t>
  </si>
  <si>
    <t>PI.A0.AC.10200004.01</t>
  </si>
  <si>
    <t>PI.A0.AC.10200008.01</t>
  </si>
  <si>
    <t>PI.B0.BA.10200010.02</t>
  </si>
  <si>
    <t>PI.G0.GD.10170004.04</t>
  </si>
  <si>
    <t>PI.I0.IB.10200012.01</t>
  </si>
  <si>
    <t>PI.L0.LC.10200020.01</t>
  </si>
  <si>
    <t>PI.L0.LD.10200004.01</t>
  </si>
  <si>
    <t>Kursus Induksi Keselamatan</t>
  </si>
  <si>
    <t>NG</t>
  </si>
  <si>
    <t>AB</t>
  </si>
  <si>
    <t>CA</t>
  </si>
  <si>
    <t>CB</t>
  </si>
  <si>
    <t>BA</t>
  </si>
  <si>
    <t>BB</t>
  </si>
  <si>
    <t>FA</t>
  </si>
  <si>
    <t>FB</t>
  </si>
  <si>
    <t>FC</t>
  </si>
  <si>
    <t>EA</t>
  </si>
  <si>
    <t>EC</t>
  </si>
  <si>
    <t>FD</t>
  </si>
  <si>
    <t>KB</t>
  </si>
  <si>
    <t>KF</t>
  </si>
  <si>
    <t>AA</t>
  </si>
  <si>
    <t>DA</t>
  </si>
  <si>
    <t>DB</t>
  </si>
  <si>
    <t>GD</t>
  </si>
  <si>
    <t>GE</t>
  </si>
  <si>
    <t>HC</t>
  </si>
  <si>
    <t>HD</t>
  </si>
  <si>
    <t>IA</t>
  </si>
  <si>
    <t>IC</t>
  </si>
  <si>
    <t>IE</t>
  </si>
  <si>
    <t>JA</t>
  </si>
  <si>
    <t>JC</t>
  </si>
  <si>
    <t>LA</t>
  </si>
  <si>
    <t>LB</t>
  </si>
  <si>
    <t>LC</t>
  </si>
  <si>
    <t>LD</t>
  </si>
  <si>
    <t>HA</t>
  </si>
  <si>
    <t>HB</t>
  </si>
  <si>
    <t>AC</t>
  </si>
  <si>
    <t>GB</t>
  </si>
  <si>
    <t>IB</t>
  </si>
  <si>
    <t>PI.A0.AA.10200003.01</t>
  </si>
  <si>
    <t>AB-BPLV</t>
  </si>
  <si>
    <t>CB-BPGK</t>
  </si>
  <si>
    <t>CA-BPGK</t>
  </si>
  <si>
    <t>FC-BPKB</t>
  </si>
  <si>
    <t>FA-BPKB</t>
  </si>
  <si>
    <t>FB-BPKB</t>
  </si>
  <si>
    <t>BA-BPKB</t>
  </si>
  <si>
    <t>BB-GERAN</t>
  </si>
  <si>
    <t>FD-BPT</t>
  </si>
  <si>
    <t>FC-BPT</t>
  </si>
  <si>
    <t>FB-BPT</t>
  </si>
  <si>
    <t>EC-BPT</t>
  </si>
  <si>
    <t>EA-BPT</t>
  </si>
  <si>
    <t>FA-BPS</t>
  </si>
  <si>
    <t>KD-BPS</t>
  </si>
  <si>
    <t>KB-BPS</t>
  </si>
  <si>
    <t>KF-BPS</t>
  </si>
  <si>
    <t>DB-BPKPB</t>
  </si>
  <si>
    <t>AA-BPKPB</t>
  </si>
  <si>
    <t>DA-BPKPB</t>
  </si>
  <si>
    <t>IB-BLA</t>
  </si>
  <si>
    <t>GE-BLA</t>
  </si>
  <si>
    <t>IE-BLA</t>
  </si>
  <si>
    <t>IA-BLA</t>
  </si>
  <si>
    <t>EA-BLA</t>
  </si>
  <si>
    <t>IC-BLA</t>
  </si>
  <si>
    <t>EC-BLA</t>
  </si>
  <si>
    <t>GD-BLA</t>
  </si>
  <si>
    <t>HC-BLA</t>
  </si>
  <si>
    <t>HD-BLA</t>
  </si>
  <si>
    <t>JA-BSTU</t>
  </si>
  <si>
    <t>JC-BSTU</t>
  </si>
  <si>
    <t>LD-BKK</t>
  </si>
  <si>
    <t>LB-BKK</t>
  </si>
  <si>
    <t>LC-BKK</t>
  </si>
  <si>
    <t>LA-BKK</t>
  </si>
  <si>
    <t>HB-GERAN</t>
  </si>
  <si>
    <t>HB-BPB</t>
  </si>
  <si>
    <t>HA-BPB</t>
  </si>
  <si>
    <t>AC-BPK</t>
  </si>
  <si>
    <t>AA-BPK</t>
  </si>
  <si>
    <t>GD-GERAN</t>
  </si>
  <si>
    <t>GD-BPK</t>
  </si>
  <si>
    <t>GE-BPK</t>
  </si>
  <si>
    <t>GB-BPK</t>
  </si>
  <si>
    <t>FC-BKK</t>
  </si>
  <si>
    <t>BAJET
03-2026</t>
  </si>
  <si>
    <t>Funded Program Desc</t>
  </si>
  <si>
    <t>BAJET 
03-2026</t>
  </si>
  <si>
    <t>1-KENDERAAN</t>
  </si>
  <si>
    <t>2-K/PEJ</t>
  </si>
  <si>
    <t>3-KOMPUTER</t>
  </si>
  <si>
    <t>4-PERABOT</t>
  </si>
  <si>
    <t>5-BANGUNAN</t>
  </si>
  <si>
    <t>5-S/KOMP</t>
  </si>
  <si>
    <t>5-BANGUNAN ABM</t>
  </si>
  <si>
    <t>5-BANGUNAN THE MET</t>
  </si>
  <si>
    <t>KATEGORI</t>
  </si>
  <si>
    <t>HASIL</t>
  </si>
  <si>
    <t>A</t>
  </si>
  <si>
    <t>BIL2.</t>
  </si>
  <si>
    <t>ITEM</t>
  </si>
  <si>
    <t>LEVI KONTRAK</t>
  </si>
  <si>
    <t>LV</t>
  </si>
  <si>
    <t>YURAN PENDAFTARAN</t>
  </si>
  <si>
    <t>YP-PB</t>
  </si>
  <si>
    <t>FAEDAH &amp; DIVIDEN</t>
  </si>
  <si>
    <t>KOD ITEM</t>
  </si>
  <si>
    <t>NEW KOD CI</t>
  </si>
  <si>
    <t>PELBAGAI HASIL</t>
  </si>
  <si>
    <t>H-A.</t>
  </si>
  <si>
    <t>H-B.</t>
  </si>
  <si>
    <t>H-C.</t>
  </si>
  <si>
    <t>H-D.</t>
  </si>
  <si>
    <t>H-E.</t>
  </si>
  <si>
    <t>CAJ SEKATAN</t>
  </si>
  <si>
    <t>LLHP</t>
  </si>
  <si>
    <t>NEW KOD ITEM</t>
  </si>
  <si>
    <t>NEW KOD ITEM2</t>
  </si>
  <si>
    <t>1.LHUP.YK</t>
  </si>
  <si>
    <t>1.LHUP.VR</t>
  </si>
  <si>
    <t>LLH-PHR LEVI</t>
  </si>
  <si>
    <t>4.LHUP.CAJ SEKATAN</t>
  </si>
  <si>
    <t>6.LHUBP.PENALTI</t>
  </si>
  <si>
    <t>7.LHUBP.KOMPAUN</t>
  </si>
  <si>
    <t>8.LHUBP.GERAN</t>
  </si>
  <si>
    <t>9.LHUBP.SUMBGN</t>
  </si>
  <si>
    <t>10.LLH.JUAL ASET</t>
  </si>
  <si>
    <t>12.LLH.MUDHARABAH</t>
  </si>
  <si>
    <t>13.LLH</t>
  </si>
  <si>
    <t>5.LHUP</t>
  </si>
  <si>
    <t>11.LLH.HK/PHR LEVI</t>
  </si>
  <si>
    <t>2.LHUP.JUAL DOK.</t>
  </si>
  <si>
    <t>3.LHUP.SEWA</t>
  </si>
  <si>
    <t>-i.YKK</t>
  </si>
  <si>
    <t>-ii.YKPB</t>
  </si>
  <si>
    <t>-vii.LLYK</t>
  </si>
  <si>
    <t>-i.BI</t>
  </si>
  <si>
    <t>-ii.BT</t>
  </si>
  <si>
    <t>-i.DOK.</t>
  </si>
  <si>
    <t>-ii.TENDER</t>
  </si>
  <si>
    <t>-i.TNH</t>
  </si>
  <si>
    <t>-ii.-BGN</t>
  </si>
  <si>
    <t>-iii.YKBS</t>
  </si>
  <si>
    <t>-iv.YKKorp</t>
  </si>
  <si>
    <t>-v.YKSHEQ</t>
  </si>
  <si>
    <t>-vi.YKBB</t>
  </si>
  <si>
    <t>-i.PHR LEVI</t>
  </si>
  <si>
    <t>-ii.HK LEVI</t>
  </si>
  <si>
    <t>DR PHR</t>
  </si>
  <si>
    <t>CR AR LEVI</t>
  </si>
  <si>
    <t>DR PHR LEVI</t>
  </si>
  <si>
    <t>HR</t>
  </si>
  <si>
    <t>HK HL</t>
  </si>
  <si>
    <t>cr LLH-HK LEVI</t>
  </si>
  <si>
    <t>DR BELJ HR</t>
  </si>
  <si>
    <t>DR BANK</t>
  </si>
  <si>
    <t>CR LLH-PHR LEVI</t>
  </si>
  <si>
    <t>CR PHR LEVI</t>
  </si>
  <si>
    <t>BYR HR</t>
  </si>
  <si>
    <t>BYR HL</t>
  </si>
  <si>
    <t>AUDITED
03-2025</t>
  </si>
  <si>
    <t>PI.A0.AB.10200030.01</t>
  </si>
  <si>
    <t>PI.B0.BA.10200020.01</t>
  </si>
  <si>
    <t>PI.B0.BA.10200020.02</t>
  </si>
  <si>
    <t>PI.C0.CA.10200021.01</t>
  </si>
  <si>
    <t>PI.C0.CB.10200022.01</t>
  </si>
  <si>
    <t>PI.G0.GB.10200020.02</t>
  </si>
  <si>
    <t>PI.L0.LC.10200004.01</t>
  </si>
  <si>
    <t>PI.L0.LC.10200005.01</t>
  </si>
  <si>
    <t>PI.L0.LC.10200006.01</t>
  </si>
  <si>
    <t>PI.L0.LC.10200009.01</t>
  </si>
  <si>
    <t>PI.N0.NA.10200005.01</t>
  </si>
  <si>
    <t>PI.N0.NA.10200009.01</t>
  </si>
  <si>
    <t>PI.N0.NA.10200010.01</t>
  </si>
  <si>
    <t>PI.N0.NA.10200012.01</t>
  </si>
  <si>
    <t>PI.N0.NA.10200021.01</t>
  </si>
  <si>
    <t>10130005</t>
  </si>
  <si>
    <t>PI.D0.DG.10130005.01</t>
  </si>
  <si>
    <t>NA-BAHAGIAN OPERASI SETEMPAT</t>
  </si>
  <si>
    <t>Perkhidmatan Pelanggan</t>
  </si>
  <si>
    <t>PM.000070.K01</t>
  </si>
  <si>
    <t>UBAHSUAI PEJABAT CIDB NEGERI PERAK-KONT BINAAN</t>
  </si>
  <si>
    <t>PT.000053.P06</t>
  </si>
  <si>
    <t>Sistem eAset eStor 2026</t>
  </si>
  <si>
    <t>MESIN &amp; PERALATAN</t>
  </si>
  <si>
    <t>.</t>
  </si>
  <si>
    <t>H62100.10130001</t>
  </si>
  <si>
    <t>H71100.10150008</t>
  </si>
  <si>
    <t>H71200.10150008</t>
  </si>
  <si>
    <t>H71300.10150009</t>
  </si>
  <si>
    <t>H75100.10120003</t>
  </si>
  <si>
    <t>H75100.10200001</t>
  </si>
  <si>
    <t>H75100.10200002</t>
  </si>
  <si>
    <t>H75100.10200003</t>
  </si>
  <si>
    <t>H75100.10200005</t>
  </si>
  <si>
    <t>H75100.10200006</t>
  </si>
  <si>
    <t>H75100.10200007</t>
  </si>
  <si>
    <t>H75100.10200008</t>
  </si>
  <si>
    <t>H75100.10200009</t>
  </si>
  <si>
    <t>H75100.10200010</t>
  </si>
  <si>
    <t>H75100.10200012</t>
  </si>
  <si>
    <t>H75100.10200020</t>
  </si>
  <si>
    <t>H75100.10200022</t>
  </si>
  <si>
    <t>H75100.10200023</t>
  </si>
  <si>
    <t>H75100.10200030</t>
  </si>
  <si>
    <t>H75100.10200031</t>
  </si>
  <si>
    <t>H75100.10200032</t>
  </si>
  <si>
    <t>H72100.10150008</t>
  </si>
  <si>
    <t>H72100.10150009</t>
  </si>
  <si>
    <t>H72100.10140008</t>
  </si>
  <si>
    <t>H72100.10160003</t>
  </si>
  <si>
    <t>H72100.10110003</t>
  </si>
  <si>
    <t>H72100.10170003</t>
  </si>
  <si>
    <t>H72100.10170004</t>
  </si>
  <si>
    <t>H72200.10130007</t>
  </si>
  <si>
    <t>H73100.10140008</t>
  </si>
  <si>
    <t>H73100.10140007</t>
  </si>
  <si>
    <t>H73100.10160003</t>
  </si>
  <si>
    <t>H73100.10200004</t>
  </si>
  <si>
    <t>H73100.10200012</t>
  </si>
  <si>
    <t>H73100.10200003</t>
  </si>
  <si>
    <t>H73100.10120001</t>
  </si>
  <si>
    <t>H73100.10200008</t>
  </si>
  <si>
    <t>H73100.10200030</t>
  </si>
  <si>
    <t>H76100.10150008</t>
  </si>
  <si>
    <t>H76100.10200001</t>
  </si>
  <si>
    <t>H76100.10200002</t>
  </si>
  <si>
    <t>H76100.10200003</t>
  </si>
  <si>
    <t>H76100.10200004</t>
  </si>
  <si>
    <t>H76100.10200005</t>
  </si>
  <si>
    <t>H76100.10200006</t>
  </si>
  <si>
    <t>H76100.10200007</t>
  </si>
  <si>
    <t>H76100.10200008</t>
  </si>
  <si>
    <t>H76100.10200009</t>
  </si>
  <si>
    <t>H76100.10200010</t>
  </si>
  <si>
    <t>H76100.10200011</t>
  </si>
  <si>
    <t>H76100.10200012</t>
  </si>
  <si>
    <t>H76100.10200020</t>
  </si>
  <si>
    <t>H76100.10200030</t>
  </si>
  <si>
    <t>H76200.10200001</t>
  </si>
  <si>
    <t>H76200.10200002</t>
  </si>
  <si>
    <t>H76200.10200003</t>
  </si>
  <si>
    <t>H76200.10200004</t>
  </si>
  <si>
    <t>H76200.10200005</t>
  </si>
  <si>
    <t>H76200.10200006</t>
  </si>
  <si>
    <t>H76200.10200007</t>
  </si>
  <si>
    <t>H76200.10200008</t>
  </si>
  <si>
    <t>H76200.10200009</t>
  </si>
  <si>
    <t>H76200.10200010</t>
  </si>
  <si>
    <t>H76200.10200011</t>
  </si>
  <si>
    <t>H76200.10200012</t>
  </si>
  <si>
    <t>H76200.10200020</t>
  </si>
  <si>
    <t>H76200.10200030</t>
  </si>
  <si>
    <t>H83000.10130007</t>
  </si>
  <si>
    <t>H83000.10170003</t>
  </si>
  <si>
    <t>H83000.10170004</t>
  </si>
  <si>
    <t>.10140008</t>
  </si>
  <si>
    <t>H79100.10120001</t>
  </si>
  <si>
    <t>H79100.10120004</t>
  </si>
  <si>
    <t>H79100.10150008</t>
  </si>
  <si>
    <t>H79100.10130007</t>
  </si>
  <si>
    <t>H79100.10160003</t>
  </si>
  <si>
    <t>H79200.10120004</t>
  </si>
  <si>
    <t>H79200.10150008</t>
  </si>
  <si>
    <t>H79100.10200004</t>
  </si>
  <si>
    <t>H79100.10200006</t>
  </si>
  <si>
    <t>H79100.10200009</t>
  </si>
  <si>
    <t>H79100.10200020</t>
  </si>
  <si>
    <t>H79100.10200021</t>
  </si>
  <si>
    <t>H79100.10200023</t>
  </si>
  <si>
    <t>H79200.10200006</t>
  </si>
  <si>
    <t>H79200.10200020</t>
  </si>
  <si>
    <t>BAJET 06-2026</t>
  </si>
  <si>
    <t>SEBENAR 
06-2026</t>
  </si>
  <si>
    <t>AUDITED
06-2025</t>
  </si>
  <si>
    <t>PRESTASI 
06-2026</t>
  </si>
  <si>
    <t>CI.PTJ</t>
  </si>
  <si>
    <t>H79100.10130003</t>
  </si>
  <si>
    <t>H79100.10140007</t>
  </si>
  <si>
    <t>H79100.10150009</t>
  </si>
  <si>
    <t>H79100.10170004</t>
  </si>
  <si>
    <t>H79200.10200005</t>
  </si>
  <si>
    <t>H79200.10200009</t>
  </si>
  <si>
    <t>H79200.10130001</t>
  </si>
  <si>
    <t>H79200.10120001</t>
  </si>
  <si>
    <t>H79200.10120003</t>
  </si>
  <si>
    <t>H79200.10200001</t>
  </si>
  <si>
    <t>H79200.10200002</t>
  </si>
  <si>
    <t>H79200.10200003</t>
  </si>
  <si>
    <t>H79200.10200008</t>
  </si>
  <si>
    <t>H79200.10200010</t>
  </si>
  <si>
    <t>H79200.10200011</t>
  </si>
  <si>
    <t>H79200.10200012</t>
  </si>
  <si>
    <t>H79200.10200021</t>
  </si>
  <si>
    <t>H79200.10200022</t>
  </si>
  <si>
    <t>H79200.10200023</t>
  </si>
  <si>
    <t>H79200.10200030</t>
  </si>
  <si>
    <t>H79200.10200031</t>
  </si>
  <si>
    <t>H79200.10200032</t>
  </si>
  <si>
    <t>BPAK</t>
  </si>
  <si>
    <t>BPV</t>
  </si>
  <si>
    <t>B90000</t>
  </si>
  <si>
    <t>BOS</t>
  </si>
  <si>
    <t>KWM-SEKATAN BAJET</t>
  </si>
  <si>
    <t>KWI-SEKATAN BAJET</t>
  </si>
  <si>
    <t>DG</t>
  </si>
  <si>
    <t>DG-BOS</t>
  </si>
  <si>
    <t>PI.A0.AB.10200002.01</t>
  </si>
  <si>
    <t>PI.A0.AB.10200007.01</t>
  </si>
  <si>
    <t>PI.A0.AB.10200011.01</t>
  </si>
  <si>
    <t>PI.A0.AC.10200006.01</t>
  </si>
  <si>
    <t>PI.A0.AC.10200011.01</t>
  </si>
  <si>
    <t>PI.B0.BA.10200007.02</t>
  </si>
  <si>
    <t>PI.B0.BA.10200020.05</t>
  </si>
  <si>
    <t>PI.D0.DB.10200010.01</t>
  </si>
  <si>
    <t>PI.D0.DB.10200021.01</t>
  </si>
  <si>
    <t>PI.E0.EA.10200006.02</t>
  </si>
  <si>
    <t>PI.E0.EA.10200008.02</t>
  </si>
  <si>
    <t>PI.E0.EA.10200010.02</t>
  </si>
  <si>
    <t>PI.E0.EA.10200012.02</t>
  </si>
  <si>
    <t>PI.F0.FC.10200007.02</t>
  </si>
  <si>
    <t>PI.F0.FC.10200020.02</t>
  </si>
  <si>
    <t>PI.I0.IB.10200008.01</t>
  </si>
  <si>
    <t>PI.K0.KF.10140008.05</t>
  </si>
  <si>
    <t>PI.L0.LA.10200020.01</t>
  </si>
  <si>
    <t>PI.L0.LB.10200022.01</t>
  </si>
  <si>
    <t>PI.L0.LD.10200021.01</t>
  </si>
  <si>
    <t>PI.L0.LD.10200032.01</t>
  </si>
  <si>
    <t>KWP-SEKATAN BAJET</t>
  </si>
  <si>
    <t>A99000</t>
  </si>
  <si>
    <t>KOD AKAUN</t>
  </si>
  <si>
    <t>H72101</t>
  </si>
  <si>
    <t>H72102</t>
  </si>
  <si>
    <t>H72103</t>
  </si>
  <si>
    <t>H72105</t>
  </si>
  <si>
    <t>H72106</t>
  </si>
  <si>
    <t>H72107</t>
  </si>
  <si>
    <t>YK-YKT</t>
  </si>
  <si>
    <t>H72108</t>
  </si>
  <si>
    <t>H72199</t>
  </si>
  <si>
    <t>H72201</t>
  </si>
  <si>
    <t>H72202</t>
  </si>
  <si>
    <t>H73101</t>
  </si>
  <si>
    <t>H73102</t>
  </si>
  <si>
    <t>H74101</t>
  </si>
  <si>
    <t>H74102</t>
  </si>
  <si>
    <t>H79197</t>
  </si>
  <si>
    <t>H79201</t>
  </si>
  <si>
    <t>H73201-2</t>
  </si>
  <si>
    <t>H79103</t>
  </si>
  <si>
    <t>H79108</t>
  </si>
  <si>
    <t>H79199</t>
  </si>
  <si>
    <t>H76102</t>
  </si>
  <si>
    <t>H76201</t>
  </si>
  <si>
    <t>H83100</t>
  </si>
  <si>
    <t>H83131</t>
  </si>
  <si>
    <t>H83103</t>
  </si>
  <si>
    <t>H83112</t>
  </si>
  <si>
    <t>H83113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</si>
</sst>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#,##0.00_ ;\-#,##0.00\ 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top"/>
    </xf>
    <xf numFmtId="43" fontId="0" fillId="0" borderId="0" xfId="1" applyFont="1" applyAlignment="1">
      <alignment vertical="top"/>
    </xf>
    <xf numFmtId="9" fontId="0" fillId="0" borderId="0" xfId="2" applyFont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43" fontId="3" fillId="0" borderId="0" xfId="1" applyFont="1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 wrapText="1"/>
    </xf>
    <xf numFmtId="43" fontId="3" fillId="0" borderId="2" xfId="1" applyFont="1" applyBorder="1" applyAlignment="1">
      <alignment vertical="top"/>
    </xf>
    <xf numFmtId="0" fontId="3" fillId="5" borderId="1" xfId="0" applyFont="1" applyFill="1" applyBorder="1" applyAlignment="1">
      <alignment horizontal="center" vertical="top" wrapText="1"/>
    </xf>
    <xf numFmtId="43" fontId="3" fillId="5" borderId="1" xfId="1" applyFont="1" applyFill="1" applyBorder="1" applyAlignment="1">
      <alignment horizontal="center" vertical="top" wrapText="1"/>
    </xf>
    <xf numFmtId="0" fontId="0" fillId="6" borderId="0" xfId="0" applyFill="1" applyAlignment="1">
      <alignment vertical="top"/>
    </xf>
    <xf numFmtId="43" fontId="0" fillId="6" borderId="0" xfId="1" applyFont="1" applyFill="1" applyAlignment="1">
      <alignment vertical="top"/>
    </xf>
    <xf numFmtId="0" fontId="1" fillId="5" borderId="1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6" borderId="0" xfId="0" applyFont="1" applyFill="1" applyAlignment="1">
      <alignment vertical="top"/>
    </xf>
    <xf numFmtId="0" fontId="0" fillId="0" borderId="0" xfId="0" applyAlignment="1"/>
    <xf numFmtId="0" fontId="1" fillId="7" borderId="0" xfId="0" applyFont="1" applyFill="1" applyAlignment="1">
      <alignment vertical="top"/>
    </xf>
    <xf numFmtId="0" fontId="0" fillId="7" borderId="0" xfId="0" applyFill="1" applyAlignment="1">
      <alignment vertical="top"/>
    </xf>
    <xf numFmtId="43" fontId="0" fillId="7" borderId="0" xfId="1" applyFont="1" applyFill="1" applyAlignment="1">
      <alignment vertical="top"/>
    </xf>
    <xf numFmtId="9" fontId="3" fillId="0" borderId="2" xfId="2" applyFont="1" applyBorder="1" applyAlignment="1">
      <alignment vertical="top"/>
    </xf>
    <xf numFmtId="4" fontId="0" fillId="0" borderId="0" xfId="0" applyNumberFormat="1"/>
    <xf numFmtId="0" fontId="0" fillId="4" borderId="0" xfId="0" applyFill="1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Fill="1" applyBorder="1" applyAlignment="1">
      <alignment vertical="top"/>
    </xf>
    <xf numFmtId="10" fontId="3" fillId="5" borderId="1" xfId="0" applyNumberFormat="1" applyFont="1" applyFill="1" applyBorder="1" applyAlignment="1">
      <alignment horizontal="center" vertical="top" wrapText="1"/>
    </xf>
    <xf numFmtId="10" fontId="0" fillId="0" borderId="0" xfId="2" applyNumberFormat="1" applyFont="1" applyAlignment="1">
      <alignment vertical="top"/>
    </xf>
    <xf numFmtId="10" fontId="0" fillId="0" borderId="0" xfId="0" applyNumberFormat="1" applyAlignment="1">
      <alignment vertical="top"/>
    </xf>
    <xf numFmtId="10" fontId="0" fillId="0" borderId="0" xfId="0" applyNumberFormat="1" applyFill="1" applyAlignment="1">
      <alignment vertical="top"/>
    </xf>
    <xf numFmtId="164" fontId="0" fillId="0" borderId="0" xfId="1" applyNumberFormat="1" applyFont="1" applyAlignment="1">
      <alignment vertical="top"/>
    </xf>
    <xf numFmtId="164" fontId="3" fillId="5" borderId="1" xfId="1" applyNumberFormat="1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164" fontId="3" fillId="0" borderId="2" xfId="0" applyNumberFormat="1" applyFont="1" applyBorder="1" applyAlignment="1">
      <alignment vertical="top"/>
    </xf>
    <xf numFmtId="10" fontId="0" fillId="0" borderId="0" xfId="2" applyNumberFormat="1" applyFont="1" applyFill="1" applyAlignment="1">
      <alignment vertical="top"/>
    </xf>
    <xf numFmtId="43" fontId="0" fillId="0" borderId="0" xfId="1" applyNumberFormat="1" applyFont="1" applyAlignment="1">
      <alignment vertical="top"/>
    </xf>
    <xf numFmtId="43" fontId="0" fillId="0" borderId="0" xfId="0" applyNumberFormat="1" applyAlignment="1">
      <alignment vertical="top"/>
    </xf>
    <xf numFmtId="164" fontId="0" fillId="0" borderId="0" xfId="0" applyNumberFormat="1" applyFill="1" applyAlignment="1">
      <alignment vertical="top"/>
    </xf>
    <xf numFmtId="9" fontId="3" fillId="0" borderId="2" xfId="2" applyNumberFormat="1" applyFont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43" fontId="0" fillId="0" borderId="0" xfId="1" applyFont="1" applyFill="1" applyAlignment="1">
      <alignment vertical="top"/>
    </xf>
    <xf numFmtId="43" fontId="0" fillId="0" borderId="0" xfId="1" applyFont="1" applyAlignment="1">
      <alignment horizontal="right" vertical="top"/>
    </xf>
    <xf numFmtId="9" fontId="0" fillId="0" borderId="0" xfId="2" applyFont="1" applyAlignment="1">
      <alignment horizontal="center" vertical="top"/>
    </xf>
    <xf numFmtId="4" fontId="0" fillId="0" borderId="0" xfId="0" applyNumberFormat="1" applyFill="1" applyAlignment="1">
      <alignment horizontal="right" vertical="top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164" fontId="3" fillId="5" borderId="1" xfId="1" applyNumberFormat="1" applyFont="1" applyFill="1" applyBorder="1" applyAlignment="1">
      <alignment horizontal="center" vertical="center" wrapText="1"/>
    </xf>
    <xf numFmtId="43" fontId="3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1" applyFont="1" applyFill="1" applyAlignment="1">
      <alignment horizontal="right" vertical="top"/>
    </xf>
    <xf numFmtId="43" fontId="3" fillId="4" borderId="1" xfId="1" applyFont="1" applyFill="1" applyBorder="1" applyAlignment="1">
      <alignment horizontal="center" vertical="center" wrapText="1"/>
    </xf>
    <xf numFmtId="43" fontId="0" fillId="7" borderId="0" xfId="1" applyFont="1" applyFill="1" applyAlignment="1">
      <alignment horizontal="right" vertical="top"/>
    </xf>
    <xf numFmtId="0" fontId="0" fillId="0" borderId="0" xfId="0" applyFill="1" applyAlignment="1">
      <alignment horizontal="center" vertical="top"/>
    </xf>
    <xf numFmtId="10" fontId="0" fillId="0" borderId="0" xfId="2" applyNumberFormat="1" applyFont="1" applyAlignment="1">
      <alignment horizontal="center" vertical="top"/>
    </xf>
    <xf numFmtId="10" fontId="3" fillId="0" borderId="2" xfId="2" applyNumberFormat="1" applyFont="1" applyBorder="1" applyAlignment="1">
      <alignment horizontal="center" vertical="top"/>
    </xf>
    <xf numFmtId="9" fontId="3" fillId="0" borderId="2" xfId="2" applyFont="1" applyBorder="1" applyAlignment="1">
      <alignment horizontal="center" vertical="top"/>
    </xf>
    <xf numFmtId="0" fontId="0" fillId="9" borderId="0" xfId="0" applyFill="1" applyAlignment="1">
      <alignment vertical="top"/>
    </xf>
    <xf numFmtId="0" fontId="1" fillId="1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" fontId="3" fillId="0" borderId="2" xfId="0" applyNumberFormat="1" applyFont="1" applyBorder="1" applyAlignment="1">
      <alignment vertical="top"/>
    </xf>
    <xf numFmtId="43" fontId="0" fillId="9" borderId="0" xfId="1" applyFont="1" applyFill="1" applyAlignment="1">
      <alignment vertical="top"/>
    </xf>
    <xf numFmtId="43" fontId="3" fillId="4" borderId="1" xfId="1" applyFont="1" applyFill="1" applyBorder="1" applyAlignment="1">
      <alignment horizontal="center" vertical="top" wrapText="1"/>
    </xf>
    <xf numFmtId="9" fontId="3" fillId="0" borderId="2" xfId="2" applyNumberFormat="1" applyFont="1" applyBorder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0" fontId="0" fillId="8" borderId="0" xfId="0" applyFill="1" applyAlignment="1">
      <alignment vertical="top"/>
    </xf>
    <xf numFmtId="0" fontId="1" fillId="8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0" fillId="11" borderId="0" xfId="0" applyFill="1" applyAlignment="1">
      <alignment vertical="top"/>
    </xf>
    <xf numFmtId="0" fontId="0" fillId="0" borderId="0" xfId="0" quotePrefix="1" applyAlignment="1">
      <alignment vertical="top"/>
    </xf>
    <xf numFmtId="0" fontId="0" fillId="0" borderId="3" xfId="0" applyBorder="1" applyAlignment="1">
      <alignment vertical="top"/>
    </xf>
    <xf numFmtId="43" fontId="0" fillId="4" borderId="0" xfId="1" applyFont="1" applyFill="1" applyAlignment="1">
      <alignment vertical="top"/>
    </xf>
    <xf numFmtId="43" fontId="0" fillId="12" borderId="0" xfId="1" applyFont="1" applyFill="1" applyAlignment="1">
      <alignment vertical="top"/>
    </xf>
    <xf numFmtId="0" fontId="1" fillId="0" borderId="0" xfId="0" applyFont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43" fontId="0" fillId="13" borderId="0" xfId="1" applyFont="1" applyFill="1" applyAlignment="1">
      <alignment vertical="top"/>
    </xf>
    <xf numFmtId="43" fontId="3" fillId="0" borderId="1" xfId="1" applyFont="1" applyFill="1" applyBorder="1" applyAlignment="1">
      <alignment horizontal="center" vertical="top" wrapText="1"/>
    </xf>
    <xf numFmtId="43" fontId="3" fillId="0" borderId="2" xfId="1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/>
    </xf>
    <xf numFmtId="0" fontId="0" fillId="11" borderId="0" xfId="0" applyFill="1"/>
    <xf numFmtId="164" fontId="0" fillId="0" borderId="0" xfId="2" applyNumberFormat="1" applyFont="1" applyAlignment="1">
      <alignment vertical="top"/>
    </xf>
    <xf numFmtId="43" fontId="0" fillId="0" borderId="0" xfId="0" applyNumberFormat="1" applyAlignment="1">
      <alignment horizontal="right" vertical="top"/>
    </xf>
    <xf numFmtId="9" fontId="3" fillId="0" borderId="5" xfId="2" applyFont="1" applyBorder="1" applyAlignment="1">
      <alignment vertical="top"/>
    </xf>
    <xf numFmtId="164" fontId="3" fillId="0" borderId="6" xfId="2" applyNumberFormat="1" applyFont="1" applyBorder="1" applyAlignment="1">
      <alignment vertical="top"/>
    </xf>
    <xf numFmtId="10" fontId="3" fillId="0" borderId="4" xfId="2" applyNumberFormat="1" applyFont="1" applyBorder="1" applyAlignment="1">
      <alignment vertical="top"/>
    </xf>
    <xf numFmtId="43" fontId="0" fillId="2" borderId="1" xfId="1" applyFont="1" applyFill="1" applyBorder="1" applyAlignment="1">
      <alignment vertical="top"/>
    </xf>
    <xf numFmtId="43" fontId="0" fillId="0" borderId="0" xfId="1" applyFont="1" applyFill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43" fontId="0" fillId="14" borderId="0" xfId="1" applyNumberFormat="1" applyFont="1" applyFill="1" applyAlignment="1">
      <alignment vertical="top"/>
    </xf>
    <xf numFmtId="164" fontId="0" fillId="0" borderId="0" xfId="2" applyNumberFormat="1" applyFont="1" applyFill="1" applyAlignment="1">
      <alignment vertical="top"/>
    </xf>
    <xf numFmtId="164" fontId="3" fillId="0" borderId="0" xfId="2" applyNumberFormat="1" applyFont="1" applyFill="1" applyBorder="1" applyAlignment="1">
      <alignment vertical="top"/>
    </xf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vertical="top"/>
    </xf>
    <xf numFmtId="9" fontId="0" fillId="0" borderId="0" xfId="2" applyFont="1" applyFill="1" applyAlignment="1">
      <alignment horizontal="center" vertical="top"/>
    </xf>
    <xf numFmtId="0" fontId="1" fillId="14" borderId="0" xfId="0" applyFont="1" applyFill="1" applyAlignment="1">
      <alignment vertical="top"/>
    </xf>
    <xf numFmtId="0" fontId="0" fillId="14" borderId="0" xfId="0" applyFill="1" applyAlignment="1">
      <alignment vertical="top"/>
    </xf>
    <xf numFmtId="164" fontId="0" fillId="14" borderId="0" xfId="0" applyNumberFormat="1" applyFill="1" applyAlignment="1">
      <alignment horizontal="right" vertical="top"/>
    </xf>
    <xf numFmtId="0" fontId="1" fillId="14" borderId="0" xfId="0" applyFont="1" applyFill="1" applyAlignment="1">
      <alignment horizontal="center" vertical="top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top"/>
    </xf>
    <xf numFmtId="10" fontId="0" fillId="0" borderId="0" xfId="2" applyNumberFormat="1" applyFont="1" applyFill="1" applyAlignment="1">
      <alignment horizontal="center" vertical="top"/>
    </xf>
    <xf numFmtId="43" fontId="0" fillId="14" borderId="0" xfId="1" applyFont="1" applyFill="1" applyAlignment="1">
      <alignment vertical="top"/>
    </xf>
    <xf numFmtId="43" fontId="0" fillId="14" borderId="0" xfId="1" applyFont="1" applyFill="1" applyAlignment="1">
      <alignment horizontal="right" vertical="top"/>
    </xf>
    <xf numFmtId="43" fontId="0" fillId="4" borderId="0" xfId="1" applyFont="1" applyFill="1" applyAlignment="1">
      <alignment horizontal="right" vertical="top"/>
    </xf>
    <xf numFmtId="10" fontId="3" fillId="0" borderId="4" xfId="2" applyNumberFormat="1" applyFont="1" applyBorder="1" applyAlignment="1">
      <alignment horizontal="center" vertical="top"/>
    </xf>
    <xf numFmtId="9" fontId="3" fillId="0" borderId="5" xfId="2" applyFont="1" applyBorder="1" applyAlignment="1">
      <alignment horizontal="center" vertical="top"/>
    </xf>
    <xf numFmtId="43" fontId="3" fillId="5" borderId="1" xfId="1" applyNumberFormat="1" applyFont="1" applyFill="1" applyBorder="1" applyAlignment="1">
      <alignment horizontal="center" vertical="top" wrapText="1"/>
    </xf>
    <xf numFmtId="43" fontId="0" fillId="0" borderId="0" xfId="1" applyNumberFormat="1" applyFont="1" applyAlignment="1">
      <alignment horizontal="right" vertical="top"/>
    </xf>
    <xf numFmtId="43" fontId="3" fillId="0" borderId="2" xfId="1" applyNumberFormat="1" applyFont="1" applyBorder="1" applyAlignment="1">
      <alignment vertical="top"/>
    </xf>
    <xf numFmtId="43" fontId="0" fillId="0" borderId="0" xfId="1" applyNumberFormat="1" applyFont="1" applyFill="1" applyAlignment="1">
      <alignment vertical="top"/>
    </xf>
    <xf numFmtId="43" fontId="3" fillId="0" borderId="6" xfId="0" applyNumberFormat="1" applyFont="1" applyBorder="1" applyAlignment="1">
      <alignment vertical="top"/>
    </xf>
    <xf numFmtId="164" fontId="3" fillId="0" borderId="1" xfId="1" applyNumberFormat="1" applyFont="1" applyFill="1" applyBorder="1" applyAlignment="1">
      <alignment horizontal="center" vertical="top" wrapText="1"/>
    </xf>
    <xf numFmtId="4" fontId="3" fillId="0" borderId="2" xfId="0" applyNumberFormat="1" applyFont="1" applyFill="1" applyBorder="1" applyAlignment="1">
      <alignment vertical="top"/>
    </xf>
    <xf numFmtId="4" fontId="0" fillId="14" borderId="0" xfId="0" applyNumberFormat="1" applyFill="1" applyAlignment="1">
      <alignment horizontal="right" vertical="top"/>
    </xf>
    <xf numFmtId="4" fontId="0" fillId="0" borderId="0" xfId="0" applyNumberFormat="1" applyAlignment="1">
      <alignment horizontal="left" vertical="top"/>
    </xf>
    <xf numFmtId="10" fontId="3" fillId="0" borderId="2" xfId="2" applyNumberFormat="1" applyFont="1" applyBorder="1" applyAlignment="1">
      <alignment vertical="top"/>
    </xf>
    <xf numFmtId="4" fontId="3" fillId="5" borderId="1" xfId="1" applyNumberFormat="1" applyFont="1" applyFill="1" applyBorder="1" applyAlignment="1">
      <alignment horizontal="center" vertical="top" wrapText="1"/>
    </xf>
    <xf numFmtId="4" fontId="3" fillId="0" borderId="0" xfId="1" applyNumberFormat="1" applyFont="1" applyFill="1" applyBorder="1" applyAlignment="1">
      <alignment horizontal="center" vertical="top" wrapText="1"/>
    </xf>
    <xf numFmtId="4" fontId="0" fillId="0" borderId="0" xfId="2" applyNumberFormat="1" applyFont="1" applyAlignment="1">
      <alignment vertical="top"/>
    </xf>
    <xf numFmtId="4" fontId="3" fillId="0" borderId="2" xfId="2" applyNumberFormat="1" applyFont="1" applyBorder="1" applyAlignment="1">
      <alignment vertical="top"/>
    </xf>
    <xf numFmtId="4" fontId="0" fillId="0" borderId="0" xfId="1" applyNumberFormat="1" applyFont="1" applyFill="1" applyAlignment="1">
      <alignment vertical="top"/>
    </xf>
    <xf numFmtId="4" fontId="0" fillId="0" borderId="0" xfId="0" applyNumberFormat="1" applyFill="1" applyAlignment="1">
      <alignment vertical="top"/>
    </xf>
    <xf numFmtId="0" fontId="1" fillId="4" borderId="0" xfId="0" applyFont="1" applyFill="1" applyAlignment="1">
      <alignment vertical="top"/>
    </xf>
    <xf numFmtId="166" fontId="0" fillId="0" borderId="0" xfId="1" applyNumberFormat="1" applyFont="1" applyFill="1" applyAlignment="1">
      <alignment vertical="top"/>
    </xf>
    <xf numFmtId="0" fontId="0" fillId="0" borderId="7" xfId="0" applyBorder="1"/>
    <xf numFmtId="0" fontId="0" fillId="0" borderId="0" xfId="0" applyBorder="1"/>
    <xf numFmtId="165" fontId="6" fillId="0" borderId="0" xfId="1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43" fontId="1" fillId="7" borderId="0" xfId="1" applyFont="1" applyFill="1" applyAlignment="1">
      <alignment vertical="top"/>
    </xf>
    <xf numFmtId="166" fontId="0" fillId="7" borderId="0" xfId="1" applyNumberFormat="1" applyFont="1" applyFill="1" applyAlignment="1">
      <alignment vertical="top"/>
    </xf>
  </cellXfs>
  <cellStyles count="4">
    <cellStyle name="Comma" xfId="1" builtinId="3"/>
    <cellStyle name="Comma 3" xfId="3" xr:uid="{844D7FBF-C711-48E5-AF3A-615BD6E7BCC9}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F915-4F2B-4C95-928C-F15E60742A11}">
  <dimension ref="A1:E39"/>
  <sheetViews>
    <sheetView workbookViewId="0">
      <selection activeCell="E1" sqref="E1:E1048576"/>
    </sheetView>
  </sheetViews>
  <sheetFormatPr defaultRowHeight="12.5" x14ac:dyDescent="0.25"/>
  <cols>
    <col min="1" max="1" width="4.7265625" style="10" customWidth="1"/>
    <col min="2" max="2" width="23.1796875" style="7" bestFit="1" customWidth="1"/>
    <col min="3" max="3" width="8.7265625" style="7"/>
    <col min="4" max="4" width="10.81640625" style="7" customWidth="1"/>
    <col min="5" max="5" width="8.7265625" style="7"/>
  </cols>
  <sheetData>
    <row r="1" spans="1:5" x14ac:dyDescent="0.25">
      <c r="A1" s="5" t="s">
        <v>451</v>
      </c>
      <c r="B1" s="6" t="s">
        <v>452</v>
      </c>
      <c r="C1" s="6" t="s">
        <v>453</v>
      </c>
      <c r="D1" s="6" t="s">
        <v>454</v>
      </c>
      <c r="E1" s="6" t="s">
        <v>453</v>
      </c>
    </row>
    <row r="2" spans="1:5" x14ac:dyDescent="0.25">
      <c r="A2" s="8">
        <v>1</v>
      </c>
      <c r="B2" s="9" t="s">
        <v>455</v>
      </c>
      <c r="C2" s="9" t="s">
        <v>456</v>
      </c>
      <c r="D2" s="9" t="s">
        <v>277</v>
      </c>
      <c r="E2" s="9" t="s">
        <v>456</v>
      </c>
    </row>
    <row r="3" spans="1:5" x14ac:dyDescent="0.25">
      <c r="A3" s="8">
        <v>2</v>
      </c>
      <c r="B3" s="9" t="s">
        <v>457</v>
      </c>
      <c r="C3" s="9" t="s">
        <v>458</v>
      </c>
      <c r="D3" s="9" t="s">
        <v>1</v>
      </c>
      <c r="E3" s="9" t="s">
        <v>458</v>
      </c>
    </row>
    <row r="4" spans="1:5" x14ac:dyDescent="0.25">
      <c r="A4" s="8">
        <v>3</v>
      </c>
      <c r="B4" s="9" t="s">
        <v>294</v>
      </c>
      <c r="C4" s="9" t="s">
        <v>459</v>
      </c>
      <c r="D4" s="9" t="s">
        <v>293</v>
      </c>
      <c r="E4" s="9" t="s">
        <v>459</v>
      </c>
    </row>
    <row r="5" spans="1:5" x14ac:dyDescent="0.25">
      <c r="A5" s="8">
        <v>4</v>
      </c>
      <c r="B5" s="9" t="s">
        <v>296</v>
      </c>
      <c r="C5" s="9" t="s">
        <v>460</v>
      </c>
      <c r="D5" s="9" t="s">
        <v>295</v>
      </c>
      <c r="E5" s="9" t="s">
        <v>460</v>
      </c>
    </row>
    <row r="6" spans="1:5" x14ac:dyDescent="0.25">
      <c r="A6" s="8">
        <v>5</v>
      </c>
      <c r="B6" s="9" t="s">
        <v>461</v>
      </c>
      <c r="C6" s="9" t="s">
        <v>462</v>
      </c>
      <c r="D6" s="9" t="s">
        <v>329</v>
      </c>
      <c r="E6" s="9" t="s">
        <v>462</v>
      </c>
    </row>
    <row r="7" spans="1:5" x14ac:dyDescent="0.25">
      <c r="A7" s="8">
        <v>6</v>
      </c>
      <c r="B7" s="9" t="s">
        <v>334</v>
      </c>
      <c r="C7" s="9" t="s">
        <v>463</v>
      </c>
      <c r="D7" s="9" t="s">
        <v>333</v>
      </c>
      <c r="E7" s="9" t="s">
        <v>463</v>
      </c>
    </row>
    <row r="8" spans="1:5" x14ac:dyDescent="0.25">
      <c r="A8" s="8">
        <v>7</v>
      </c>
      <c r="B8" s="9" t="s">
        <v>464</v>
      </c>
      <c r="C8" s="9" t="s">
        <v>465</v>
      </c>
      <c r="D8" s="9" t="s">
        <v>341</v>
      </c>
      <c r="E8" s="9" t="s">
        <v>465</v>
      </c>
    </row>
    <row r="9" spans="1:5" x14ac:dyDescent="0.25">
      <c r="A9" s="8">
        <v>8</v>
      </c>
      <c r="B9" s="9" t="s">
        <v>11</v>
      </c>
      <c r="C9" s="9" t="s">
        <v>466</v>
      </c>
      <c r="D9" s="9" t="s">
        <v>9</v>
      </c>
      <c r="E9" s="9" t="s">
        <v>466</v>
      </c>
    </row>
    <row r="10" spans="1:5" x14ac:dyDescent="0.25">
      <c r="A10" s="8">
        <v>9</v>
      </c>
      <c r="B10" s="9" t="s">
        <v>15</v>
      </c>
      <c r="C10" s="9" t="s">
        <v>467</v>
      </c>
      <c r="D10" s="9" t="s">
        <v>13</v>
      </c>
      <c r="E10" s="9" t="s">
        <v>467</v>
      </c>
    </row>
    <row r="11" spans="1:5" x14ac:dyDescent="0.25">
      <c r="A11" s="8">
        <v>10</v>
      </c>
      <c r="B11" s="9" t="s">
        <v>468</v>
      </c>
      <c r="C11" s="9" t="s">
        <v>469</v>
      </c>
      <c r="D11" s="9" t="s">
        <v>19</v>
      </c>
      <c r="E11" s="9" t="s">
        <v>469</v>
      </c>
    </row>
    <row r="12" spans="1:5" x14ac:dyDescent="0.25">
      <c r="A12" s="8">
        <v>11</v>
      </c>
      <c r="B12" s="9" t="s">
        <v>470</v>
      </c>
      <c r="C12" s="9" t="s">
        <v>471</v>
      </c>
      <c r="D12" s="9" t="s">
        <v>31</v>
      </c>
      <c r="E12" s="9" t="s">
        <v>471</v>
      </c>
    </row>
    <row r="13" spans="1:5" x14ac:dyDescent="0.25">
      <c r="A13" s="8">
        <v>12</v>
      </c>
      <c r="B13" s="9" t="s">
        <v>472</v>
      </c>
      <c r="C13" s="9" t="s">
        <v>473</v>
      </c>
      <c r="D13" s="9" t="s">
        <v>41</v>
      </c>
      <c r="E13" s="9" t="s">
        <v>473</v>
      </c>
    </row>
    <row r="14" spans="1:5" x14ac:dyDescent="0.25">
      <c r="A14" s="8">
        <v>13</v>
      </c>
      <c r="B14" s="9" t="s">
        <v>474</v>
      </c>
      <c r="C14" s="9" t="s">
        <v>475</v>
      </c>
      <c r="D14" s="9" t="s">
        <v>50</v>
      </c>
      <c r="E14" s="9" t="s">
        <v>475</v>
      </c>
    </row>
    <row r="15" spans="1:5" x14ac:dyDescent="0.25">
      <c r="A15" s="8">
        <v>14</v>
      </c>
      <c r="B15" s="9" t="s">
        <v>476</v>
      </c>
      <c r="C15" s="9" t="s">
        <v>477</v>
      </c>
      <c r="D15" s="9" t="s">
        <v>58</v>
      </c>
      <c r="E15" s="9" t="s">
        <v>477</v>
      </c>
    </row>
    <row r="16" spans="1:5" x14ac:dyDescent="0.25">
      <c r="A16" s="8">
        <v>15</v>
      </c>
      <c r="B16" s="9" t="s">
        <v>478</v>
      </c>
      <c r="C16" s="9" t="s">
        <v>477</v>
      </c>
      <c r="D16" s="9" t="s">
        <v>363</v>
      </c>
      <c r="E16" s="9" t="s">
        <v>477</v>
      </c>
    </row>
    <row r="17" spans="1:5" x14ac:dyDescent="0.25">
      <c r="A17" s="8">
        <v>16</v>
      </c>
      <c r="B17" s="9" t="s">
        <v>479</v>
      </c>
      <c r="C17" s="9" t="s">
        <v>480</v>
      </c>
      <c r="D17" s="9" t="s">
        <v>77</v>
      </c>
      <c r="E17" s="9" t="s">
        <v>480</v>
      </c>
    </row>
    <row r="18" spans="1:5" x14ac:dyDescent="0.25">
      <c r="A18" s="8">
        <v>17</v>
      </c>
      <c r="B18" s="9" t="s">
        <v>481</v>
      </c>
      <c r="C18" s="9" t="s">
        <v>482</v>
      </c>
      <c r="D18" s="9" t="s">
        <v>83</v>
      </c>
      <c r="E18" s="9" t="s">
        <v>482</v>
      </c>
    </row>
    <row r="19" spans="1:5" x14ac:dyDescent="0.25">
      <c r="A19" s="8">
        <v>18</v>
      </c>
      <c r="B19" s="9" t="s">
        <v>483</v>
      </c>
      <c r="C19" s="9" t="s">
        <v>484</v>
      </c>
      <c r="D19" s="9" t="s">
        <v>94</v>
      </c>
      <c r="E19" s="9" t="s">
        <v>484</v>
      </c>
    </row>
    <row r="20" spans="1:5" x14ac:dyDescent="0.25">
      <c r="A20" s="8">
        <v>19</v>
      </c>
      <c r="B20" s="9" t="s">
        <v>485</v>
      </c>
      <c r="C20" s="9" t="s">
        <v>486</v>
      </c>
      <c r="D20" s="9" t="s">
        <v>101</v>
      </c>
      <c r="E20" s="9" t="s">
        <v>486</v>
      </c>
    </row>
    <row r="21" spans="1:5" x14ac:dyDescent="0.25">
      <c r="A21" s="8">
        <v>20</v>
      </c>
      <c r="B21" s="9" t="s">
        <v>112</v>
      </c>
      <c r="C21" s="9" t="s">
        <v>487</v>
      </c>
      <c r="D21" s="9" t="s">
        <v>110</v>
      </c>
      <c r="E21" s="9" t="s">
        <v>487</v>
      </c>
    </row>
    <row r="22" spans="1:5" x14ac:dyDescent="0.25">
      <c r="A22" s="8">
        <v>21</v>
      </c>
      <c r="B22" s="9" t="s">
        <v>121</v>
      </c>
      <c r="C22" s="9" t="s">
        <v>488</v>
      </c>
      <c r="D22" s="9" t="s">
        <v>119</v>
      </c>
      <c r="E22" s="9" t="s">
        <v>488</v>
      </c>
    </row>
    <row r="23" spans="1:5" x14ac:dyDescent="0.25">
      <c r="A23" s="8">
        <v>22</v>
      </c>
      <c r="B23" s="9" t="s">
        <v>128</v>
      </c>
      <c r="C23" s="9" t="s">
        <v>489</v>
      </c>
      <c r="D23" s="9" t="s">
        <v>127</v>
      </c>
      <c r="E23" s="9" t="s">
        <v>489</v>
      </c>
    </row>
    <row r="24" spans="1:5" x14ac:dyDescent="0.25">
      <c r="A24" s="8">
        <v>23</v>
      </c>
      <c r="B24" s="9" t="s">
        <v>137</v>
      </c>
      <c r="C24" s="9" t="s">
        <v>490</v>
      </c>
      <c r="D24" s="9" t="s">
        <v>135</v>
      </c>
      <c r="E24" s="9" t="s">
        <v>490</v>
      </c>
    </row>
    <row r="25" spans="1:5" x14ac:dyDescent="0.25">
      <c r="A25" s="8">
        <v>24</v>
      </c>
      <c r="B25" s="9" t="s">
        <v>145</v>
      </c>
      <c r="C25" s="9" t="s">
        <v>491</v>
      </c>
      <c r="D25" s="9" t="s">
        <v>143</v>
      </c>
      <c r="E25" s="9" t="s">
        <v>491</v>
      </c>
    </row>
    <row r="26" spans="1:5" x14ac:dyDescent="0.25">
      <c r="A26" s="8">
        <v>25</v>
      </c>
      <c r="B26" s="9" t="s">
        <v>492</v>
      </c>
      <c r="C26" s="9" t="s">
        <v>493</v>
      </c>
      <c r="D26" s="9" t="s">
        <v>151</v>
      </c>
      <c r="E26" s="9" t="s">
        <v>493</v>
      </c>
    </row>
    <row r="27" spans="1:5" x14ac:dyDescent="0.25">
      <c r="A27" s="8">
        <v>26</v>
      </c>
      <c r="B27" s="9" t="s">
        <v>494</v>
      </c>
      <c r="C27" s="9" t="s">
        <v>495</v>
      </c>
      <c r="D27" s="9" t="s">
        <v>159</v>
      </c>
      <c r="E27" s="9" t="s">
        <v>495</v>
      </c>
    </row>
    <row r="28" spans="1:5" x14ac:dyDescent="0.25">
      <c r="A28" s="8">
        <v>27</v>
      </c>
      <c r="B28" s="9" t="s">
        <v>172</v>
      </c>
      <c r="C28" s="9" t="s">
        <v>496</v>
      </c>
      <c r="D28" s="9" t="s">
        <v>170</v>
      </c>
      <c r="E28" s="9" t="s">
        <v>496</v>
      </c>
    </row>
    <row r="29" spans="1:5" x14ac:dyDescent="0.25">
      <c r="A29" s="8">
        <v>28</v>
      </c>
      <c r="B29" s="9" t="s">
        <v>181</v>
      </c>
      <c r="C29" s="9" t="s">
        <v>497</v>
      </c>
      <c r="D29" s="9" t="s">
        <v>179</v>
      </c>
      <c r="E29" s="9" t="s">
        <v>497</v>
      </c>
    </row>
    <row r="30" spans="1:5" x14ac:dyDescent="0.25">
      <c r="A30" s="8">
        <v>29</v>
      </c>
      <c r="B30" s="9" t="s">
        <v>191</v>
      </c>
      <c r="C30" s="9" t="s">
        <v>498</v>
      </c>
      <c r="D30" s="9" t="s">
        <v>189</v>
      </c>
      <c r="E30" s="9" t="s">
        <v>498</v>
      </c>
    </row>
    <row r="31" spans="1:5" x14ac:dyDescent="0.25">
      <c r="A31" s="8">
        <v>30</v>
      </c>
      <c r="B31" s="9" t="s">
        <v>200</v>
      </c>
      <c r="C31" s="9" t="s">
        <v>499</v>
      </c>
      <c r="D31" s="9" t="s">
        <v>198</v>
      </c>
      <c r="E31" s="9" t="s">
        <v>499</v>
      </c>
    </row>
    <row r="32" spans="1:5" x14ac:dyDescent="0.25">
      <c r="A32" s="8">
        <v>31</v>
      </c>
      <c r="B32" s="9" t="s">
        <v>208</v>
      </c>
      <c r="C32" s="9" t="s">
        <v>500</v>
      </c>
      <c r="D32" s="9" t="s">
        <v>206</v>
      </c>
      <c r="E32" s="9" t="s">
        <v>500</v>
      </c>
    </row>
    <row r="33" spans="1:5" x14ac:dyDescent="0.25">
      <c r="A33" s="8">
        <v>32</v>
      </c>
      <c r="B33" s="9" t="s">
        <v>216</v>
      </c>
      <c r="C33" s="9" t="s">
        <v>501</v>
      </c>
      <c r="D33" s="9" t="s">
        <v>214</v>
      </c>
      <c r="E33" s="9" t="s">
        <v>501</v>
      </c>
    </row>
    <row r="34" spans="1:5" x14ac:dyDescent="0.25">
      <c r="A34" s="8">
        <v>33</v>
      </c>
      <c r="B34" s="9" t="s">
        <v>228</v>
      </c>
      <c r="C34" s="9" t="s">
        <v>502</v>
      </c>
      <c r="D34" s="9" t="s">
        <v>226</v>
      </c>
      <c r="E34" s="9" t="s">
        <v>502</v>
      </c>
    </row>
    <row r="35" spans="1:5" x14ac:dyDescent="0.25">
      <c r="A35" s="8">
        <v>34</v>
      </c>
      <c r="B35" s="9" t="s">
        <v>236</v>
      </c>
      <c r="C35" s="9" t="s">
        <v>503</v>
      </c>
      <c r="D35" s="9" t="s">
        <v>234</v>
      </c>
      <c r="E35" s="9" t="s">
        <v>503</v>
      </c>
    </row>
    <row r="36" spans="1:5" x14ac:dyDescent="0.25">
      <c r="A36" s="8">
        <v>35</v>
      </c>
      <c r="B36" s="9" t="s">
        <v>243</v>
      </c>
      <c r="C36" s="9" t="s">
        <v>504</v>
      </c>
      <c r="D36" s="9" t="s">
        <v>241</v>
      </c>
      <c r="E36" s="9" t="s">
        <v>504</v>
      </c>
    </row>
    <row r="37" spans="1:5" x14ac:dyDescent="0.25">
      <c r="A37" s="8">
        <v>36</v>
      </c>
      <c r="B37" s="9" t="s">
        <v>250</v>
      </c>
      <c r="C37" s="9" t="s">
        <v>505</v>
      </c>
      <c r="D37" s="9" t="s">
        <v>248</v>
      </c>
      <c r="E37" s="9" t="s">
        <v>505</v>
      </c>
    </row>
    <row r="38" spans="1:5" x14ac:dyDescent="0.25">
      <c r="A38" s="8">
        <v>37</v>
      </c>
      <c r="B38" s="9" t="s">
        <v>261</v>
      </c>
      <c r="C38" s="9" t="s">
        <v>506</v>
      </c>
      <c r="D38" s="9" t="s">
        <v>259</v>
      </c>
      <c r="E38" s="9" t="s">
        <v>506</v>
      </c>
    </row>
    <row r="39" spans="1:5" x14ac:dyDescent="0.25">
      <c r="A39" s="8">
        <v>38</v>
      </c>
      <c r="B39" s="9" t="s">
        <v>270</v>
      </c>
      <c r="C39" s="9" t="s">
        <v>507</v>
      </c>
      <c r="D39" s="9" t="s">
        <v>268</v>
      </c>
      <c r="E39" s="9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4"/>
  <sheetViews>
    <sheetView workbookViewId="0">
      <selection activeCell="C659" sqref="C659:E680"/>
    </sheetView>
  </sheetViews>
  <sheetFormatPr defaultRowHeight="12.5" x14ac:dyDescent="0.25"/>
  <cols>
    <col min="1" max="1" width="6" bestFit="1" customWidth="1"/>
    <col min="2" max="2" width="10.7265625" customWidth="1"/>
    <col min="3" max="3" width="20.08984375" bestFit="1" customWidth="1"/>
    <col min="4" max="4" width="16" style="12" bestFit="1" customWidth="1"/>
    <col min="5" max="5" width="14" bestFit="1" customWidth="1"/>
    <col min="6" max="6" width="15" bestFit="1" customWidth="1"/>
    <col min="7" max="7" width="7" customWidth="1"/>
    <col min="8" max="8" width="4.7265625" customWidth="1"/>
    <col min="9" max="9" width="11.54296875" customWidth="1"/>
    <col min="10" max="10" width="7.54296875" customWidth="1"/>
    <col min="11" max="11" width="22.7265625" customWidth="1"/>
    <col min="12" max="12" width="23.453125" customWidth="1"/>
    <col min="13" max="13" width="6.26953125" customWidth="1"/>
  </cols>
  <sheetData>
    <row r="1" spans="1:13" ht="23.5" customHeight="1" x14ac:dyDescent="0.25">
      <c r="A1" s="1" t="s">
        <v>438</v>
      </c>
      <c r="B1" s="1" t="s">
        <v>439</v>
      </c>
      <c r="C1" s="1" t="s">
        <v>440</v>
      </c>
      <c r="D1" s="102" t="s">
        <v>441</v>
      </c>
      <c r="E1" s="1" t="s">
        <v>442</v>
      </c>
      <c r="F1" s="1" t="s">
        <v>443</v>
      </c>
      <c r="G1" s="4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4" t="s">
        <v>450</v>
      </c>
    </row>
    <row r="2" spans="1:13" x14ac:dyDescent="0.25">
      <c r="A2" t="s">
        <v>0</v>
      </c>
      <c r="B2" t="s">
        <v>50</v>
      </c>
      <c r="C2" t="s">
        <v>51</v>
      </c>
      <c r="D2" s="2">
        <v>1559400</v>
      </c>
      <c r="E2" s="2">
        <v>641824.6</v>
      </c>
      <c r="F2" s="2">
        <v>917575.4</v>
      </c>
      <c r="G2" s="3">
        <v>2</v>
      </c>
      <c r="H2" t="s">
        <v>3</v>
      </c>
      <c r="I2" t="s">
        <v>52</v>
      </c>
      <c r="J2" t="s">
        <v>5</v>
      </c>
      <c r="K2" t="s">
        <v>6</v>
      </c>
      <c r="L2" t="s">
        <v>53</v>
      </c>
      <c r="M2" t="s">
        <v>8</v>
      </c>
    </row>
    <row r="3" spans="1:13" x14ac:dyDescent="0.25">
      <c r="A3" t="s">
        <v>0</v>
      </c>
      <c r="B3" t="s">
        <v>101</v>
      </c>
      <c r="C3" t="s">
        <v>102</v>
      </c>
      <c r="D3" s="2">
        <v>1730000</v>
      </c>
      <c r="E3" s="2">
        <v>342352.43</v>
      </c>
      <c r="F3" s="2">
        <v>1387647.57</v>
      </c>
      <c r="G3" s="3">
        <v>2</v>
      </c>
      <c r="H3" t="s">
        <v>3</v>
      </c>
      <c r="I3" t="s">
        <v>103</v>
      </c>
      <c r="J3" t="s">
        <v>5</v>
      </c>
      <c r="K3" t="s">
        <v>6</v>
      </c>
      <c r="L3" t="s">
        <v>53</v>
      </c>
      <c r="M3" t="s">
        <v>8</v>
      </c>
    </row>
    <row r="4" spans="1:13" x14ac:dyDescent="0.25">
      <c r="A4" t="s">
        <v>0</v>
      </c>
      <c r="B4" t="s">
        <v>110</v>
      </c>
      <c r="C4" t="s">
        <v>111</v>
      </c>
      <c r="D4" s="2">
        <v>2000</v>
      </c>
      <c r="E4" s="2">
        <v>0</v>
      </c>
      <c r="F4" s="2">
        <v>2000</v>
      </c>
      <c r="G4" s="3">
        <v>1</v>
      </c>
      <c r="H4" t="s">
        <v>3</v>
      </c>
      <c r="I4" t="s">
        <v>112</v>
      </c>
      <c r="J4" t="s">
        <v>5</v>
      </c>
      <c r="K4" t="s">
        <v>6</v>
      </c>
      <c r="L4" t="s">
        <v>53</v>
      </c>
      <c r="M4" t="s">
        <v>8</v>
      </c>
    </row>
    <row r="5" spans="1:13" x14ac:dyDescent="0.25">
      <c r="A5" t="s">
        <v>0</v>
      </c>
      <c r="B5" t="s">
        <v>119</v>
      </c>
      <c r="C5" t="s">
        <v>120</v>
      </c>
      <c r="D5" s="2">
        <v>14700</v>
      </c>
      <c r="E5" s="2">
        <v>0</v>
      </c>
      <c r="F5" s="2">
        <v>14700</v>
      </c>
      <c r="G5" s="3">
        <v>1</v>
      </c>
      <c r="H5" t="s">
        <v>3</v>
      </c>
      <c r="I5" t="s">
        <v>121</v>
      </c>
      <c r="J5" t="s">
        <v>5</v>
      </c>
      <c r="K5" t="s">
        <v>6</v>
      </c>
      <c r="L5" t="s">
        <v>53</v>
      </c>
      <c r="M5" t="s">
        <v>8</v>
      </c>
    </row>
    <row r="6" spans="1:13" x14ac:dyDescent="0.25">
      <c r="A6" t="s">
        <v>0</v>
      </c>
      <c r="B6" t="s">
        <v>127</v>
      </c>
      <c r="C6" s="30" t="s">
        <v>606</v>
      </c>
      <c r="D6" s="2">
        <v>14700</v>
      </c>
      <c r="E6" s="2">
        <v>10520.9</v>
      </c>
      <c r="F6" s="2">
        <v>4179.1000000000004</v>
      </c>
      <c r="G6" s="3">
        <v>2</v>
      </c>
      <c r="H6" t="s">
        <v>3</v>
      </c>
      <c r="I6" t="s">
        <v>128</v>
      </c>
      <c r="J6" t="s">
        <v>5</v>
      </c>
      <c r="K6" t="s">
        <v>6</v>
      </c>
      <c r="L6" t="s">
        <v>53</v>
      </c>
      <c r="M6" t="s">
        <v>8</v>
      </c>
    </row>
    <row r="7" spans="1:13" x14ac:dyDescent="0.25">
      <c r="A7" t="s">
        <v>0</v>
      </c>
      <c r="B7" t="s">
        <v>135</v>
      </c>
      <c r="C7" t="s">
        <v>136</v>
      </c>
      <c r="D7" s="2">
        <v>3900</v>
      </c>
      <c r="E7" s="2">
        <v>0</v>
      </c>
      <c r="F7" s="2">
        <v>3900</v>
      </c>
      <c r="G7" s="3">
        <v>1</v>
      </c>
      <c r="H7" t="s">
        <v>3</v>
      </c>
      <c r="I7" t="s">
        <v>137</v>
      </c>
      <c r="J7" t="s">
        <v>5</v>
      </c>
      <c r="K7" t="s">
        <v>6</v>
      </c>
      <c r="L7" t="s">
        <v>53</v>
      </c>
      <c r="M7" t="s">
        <v>8</v>
      </c>
    </row>
    <row r="8" spans="1:13" x14ac:dyDescent="0.25">
      <c r="A8" t="s">
        <v>0</v>
      </c>
      <c r="B8" t="s">
        <v>143</v>
      </c>
      <c r="C8" t="s">
        <v>144</v>
      </c>
      <c r="D8" s="2">
        <v>21600</v>
      </c>
      <c r="E8" s="2">
        <v>12430</v>
      </c>
      <c r="F8" s="2">
        <v>9170</v>
      </c>
      <c r="G8" s="3">
        <v>2</v>
      </c>
      <c r="H8" t="s">
        <v>3</v>
      </c>
      <c r="I8" t="s">
        <v>145</v>
      </c>
      <c r="J8" t="s">
        <v>5</v>
      </c>
      <c r="K8" t="s">
        <v>6</v>
      </c>
      <c r="L8" t="s">
        <v>53</v>
      </c>
      <c r="M8" t="s">
        <v>8</v>
      </c>
    </row>
    <row r="9" spans="1:13" x14ac:dyDescent="0.25">
      <c r="A9" t="s">
        <v>0</v>
      </c>
      <c r="B9" t="s">
        <v>151</v>
      </c>
      <c r="C9" t="s">
        <v>152</v>
      </c>
      <c r="D9" s="2">
        <v>33800</v>
      </c>
      <c r="E9" s="2">
        <v>1300</v>
      </c>
      <c r="F9" s="2">
        <v>32500</v>
      </c>
      <c r="G9" s="3">
        <v>2</v>
      </c>
      <c r="H9" t="s">
        <v>3</v>
      </c>
      <c r="I9" t="s">
        <v>153</v>
      </c>
      <c r="J9" t="s">
        <v>5</v>
      </c>
      <c r="K9" t="s">
        <v>6</v>
      </c>
      <c r="L9" t="s">
        <v>53</v>
      </c>
      <c r="M9" t="s">
        <v>8</v>
      </c>
    </row>
    <row r="10" spans="1:13" x14ac:dyDescent="0.25">
      <c r="A10" t="s">
        <v>0</v>
      </c>
      <c r="B10" t="s">
        <v>159</v>
      </c>
      <c r="C10" t="s">
        <v>160</v>
      </c>
      <c r="D10" s="2">
        <v>18400</v>
      </c>
      <c r="E10" s="2">
        <v>10109.91</v>
      </c>
      <c r="F10" s="2">
        <v>8290.09</v>
      </c>
      <c r="G10" s="3">
        <v>2</v>
      </c>
      <c r="H10" t="s">
        <v>3</v>
      </c>
      <c r="I10" t="s">
        <v>161</v>
      </c>
      <c r="J10" t="s">
        <v>5</v>
      </c>
      <c r="K10" t="s">
        <v>6</v>
      </c>
      <c r="L10" t="s">
        <v>53</v>
      </c>
      <c r="M10" t="s">
        <v>8</v>
      </c>
    </row>
    <row r="11" spans="1:13" x14ac:dyDescent="0.25">
      <c r="A11" t="s">
        <v>0</v>
      </c>
      <c r="B11" t="s">
        <v>170</v>
      </c>
      <c r="C11" t="s">
        <v>171</v>
      </c>
      <c r="D11" s="2">
        <v>16200</v>
      </c>
      <c r="E11" s="2">
        <v>7890</v>
      </c>
      <c r="F11" s="2">
        <v>8310</v>
      </c>
      <c r="G11" s="3">
        <v>2</v>
      </c>
      <c r="H11" t="s">
        <v>3</v>
      </c>
      <c r="I11" t="s">
        <v>172</v>
      </c>
      <c r="J11" t="s">
        <v>5</v>
      </c>
      <c r="K11" t="s">
        <v>6</v>
      </c>
      <c r="L11" t="s">
        <v>53</v>
      </c>
      <c r="M11" t="s">
        <v>8</v>
      </c>
    </row>
    <row r="12" spans="1:13" x14ac:dyDescent="0.25">
      <c r="A12" t="s">
        <v>0</v>
      </c>
      <c r="B12" t="s">
        <v>179</v>
      </c>
      <c r="C12" t="s">
        <v>180</v>
      </c>
      <c r="D12" s="2">
        <v>14700</v>
      </c>
      <c r="E12" s="2">
        <v>10108.799999999999</v>
      </c>
      <c r="F12" s="2">
        <v>4591.2</v>
      </c>
      <c r="G12" s="3">
        <v>2</v>
      </c>
      <c r="H12" t="s">
        <v>3</v>
      </c>
      <c r="I12" t="s">
        <v>181</v>
      </c>
      <c r="J12" t="s">
        <v>5</v>
      </c>
      <c r="K12" t="s">
        <v>6</v>
      </c>
      <c r="L12" t="s">
        <v>53</v>
      </c>
      <c r="M12" t="s">
        <v>8</v>
      </c>
    </row>
    <row r="13" spans="1:13" x14ac:dyDescent="0.25">
      <c r="A13" t="s">
        <v>0</v>
      </c>
      <c r="B13" t="s">
        <v>189</v>
      </c>
      <c r="C13" t="s">
        <v>190</v>
      </c>
      <c r="D13" s="2">
        <v>14700</v>
      </c>
      <c r="E13" s="2">
        <v>10000</v>
      </c>
      <c r="F13" s="2">
        <v>4700</v>
      </c>
      <c r="G13" s="3">
        <v>2</v>
      </c>
      <c r="H13" t="s">
        <v>3</v>
      </c>
      <c r="I13" t="s">
        <v>191</v>
      </c>
      <c r="J13" t="s">
        <v>5</v>
      </c>
      <c r="K13" t="s">
        <v>6</v>
      </c>
      <c r="L13" t="s">
        <v>53</v>
      </c>
      <c r="M13" t="s">
        <v>8</v>
      </c>
    </row>
    <row r="14" spans="1:13" x14ac:dyDescent="0.25">
      <c r="A14" t="s">
        <v>0</v>
      </c>
      <c r="B14" t="s">
        <v>198</v>
      </c>
      <c r="C14" t="s">
        <v>199</v>
      </c>
      <c r="D14" s="2">
        <v>3900</v>
      </c>
      <c r="E14" s="2">
        <v>0</v>
      </c>
      <c r="F14" s="2">
        <v>3900</v>
      </c>
      <c r="G14" s="3">
        <v>1</v>
      </c>
      <c r="H14" t="s">
        <v>3</v>
      </c>
      <c r="I14" t="s">
        <v>200</v>
      </c>
      <c r="J14" t="s">
        <v>5</v>
      </c>
      <c r="K14" t="s">
        <v>6</v>
      </c>
      <c r="L14" t="s">
        <v>53</v>
      </c>
      <c r="M14" t="s">
        <v>8</v>
      </c>
    </row>
    <row r="15" spans="1:13" x14ac:dyDescent="0.25">
      <c r="A15" t="s">
        <v>0</v>
      </c>
      <c r="B15" t="s">
        <v>206</v>
      </c>
      <c r="C15" t="s">
        <v>207</v>
      </c>
      <c r="D15" s="2">
        <v>14700</v>
      </c>
      <c r="E15" s="2">
        <v>8592.7000000000007</v>
      </c>
      <c r="F15" s="2">
        <v>6107.3</v>
      </c>
      <c r="G15" s="3">
        <v>2</v>
      </c>
      <c r="H15" t="s">
        <v>3</v>
      </c>
      <c r="I15" t="s">
        <v>208</v>
      </c>
      <c r="J15" t="s">
        <v>5</v>
      </c>
      <c r="K15" t="s">
        <v>6</v>
      </c>
      <c r="L15" t="s">
        <v>53</v>
      </c>
      <c r="M15" t="s">
        <v>8</v>
      </c>
    </row>
    <row r="16" spans="1:13" x14ac:dyDescent="0.25">
      <c r="A16" t="s">
        <v>0</v>
      </c>
      <c r="B16" t="s">
        <v>214</v>
      </c>
      <c r="C16" t="s">
        <v>215</v>
      </c>
      <c r="D16" s="2">
        <v>24700</v>
      </c>
      <c r="E16" s="2">
        <v>6000</v>
      </c>
      <c r="F16" s="2">
        <v>18700</v>
      </c>
      <c r="G16" s="3">
        <v>2</v>
      </c>
      <c r="H16" t="s">
        <v>3</v>
      </c>
      <c r="I16" t="s">
        <v>216</v>
      </c>
      <c r="J16" t="s">
        <v>5</v>
      </c>
      <c r="K16" t="s">
        <v>6</v>
      </c>
      <c r="L16" t="s">
        <v>53</v>
      </c>
      <c r="M16" t="s">
        <v>8</v>
      </c>
    </row>
    <row r="17" spans="1:13" x14ac:dyDescent="0.25">
      <c r="A17" t="s">
        <v>0</v>
      </c>
      <c r="B17" t="s">
        <v>226</v>
      </c>
      <c r="C17" t="s">
        <v>227</v>
      </c>
      <c r="D17" s="2">
        <v>2000</v>
      </c>
      <c r="E17" s="2">
        <v>0</v>
      </c>
      <c r="F17" s="2">
        <v>2000</v>
      </c>
      <c r="G17" s="3">
        <v>1</v>
      </c>
      <c r="H17" t="s">
        <v>3</v>
      </c>
      <c r="I17" t="s">
        <v>228</v>
      </c>
      <c r="J17" t="s">
        <v>5</v>
      </c>
      <c r="K17" t="s">
        <v>6</v>
      </c>
      <c r="L17" t="s">
        <v>53</v>
      </c>
      <c r="M17" t="s">
        <v>8</v>
      </c>
    </row>
    <row r="18" spans="1:13" x14ac:dyDescent="0.25">
      <c r="A18" t="s">
        <v>0</v>
      </c>
      <c r="B18" t="s">
        <v>234</v>
      </c>
      <c r="C18" t="s">
        <v>235</v>
      </c>
      <c r="D18" s="2">
        <v>2000</v>
      </c>
      <c r="E18" s="2">
        <v>0</v>
      </c>
      <c r="F18" s="2">
        <v>2000</v>
      </c>
      <c r="G18" s="3">
        <v>1</v>
      </c>
      <c r="H18" t="s">
        <v>3</v>
      </c>
      <c r="I18" t="s">
        <v>236</v>
      </c>
      <c r="J18" t="s">
        <v>5</v>
      </c>
      <c r="K18" t="s">
        <v>6</v>
      </c>
      <c r="L18" t="s">
        <v>53</v>
      </c>
      <c r="M18" t="s">
        <v>8</v>
      </c>
    </row>
    <row r="19" spans="1:13" x14ac:dyDescent="0.25">
      <c r="A19" t="s">
        <v>0</v>
      </c>
      <c r="B19" t="s">
        <v>241</v>
      </c>
      <c r="C19" t="s">
        <v>242</v>
      </c>
      <c r="D19" s="2">
        <v>2000</v>
      </c>
      <c r="E19" s="2">
        <v>1600</v>
      </c>
      <c r="F19" s="2">
        <v>400</v>
      </c>
      <c r="G19" s="3">
        <v>2</v>
      </c>
      <c r="H19" t="s">
        <v>3</v>
      </c>
      <c r="I19" t="s">
        <v>243</v>
      </c>
      <c r="J19" t="s">
        <v>5</v>
      </c>
      <c r="K19" t="s">
        <v>6</v>
      </c>
      <c r="L19" t="s">
        <v>53</v>
      </c>
      <c r="M19" t="s">
        <v>8</v>
      </c>
    </row>
    <row r="20" spans="1:13" x14ac:dyDescent="0.25">
      <c r="A20" t="s">
        <v>0</v>
      </c>
      <c r="B20" t="s">
        <v>248</v>
      </c>
      <c r="C20" t="s">
        <v>249</v>
      </c>
      <c r="D20" s="2">
        <v>14700</v>
      </c>
      <c r="E20" s="2">
        <v>10800</v>
      </c>
      <c r="F20" s="2">
        <v>3900</v>
      </c>
      <c r="G20" s="3">
        <v>2</v>
      </c>
      <c r="H20" t="s">
        <v>3</v>
      </c>
      <c r="I20" t="s">
        <v>250</v>
      </c>
      <c r="J20" t="s">
        <v>5</v>
      </c>
      <c r="K20" t="s">
        <v>6</v>
      </c>
      <c r="L20" t="s">
        <v>53</v>
      </c>
      <c r="M20" t="s">
        <v>8</v>
      </c>
    </row>
    <row r="21" spans="1:13" x14ac:dyDescent="0.25">
      <c r="A21" t="s">
        <v>0</v>
      </c>
      <c r="B21" t="s">
        <v>259</v>
      </c>
      <c r="C21" t="s">
        <v>260</v>
      </c>
      <c r="D21" s="2">
        <v>2000</v>
      </c>
      <c r="E21" s="2">
        <v>0</v>
      </c>
      <c r="F21" s="2">
        <v>2000</v>
      </c>
      <c r="G21" s="3">
        <v>1</v>
      </c>
      <c r="H21" t="s">
        <v>3</v>
      </c>
      <c r="I21" t="s">
        <v>261</v>
      </c>
      <c r="J21" t="s">
        <v>5</v>
      </c>
      <c r="K21" t="s">
        <v>6</v>
      </c>
      <c r="L21" t="s">
        <v>53</v>
      </c>
      <c r="M21" t="s">
        <v>8</v>
      </c>
    </row>
    <row r="22" spans="1:13" x14ac:dyDescent="0.25">
      <c r="A22" t="s">
        <v>0</v>
      </c>
      <c r="B22" t="s">
        <v>268</v>
      </c>
      <c r="C22" t="s">
        <v>269</v>
      </c>
      <c r="D22" s="2">
        <v>2000</v>
      </c>
      <c r="E22" s="2">
        <v>0</v>
      </c>
      <c r="F22" s="2">
        <v>2000</v>
      </c>
      <c r="G22" s="3">
        <v>1</v>
      </c>
      <c r="H22" t="s">
        <v>3</v>
      </c>
      <c r="I22" t="s">
        <v>270</v>
      </c>
      <c r="J22" t="s">
        <v>5</v>
      </c>
      <c r="K22" t="s">
        <v>6</v>
      </c>
      <c r="L22" t="s">
        <v>53</v>
      </c>
      <c r="M22" t="s">
        <v>8</v>
      </c>
    </row>
    <row r="23" spans="1:13" x14ac:dyDescent="0.25">
      <c r="A23" t="s">
        <v>0</v>
      </c>
      <c r="B23" t="s">
        <v>9</v>
      </c>
      <c r="C23" t="s">
        <v>10</v>
      </c>
      <c r="D23" s="2">
        <v>360900</v>
      </c>
      <c r="E23" s="2">
        <v>216948</v>
      </c>
      <c r="F23" s="2">
        <v>143952</v>
      </c>
      <c r="G23" s="3">
        <v>2</v>
      </c>
      <c r="H23" t="s">
        <v>3</v>
      </c>
      <c r="I23" t="s">
        <v>11</v>
      </c>
      <c r="J23" t="s">
        <v>5</v>
      </c>
      <c r="K23" t="s">
        <v>6</v>
      </c>
      <c r="L23" t="s">
        <v>12</v>
      </c>
      <c r="M23" t="s">
        <v>8</v>
      </c>
    </row>
    <row r="24" spans="1:13" x14ac:dyDescent="0.25">
      <c r="A24" t="s">
        <v>0</v>
      </c>
      <c r="B24" t="s">
        <v>170</v>
      </c>
      <c r="C24" t="s">
        <v>173</v>
      </c>
      <c r="D24" s="2">
        <v>10000</v>
      </c>
      <c r="E24" s="2">
        <v>5570.75</v>
      </c>
      <c r="F24" s="2">
        <v>4429.25</v>
      </c>
      <c r="G24" s="3">
        <v>2</v>
      </c>
      <c r="H24" t="s">
        <v>3</v>
      </c>
      <c r="I24" t="s">
        <v>172</v>
      </c>
      <c r="J24" t="s">
        <v>5</v>
      </c>
      <c r="K24" t="s">
        <v>6</v>
      </c>
      <c r="L24" t="s">
        <v>12</v>
      </c>
      <c r="M24" t="s">
        <v>8</v>
      </c>
    </row>
    <row r="25" spans="1:13" x14ac:dyDescent="0.25">
      <c r="A25" t="s">
        <v>0</v>
      </c>
      <c r="B25" t="s">
        <v>179</v>
      </c>
      <c r="C25" t="s">
        <v>182</v>
      </c>
      <c r="D25" s="2">
        <v>22000</v>
      </c>
      <c r="E25" s="2">
        <v>21531.3</v>
      </c>
      <c r="F25" s="2">
        <v>468.7</v>
      </c>
      <c r="G25" s="3">
        <v>2</v>
      </c>
      <c r="H25" t="s">
        <v>3</v>
      </c>
      <c r="I25" t="s">
        <v>181</v>
      </c>
      <c r="J25" t="s">
        <v>5</v>
      </c>
      <c r="K25" t="s">
        <v>6</v>
      </c>
      <c r="L25" t="s">
        <v>12</v>
      </c>
      <c r="M25" t="s">
        <v>8</v>
      </c>
    </row>
    <row r="26" spans="1:13" x14ac:dyDescent="0.25">
      <c r="A26" t="s">
        <v>0</v>
      </c>
      <c r="B26" t="s">
        <v>214</v>
      </c>
      <c r="C26" t="s">
        <v>217</v>
      </c>
      <c r="D26" s="2">
        <v>37100</v>
      </c>
      <c r="E26" s="2">
        <v>34544.400000000001</v>
      </c>
      <c r="F26" s="2">
        <v>2555.6</v>
      </c>
      <c r="G26" s="3">
        <v>2</v>
      </c>
      <c r="H26" t="s">
        <v>3</v>
      </c>
      <c r="I26" t="s">
        <v>216</v>
      </c>
      <c r="J26" t="s">
        <v>5</v>
      </c>
      <c r="K26" t="s">
        <v>6</v>
      </c>
      <c r="L26" t="s">
        <v>12</v>
      </c>
      <c r="M26" t="s">
        <v>8</v>
      </c>
    </row>
    <row r="27" spans="1:13" x14ac:dyDescent="0.25">
      <c r="A27" t="s">
        <v>0</v>
      </c>
      <c r="B27" t="s">
        <v>226</v>
      </c>
      <c r="C27" t="s">
        <v>229</v>
      </c>
      <c r="D27" s="2">
        <v>16000</v>
      </c>
      <c r="E27" s="2">
        <v>15174.35</v>
      </c>
      <c r="F27" s="2">
        <v>825.65</v>
      </c>
      <c r="G27" s="3">
        <v>2</v>
      </c>
      <c r="H27" t="s">
        <v>3</v>
      </c>
      <c r="I27" t="s">
        <v>228</v>
      </c>
      <c r="J27" t="s">
        <v>5</v>
      </c>
      <c r="K27" t="s">
        <v>6</v>
      </c>
      <c r="L27" t="s">
        <v>12</v>
      </c>
      <c r="M27" t="s">
        <v>8</v>
      </c>
    </row>
    <row r="28" spans="1:13" x14ac:dyDescent="0.25">
      <c r="A28" t="s">
        <v>0</v>
      </c>
      <c r="B28" t="s">
        <v>234</v>
      </c>
      <c r="C28" t="s">
        <v>237</v>
      </c>
      <c r="D28" s="2">
        <v>18000</v>
      </c>
      <c r="E28" s="2">
        <v>4404.55</v>
      </c>
      <c r="F28" s="2">
        <v>13595.45</v>
      </c>
      <c r="G28" s="3">
        <v>2</v>
      </c>
      <c r="H28" t="s">
        <v>3</v>
      </c>
      <c r="I28" t="s">
        <v>236</v>
      </c>
      <c r="J28" t="s">
        <v>5</v>
      </c>
      <c r="K28" t="s">
        <v>6</v>
      </c>
      <c r="L28" t="s">
        <v>12</v>
      </c>
      <c r="M28" t="s">
        <v>8</v>
      </c>
    </row>
    <row r="29" spans="1:13" x14ac:dyDescent="0.25">
      <c r="A29" t="s">
        <v>0</v>
      </c>
      <c r="B29" t="s">
        <v>248</v>
      </c>
      <c r="C29" t="s">
        <v>729</v>
      </c>
      <c r="D29" s="2">
        <v>8000</v>
      </c>
      <c r="E29" s="2">
        <v>3840</v>
      </c>
      <c r="F29" s="2">
        <v>4160</v>
      </c>
      <c r="G29" s="3">
        <v>2</v>
      </c>
      <c r="H29" t="s">
        <v>3</v>
      </c>
      <c r="I29" t="s">
        <v>250</v>
      </c>
      <c r="J29" t="s">
        <v>5</v>
      </c>
      <c r="K29" t="s">
        <v>6</v>
      </c>
      <c r="L29" t="s">
        <v>12</v>
      </c>
      <c r="M29" t="s">
        <v>8</v>
      </c>
    </row>
    <row r="30" spans="1:13" x14ac:dyDescent="0.25">
      <c r="A30" t="s">
        <v>0</v>
      </c>
      <c r="B30" t="s">
        <v>259</v>
      </c>
      <c r="C30" t="s">
        <v>251</v>
      </c>
      <c r="D30" s="2">
        <v>3000</v>
      </c>
      <c r="E30" s="2">
        <v>0</v>
      </c>
      <c r="F30" s="2">
        <v>3000</v>
      </c>
      <c r="G30" s="3">
        <v>1</v>
      </c>
      <c r="H30" t="s">
        <v>3</v>
      </c>
      <c r="I30" t="s">
        <v>261</v>
      </c>
      <c r="J30" t="s">
        <v>5</v>
      </c>
      <c r="K30" t="s">
        <v>6</v>
      </c>
      <c r="L30" t="s">
        <v>12</v>
      </c>
      <c r="M30" t="s">
        <v>8</v>
      </c>
    </row>
    <row r="31" spans="1:13" x14ac:dyDescent="0.25">
      <c r="A31" t="s">
        <v>0</v>
      </c>
      <c r="B31" t="s">
        <v>101</v>
      </c>
      <c r="C31" t="s">
        <v>104</v>
      </c>
      <c r="D31" s="2">
        <v>91900</v>
      </c>
      <c r="E31" s="2">
        <v>0</v>
      </c>
      <c r="F31" s="2">
        <v>91900</v>
      </c>
      <c r="G31" s="3">
        <v>1</v>
      </c>
      <c r="H31" t="s">
        <v>3</v>
      </c>
      <c r="I31" t="s">
        <v>103</v>
      </c>
      <c r="J31" t="s">
        <v>5</v>
      </c>
      <c r="K31" t="s">
        <v>6</v>
      </c>
      <c r="L31" t="s">
        <v>105</v>
      </c>
      <c r="M31" t="s">
        <v>8</v>
      </c>
    </row>
    <row r="32" spans="1:13" x14ac:dyDescent="0.25">
      <c r="A32" t="s">
        <v>0</v>
      </c>
      <c r="B32" t="s">
        <v>127</v>
      </c>
      <c r="C32" t="s">
        <v>129</v>
      </c>
      <c r="D32" s="2">
        <v>6000</v>
      </c>
      <c r="E32" s="2">
        <v>0</v>
      </c>
      <c r="F32" s="2">
        <v>6000</v>
      </c>
      <c r="G32" s="3">
        <v>1</v>
      </c>
      <c r="H32" t="s">
        <v>3</v>
      </c>
      <c r="I32" t="s">
        <v>128</v>
      </c>
      <c r="J32" t="s">
        <v>5</v>
      </c>
      <c r="K32" t="s">
        <v>6</v>
      </c>
      <c r="L32" t="s">
        <v>105</v>
      </c>
      <c r="M32" t="s">
        <v>8</v>
      </c>
    </row>
    <row r="33" spans="1:13" x14ac:dyDescent="0.25">
      <c r="A33" t="s">
        <v>0</v>
      </c>
      <c r="B33" t="s">
        <v>159</v>
      </c>
      <c r="C33" t="s">
        <v>162</v>
      </c>
      <c r="D33" s="2">
        <v>14100</v>
      </c>
      <c r="E33" s="2">
        <v>12000</v>
      </c>
      <c r="F33" s="2">
        <v>2100</v>
      </c>
      <c r="G33" s="3">
        <v>2</v>
      </c>
      <c r="H33" t="s">
        <v>3</v>
      </c>
      <c r="I33" t="s">
        <v>161</v>
      </c>
      <c r="J33" t="s">
        <v>5</v>
      </c>
      <c r="K33" t="s">
        <v>6</v>
      </c>
      <c r="L33" t="s">
        <v>105</v>
      </c>
      <c r="M33" t="s">
        <v>8</v>
      </c>
    </row>
    <row r="34" spans="1:13" x14ac:dyDescent="0.25">
      <c r="A34" t="s">
        <v>0</v>
      </c>
      <c r="B34" t="s">
        <v>179</v>
      </c>
      <c r="C34" t="s">
        <v>183</v>
      </c>
      <c r="D34" s="2">
        <v>6000</v>
      </c>
      <c r="E34" s="2">
        <v>3024</v>
      </c>
      <c r="F34" s="2">
        <v>2976</v>
      </c>
      <c r="G34" s="3">
        <v>2</v>
      </c>
      <c r="H34" t="s">
        <v>3</v>
      </c>
      <c r="I34" t="s">
        <v>181</v>
      </c>
      <c r="J34" t="s">
        <v>5</v>
      </c>
      <c r="K34" t="s">
        <v>6</v>
      </c>
      <c r="L34" t="s">
        <v>105</v>
      </c>
      <c r="M34" t="s">
        <v>8</v>
      </c>
    </row>
    <row r="35" spans="1:13" x14ac:dyDescent="0.25">
      <c r="A35" t="s">
        <v>0</v>
      </c>
      <c r="B35" t="s">
        <v>189</v>
      </c>
      <c r="C35" t="s">
        <v>192</v>
      </c>
      <c r="D35" s="2">
        <v>6000</v>
      </c>
      <c r="E35" s="2">
        <v>0</v>
      </c>
      <c r="F35" s="2">
        <v>6000</v>
      </c>
      <c r="G35" s="3">
        <v>1</v>
      </c>
      <c r="H35" t="s">
        <v>3</v>
      </c>
      <c r="I35" t="s">
        <v>191</v>
      </c>
      <c r="J35" t="s">
        <v>5</v>
      </c>
      <c r="K35" t="s">
        <v>6</v>
      </c>
      <c r="L35" t="s">
        <v>105</v>
      </c>
      <c r="M35" t="s">
        <v>8</v>
      </c>
    </row>
    <row r="36" spans="1:13" x14ac:dyDescent="0.25">
      <c r="A36" t="s">
        <v>0</v>
      </c>
      <c r="B36" t="s">
        <v>214</v>
      </c>
      <c r="C36" t="s">
        <v>218</v>
      </c>
      <c r="D36" s="2">
        <v>6000</v>
      </c>
      <c r="E36" s="2">
        <v>5268</v>
      </c>
      <c r="F36" s="2">
        <v>732</v>
      </c>
      <c r="G36" s="3">
        <v>2</v>
      </c>
      <c r="H36" t="s">
        <v>3</v>
      </c>
      <c r="I36" t="s">
        <v>216</v>
      </c>
      <c r="J36" t="s">
        <v>5</v>
      </c>
      <c r="K36" t="s">
        <v>6</v>
      </c>
      <c r="L36" t="s">
        <v>105</v>
      </c>
      <c r="M36" t="s">
        <v>8</v>
      </c>
    </row>
    <row r="37" spans="1:13" x14ac:dyDescent="0.25">
      <c r="A37" t="s">
        <v>0</v>
      </c>
      <c r="B37" t="s">
        <v>248</v>
      </c>
      <c r="C37" t="s">
        <v>252</v>
      </c>
      <c r="D37" s="2">
        <v>6000</v>
      </c>
      <c r="E37" s="2">
        <v>5250</v>
      </c>
      <c r="F37" s="2">
        <v>750</v>
      </c>
      <c r="G37" s="3">
        <v>2</v>
      </c>
      <c r="H37" t="s">
        <v>3</v>
      </c>
      <c r="I37" t="s">
        <v>250</v>
      </c>
      <c r="J37" t="s">
        <v>5</v>
      </c>
      <c r="K37" t="s">
        <v>6</v>
      </c>
      <c r="L37" t="s">
        <v>105</v>
      </c>
      <c r="M37" t="s">
        <v>8</v>
      </c>
    </row>
    <row r="38" spans="1:13" x14ac:dyDescent="0.25">
      <c r="A38" t="s">
        <v>0</v>
      </c>
      <c r="B38" t="s">
        <v>19</v>
      </c>
      <c r="C38" t="s">
        <v>20</v>
      </c>
      <c r="D38" s="2">
        <v>8768600</v>
      </c>
      <c r="E38" s="2">
        <v>3011274.25</v>
      </c>
      <c r="F38" s="2">
        <v>5757325.75</v>
      </c>
      <c r="G38" s="3">
        <v>3</v>
      </c>
      <c r="H38" t="s">
        <v>3</v>
      </c>
      <c r="I38" t="s">
        <v>21</v>
      </c>
      <c r="J38" t="s">
        <v>5</v>
      </c>
      <c r="K38" t="s">
        <v>6</v>
      </c>
      <c r="L38" t="s">
        <v>22</v>
      </c>
      <c r="M38" t="s">
        <v>8</v>
      </c>
    </row>
    <row r="39" spans="1:13" x14ac:dyDescent="0.25">
      <c r="A39" t="s">
        <v>0</v>
      </c>
      <c r="B39" t="s">
        <v>214</v>
      </c>
      <c r="C39" t="s">
        <v>730</v>
      </c>
      <c r="D39" s="2">
        <v>8500</v>
      </c>
      <c r="E39" s="2">
        <v>8475</v>
      </c>
      <c r="F39" s="2">
        <v>25</v>
      </c>
      <c r="G39" s="3">
        <v>2</v>
      </c>
      <c r="H39" t="s">
        <v>3</v>
      </c>
      <c r="I39" t="s">
        <v>216</v>
      </c>
      <c r="J39" t="s">
        <v>5</v>
      </c>
      <c r="K39" t="s">
        <v>6</v>
      </c>
      <c r="L39" t="s">
        <v>22</v>
      </c>
      <c r="M39" t="s">
        <v>8</v>
      </c>
    </row>
    <row r="40" spans="1:13" x14ac:dyDescent="0.25">
      <c r="A40" t="s">
        <v>0</v>
      </c>
      <c r="B40" t="s">
        <v>214</v>
      </c>
      <c r="C40" t="s">
        <v>731</v>
      </c>
      <c r="D40" s="2">
        <v>8500</v>
      </c>
      <c r="E40" s="2">
        <v>0</v>
      </c>
      <c r="F40" s="2">
        <v>8500</v>
      </c>
      <c r="G40" s="3">
        <v>1</v>
      </c>
      <c r="H40" t="s">
        <v>3</v>
      </c>
      <c r="I40" t="s">
        <v>216</v>
      </c>
      <c r="J40" t="s">
        <v>5</v>
      </c>
      <c r="K40" t="s">
        <v>6</v>
      </c>
      <c r="L40" t="s">
        <v>22</v>
      </c>
      <c r="M40" t="s">
        <v>8</v>
      </c>
    </row>
    <row r="41" spans="1:13" x14ac:dyDescent="0.25">
      <c r="A41" t="s">
        <v>0</v>
      </c>
      <c r="B41" t="s">
        <v>19</v>
      </c>
      <c r="C41" t="s">
        <v>23</v>
      </c>
      <c r="D41" s="2">
        <v>240300</v>
      </c>
      <c r="E41" s="2">
        <v>0</v>
      </c>
      <c r="F41" s="2">
        <v>240300</v>
      </c>
      <c r="G41" s="3">
        <v>1</v>
      </c>
      <c r="H41" t="s">
        <v>3</v>
      </c>
      <c r="I41" t="s">
        <v>21</v>
      </c>
      <c r="J41" t="s">
        <v>5</v>
      </c>
      <c r="K41" t="s">
        <v>6</v>
      </c>
      <c r="L41" t="s">
        <v>24</v>
      </c>
      <c r="M41" t="s">
        <v>8</v>
      </c>
    </row>
    <row r="42" spans="1:13" x14ac:dyDescent="0.25">
      <c r="A42" t="s">
        <v>0</v>
      </c>
      <c r="B42" t="s">
        <v>13</v>
      </c>
      <c r="C42" t="s">
        <v>14</v>
      </c>
      <c r="D42" s="2">
        <v>31500</v>
      </c>
      <c r="E42" s="2">
        <v>0</v>
      </c>
      <c r="F42" s="2">
        <v>31500</v>
      </c>
      <c r="G42" s="3">
        <v>1</v>
      </c>
      <c r="H42" t="s">
        <v>3</v>
      </c>
      <c r="I42" t="s">
        <v>15</v>
      </c>
      <c r="J42" t="s">
        <v>5</v>
      </c>
      <c r="K42" t="s">
        <v>6</v>
      </c>
      <c r="L42" t="s">
        <v>16</v>
      </c>
      <c r="M42" t="s">
        <v>8</v>
      </c>
    </row>
    <row r="43" spans="1:13" x14ac:dyDescent="0.25">
      <c r="A43" t="s">
        <v>0</v>
      </c>
      <c r="B43" t="s">
        <v>110</v>
      </c>
      <c r="C43" t="s">
        <v>113</v>
      </c>
      <c r="D43" s="2">
        <v>20000</v>
      </c>
      <c r="E43" s="2">
        <v>4256</v>
      </c>
      <c r="F43" s="2">
        <v>15744</v>
      </c>
      <c r="G43" s="3">
        <v>2</v>
      </c>
      <c r="H43" t="s">
        <v>3</v>
      </c>
      <c r="I43" t="s">
        <v>112</v>
      </c>
      <c r="J43" t="s">
        <v>5</v>
      </c>
      <c r="K43" t="s">
        <v>6</v>
      </c>
      <c r="L43" t="s">
        <v>16</v>
      </c>
      <c r="M43" t="s">
        <v>8</v>
      </c>
    </row>
    <row r="44" spans="1:13" x14ac:dyDescent="0.25">
      <c r="A44" t="s">
        <v>0</v>
      </c>
      <c r="B44" t="s">
        <v>119</v>
      </c>
      <c r="C44" t="s">
        <v>122</v>
      </c>
      <c r="D44" s="2">
        <v>20000</v>
      </c>
      <c r="E44" s="2">
        <v>5351.2</v>
      </c>
      <c r="F44" s="2">
        <v>14648.8</v>
      </c>
      <c r="G44" s="3">
        <v>2</v>
      </c>
      <c r="H44" t="s">
        <v>3</v>
      </c>
      <c r="I44" t="s">
        <v>121</v>
      </c>
      <c r="J44" t="s">
        <v>5</v>
      </c>
      <c r="K44" t="s">
        <v>6</v>
      </c>
      <c r="L44" t="s">
        <v>16</v>
      </c>
      <c r="M44" t="s">
        <v>8</v>
      </c>
    </row>
    <row r="45" spans="1:13" x14ac:dyDescent="0.25">
      <c r="A45" t="s">
        <v>0</v>
      </c>
      <c r="B45" t="s">
        <v>127</v>
      </c>
      <c r="C45" t="s">
        <v>130</v>
      </c>
      <c r="D45" s="2">
        <v>25000</v>
      </c>
      <c r="E45" s="2">
        <v>176.6</v>
      </c>
      <c r="F45" s="2">
        <v>24823.4</v>
      </c>
      <c r="G45" s="3">
        <v>2</v>
      </c>
      <c r="H45" t="s">
        <v>3</v>
      </c>
      <c r="I45" t="s">
        <v>128</v>
      </c>
      <c r="J45" t="s">
        <v>5</v>
      </c>
      <c r="K45" t="s">
        <v>6</v>
      </c>
      <c r="L45" t="s">
        <v>16</v>
      </c>
      <c r="M45" t="s">
        <v>8</v>
      </c>
    </row>
    <row r="46" spans="1:13" x14ac:dyDescent="0.25">
      <c r="A46" t="s">
        <v>0</v>
      </c>
      <c r="B46" t="s">
        <v>135</v>
      </c>
      <c r="C46" t="s">
        <v>138</v>
      </c>
      <c r="D46" s="2">
        <v>25000</v>
      </c>
      <c r="E46" s="2">
        <v>1014.85</v>
      </c>
      <c r="F46" s="2">
        <v>23985.15</v>
      </c>
      <c r="G46" s="3">
        <v>2</v>
      </c>
      <c r="H46" t="s">
        <v>3</v>
      </c>
      <c r="I46" t="s">
        <v>137</v>
      </c>
      <c r="J46" t="s">
        <v>5</v>
      </c>
      <c r="K46" t="s">
        <v>6</v>
      </c>
      <c r="L46" t="s">
        <v>16</v>
      </c>
      <c r="M46" t="s">
        <v>8</v>
      </c>
    </row>
    <row r="47" spans="1:13" x14ac:dyDescent="0.25">
      <c r="A47" t="s">
        <v>0</v>
      </c>
      <c r="B47" t="s">
        <v>143</v>
      </c>
      <c r="C47" t="s">
        <v>146</v>
      </c>
      <c r="D47" s="2">
        <v>25000</v>
      </c>
      <c r="E47" s="2">
        <v>25000</v>
      </c>
      <c r="F47" s="2">
        <v>0</v>
      </c>
      <c r="G47" s="3">
        <v>2</v>
      </c>
      <c r="H47" t="s">
        <v>3</v>
      </c>
      <c r="I47" t="s">
        <v>145</v>
      </c>
      <c r="J47" t="s">
        <v>5</v>
      </c>
      <c r="K47" t="s">
        <v>6</v>
      </c>
      <c r="L47" t="s">
        <v>16</v>
      </c>
      <c r="M47" t="s">
        <v>8</v>
      </c>
    </row>
    <row r="48" spans="1:13" x14ac:dyDescent="0.25">
      <c r="A48" t="s">
        <v>0</v>
      </c>
      <c r="B48" t="s">
        <v>151</v>
      </c>
      <c r="C48" t="s">
        <v>154</v>
      </c>
      <c r="D48" s="2">
        <v>25000</v>
      </c>
      <c r="E48" s="2">
        <v>2997.7</v>
      </c>
      <c r="F48" s="2">
        <v>22002.3</v>
      </c>
      <c r="G48" s="3">
        <v>2</v>
      </c>
      <c r="H48" t="s">
        <v>3</v>
      </c>
      <c r="I48" t="s">
        <v>153</v>
      </c>
      <c r="J48" t="s">
        <v>5</v>
      </c>
      <c r="K48" t="s">
        <v>6</v>
      </c>
      <c r="L48" t="s">
        <v>16</v>
      </c>
      <c r="M48" t="s">
        <v>8</v>
      </c>
    </row>
    <row r="49" spans="1:13" x14ac:dyDescent="0.25">
      <c r="A49" t="s">
        <v>0</v>
      </c>
      <c r="B49" t="s">
        <v>159</v>
      </c>
      <c r="C49" t="s">
        <v>163</v>
      </c>
      <c r="D49" s="2">
        <v>20000</v>
      </c>
      <c r="E49" s="2">
        <v>9755</v>
      </c>
      <c r="F49" s="2">
        <v>10245</v>
      </c>
      <c r="G49" s="3">
        <v>2</v>
      </c>
      <c r="H49" t="s">
        <v>3</v>
      </c>
      <c r="I49" t="s">
        <v>161</v>
      </c>
      <c r="J49" t="s">
        <v>5</v>
      </c>
      <c r="K49" t="s">
        <v>6</v>
      </c>
      <c r="L49" t="s">
        <v>16</v>
      </c>
      <c r="M49" t="s">
        <v>8</v>
      </c>
    </row>
    <row r="50" spans="1:13" x14ac:dyDescent="0.25">
      <c r="A50" t="s">
        <v>0</v>
      </c>
      <c r="B50" t="s">
        <v>170</v>
      </c>
      <c r="C50" t="s">
        <v>174</v>
      </c>
      <c r="D50" s="2">
        <v>20000</v>
      </c>
      <c r="E50" s="2">
        <v>0</v>
      </c>
      <c r="F50" s="2">
        <v>20000</v>
      </c>
      <c r="G50" s="3">
        <v>1</v>
      </c>
      <c r="H50" t="s">
        <v>3</v>
      </c>
      <c r="I50" t="s">
        <v>172</v>
      </c>
      <c r="J50" t="s">
        <v>5</v>
      </c>
      <c r="K50" t="s">
        <v>6</v>
      </c>
      <c r="L50" t="s">
        <v>16</v>
      </c>
      <c r="M50" t="s">
        <v>8</v>
      </c>
    </row>
    <row r="51" spans="1:13" x14ac:dyDescent="0.25">
      <c r="A51" t="s">
        <v>0</v>
      </c>
      <c r="B51" t="s">
        <v>179</v>
      </c>
      <c r="C51" t="s">
        <v>184</v>
      </c>
      <c r="D51" s="2">
        <v>25000</v>
      </c>
      <c r="E51" s="2">
        <v>24450</v>
      </c>
      <c r="F51" s="2">
        <v>550</v>
      </c>
      <c r="G51" s="3">
        <v>2</v>
      </c>
      <c r="H51" t="s">
        <v>3</v>
      </c>
      <c r="I51" t="s">
        <v>181</v>
      </c>
      <c r="J51" t="s">
        <v>5</v>
      </c>
      <c r="K51" t="s">
        <v>6</v>
      </c>
      <c r="L51" t="s">
        <v>16</v>
      </c>
      <c r="M51" t="s">
        <v>8</v>
      </c>
    </row>
    <row r="52" spans="1:13" x14ac:dyDescent="0.25">
      <c r="A52" t="s">
        <v>0</v>
      </c>
      <c r="B52" t="s">
        <v>189</v>
      </c>
      <c r="C52" t="s">
        <v>193</v>
      </c>
      <c r="D52" s="2">
        <v>25000</v>
      </c>
      <c r="E52" s="2">
        <v>16672</v>
      </c>
      <c r="F52" s="2">
        <v>8328</v>
      </c>
      <c r="G52" s="3">
        <v>2</v>
      </c>
      <c r="H52" t="s">
        <v>3</v>
      </c>
      <c r="I52" t="s">
        <v>191</v>
      </c>
      <c r="J52" t="s">
        <v>5</v>
      </c>
      <c r="K52" t="s">
        <v>6</v>
      </c>
      <c r="L52" t="s">
        <v>16</v>
      </c>
      <c r="M52" t="s">
        <v>8</v>
      </c>
    </row>
    <row r="53" spans="1:13" x14ac:dyDescent="0.25">
      <c r="A53" t="s">
        <v>0</v>
      </c>
      <c r="B53" t="s">
        <v>198</v>
      </c>
      <c r="C53" t="s">
        <v>201</v>
      </c>
      <c r="D53" s="2">
        <v>20000</v>
      </c>
      <c r="E53" s="2">
        <v>0</v>
      </c>
      <c r="F53" s="2">
        <v>20000</v>
      </c>
      <c r="G53" s="3">
        <v>1</v>
      </c>
      <c r="H53" t="s">
        <v>3</v>
      </c>
      <c r="I53" t="s">
        <v>200</v>
      </c>
      <c r="J53" t="s">
        <v>5</v>
      </c>
      <c r="K53" t="s">
        <v>6</v>
      </c>
      <c r="L53" t="s">
        <v>16</v>
      </c>
      <c r="M53" t="s">
        <v>8</v>
      </c>
    </row>
    <row r="54" spans="1:13" x14ac:dyDescent="0.25">
      <c r="A54" t="s">
        <v>0</v>
      </c>
      <c r="B54" t="s">
        <v>206</v>
      </c>
      <c r="C54" t="s">
        <v>209</v>
      </c>
      <c r="D54" s="2">
        <v>20000</v>
      </c>
      <c r="E54" s="2">
        <v>18758</v>
      </c>
      <c r="F54" s="2">
        <v>1242</v>
      </c>
      <c r="G54" s="3">
        <v>2</v>
      </c>
      <c r="H54" t="s">
        <v>3</v>
      </c>
      <c r="I54" t="s">
        <v>208</v>
      </c>
      <c r="J54" t="s">
        <v>5</v>
      </c>
      <c r="K54" t="s">
        <v>6</v>
      </c>
      <c r="L54" t="s">
        <v>16</v>
      </c>
      <c r="M54" t="s">
        <v>8</v>
      </c>
    </row>
    <row r="55" spans="1:13" x14ac:dyDescent="0.25">
      <c r="A55" t="s">
        <v>0</v>
      </c>
      <c r="B55" t="s">
        <v>214</v>
      </c>
      <c r="C55" t="s">
        <v>219</v>
      </c>
      <c r="D55" s="2">
        <v>10000</v>
      </c>
      <c r="E55" s="2">
        <v>0</v>
      </c>
      <c r="F55" s="2">
        <v>10000</v>
      </c>
      <c r="G55" s="3">
        <v>1</v>
      </c>
      <c r="H55" t="s">
        <v>3</v>
      </c>
      <c r="I55" t="s">
        <v>216</v>
      </c>
      <c r="J55" t="s">
        <v>5</v>
      </c>
      <c r="K55" t="s">
        <v>6</v>
      </c>
      <c r="L55" t="s">
        <v>16</v>
      </c>
      <c r="M55" t="s">
        <v>8</v>
      </c>
    </row>
    <row r="56" spans="1:13" x14ac:dyDescent="0.25">
      <c r="A56" t="s">
        <v>0</v>
      </c>
      <c r="B56" t="s">
        <v>226</v>
      </c>
      <c r="C56" t="s">
        <v>732</v>
      </c>
      <c r="D56" s="2">
        <v>15000</v>
      </c>
      <c r="E56" s="2">
        <v>12396</v>
      </c>
      <c r="F56" s="2">
        <v>2604</v>
      </c>
      <c r="G56" s="3">
        <v>2</v>
      </c>
      <c r="H56" t="s">
        <v>3</v>
      </c>
      <c r="I56" t="s">
        <v>228</v>
      </c>
      <c r="J56" t="s">
        <v>5</v>
      </c>
      <c r="K56" t="s">
        <v>6</v>
      </c>
      <c r="L56" t="s">
        <v>16</v>
      </c>
      <c r="M56" t="s">
        <v>8</v>
      </c>
    </row>
    <row r="57" spans="1:13" x14ac:dyDescent="0.25">
      <c r="A57" t="s">
        <v>0</v>
      </c>
      <c r="B57" t="s">
        <v>248</v>
      </c>
      <c r="C57" t="s">
        <v>253</v>
      </c>
      <c r="D57" s="2">
        <v>15000</v>
      </c>
      <c r="E57" s="2">
        <v>6808.75</v>
      </c>
      <c r="F57" s="2">
        <v>8191.25</v>
      </c>
      <c r="G57" s="3">
        <v>2</v>
      </c>
      <c r="H57" t="s">
        <v>3</v>
      </c>
      <c r="I57" t="s">
        <v>250</v>
      </c>
      <c r="J57" t="s">
        <v>5</v>
      </c>
      <c r="K57" t="s">
        <v>6</v>
      </c>
      <c r="L57" t="s">
        <v>16</v>
      </c>
      <c r="M57" t="s">
        <v>8</v>
      </c>
    </row>
    <row r="58" spans="1:13" x14ac:dyDescent="0.25">
      <c r="A58" t="s">
        <v>0</v>
      </c>
      <c r="B58" t="s">
        <v>259</v>
      </c>
      <c r="C58" t="s">
        <v>262</v>
      </c>
      <c r="D58" s="2">
        <v>5000</v>
      </c>
      <c r="E58" s="2">
        <v>1525</v>
      </c>
      <c r="F58" s="2">
        <v>3475</v>
      </c>
      <c r="G58" s="3">
        <v>2</v>
      </c>
      <c r="H58" t="s">
        <v>3</v>
      </c>
      <c r="I58" t="s">
        <v>261</v>
      </c>
      <c r="J58" t="s">
        <v>5</v>
      </c>
      <c r="K58" t="s">
        <v>6</v>
      </c>
      <c r="L58" t="s">
        <v>16</v>
      </c>
      <c r="M58" t="s">
        <v>8</v>
      </c>
    </row>
    <row r="59" spans="1:13" x14ac:dyDescent="0.25">
      <c r="A59" t="s">
        <v>0</v>
      </c>
      <c r="B59" t="s">
        <v>268</v>
      </c>
      <c r="C59" t="s">
        <v>271</v>
      </c>
      <c r="D59" s="2">
        <v>5000</v>
      </c>
      <c r="E59" s="2">
        <v>2920.75</v>
      </c>
      <c r="F59" s="2">
        <v>2079.25</v>
      </c>
      <c r="G59" s="3">
        <v>2</v>
      </c>
      <c r="H59" t="s">
        <v>3</v>
      </c>
      <c r="I59" t="s">
        <v>270</v>
      </c>
      <c r="J59" t="s">
        <v>5</v>
      </c>
      <c r="K59" t="s">
        <v>6</v>
      </c>
      <c r="L59" t="s">
        <v>16</v>
      </c>
      <c r="M59" t="s">
        <v>8</v>
      </c>
    </row>
    <row r="60" spans="1:13" x14ac:dyDescent="0.25">
      <c r="A60" t="s">
        <v>0</v>
      </c>
      <c r="B60" t="s">
        <v>13</v>
      </c>
      <c r="C60" t="s">
        <v>17</v>
      </c>
      <c r="D60" s="2">
        <v>25000</v>
      </c>
      <c r="E60" s="2">
        <v>0</v>
      </c>
      <c r="F60" s="2">
        <v>25000</v>
      </c>
      <c r="G60" s="3">
        <v>1</v>
      </c>
      <c r="H60" t="s">
        <v>3</v>
      </c>
      <c r="I60" t="s">
        <v>15</v>
      </c>
      <c r="J60" t="s">
        <v>5</v>
      </c>
      <c r="K60" t="s">
        <v>6</v>
      </c>
      <c r="L60" t="s">
        <v>18</v>
      </c>
      <c r="M60" t="s">
        <v>8</v>
      </c>
    </row>
    <row r="61" spans="1:13" x14ac:dyDescent="0.25">
      <c r="A61" t="s">
        <v>0</v>
      </c>
      <c r="B61" t="s">
        <v>110</v>
      </c>
      <c r="C61" t="s">
        <v>114</v>
      </c>
      <c r="D61" s="2">
        <v>32500</v>
      </c>
      <c r="E61" s="2">
        <v>3986.3</v>
      </c>
      <c r="F61" s="2">
        <v>28513.7</v>
      </c>
      <c r="G61" s="3">
        <v>2</v>
      </c>
      <c r="H61" t="s">
        <v>3</v>
      </c>
      <c r="I61" t="s">
        <v>112</v>
      </c>
      <c r="J61" t="s">
        <v>5</v>
      </c>
      <c r="K61" t="s">
        <v>6</v>
      </c>
      <c r="L61" t="s">
        <v>18</v>
      </c>
      <c r="M61" t="s">
        <v>8</v>
      </c>
    </row>
    <row r="62" spans="1:13" x14ac:dyDescent="0.25">
      <c r="A62" t="s">
        <v>0</v>
      </c>
      <c r="B62" t="s">
        <v>119</v>
      </c>
      <c r="C62" t="s">
        <v>123</v>
      </c>
      <c r="D62" s="2">
        <v>37000</v>
      </c>
      <c r="E62" s="2">
        <v>25695.5</v>
      </c>
      <c r="F62" s="2">
        <v>11304.5</v>
      </c>
      <c r="G62" s="3">
        <v>2</v>
      </c>
      <c r="H62" t="s">
        <v>3</v>
      </c>
      <c r="I62" t="s">
        <v>121</v>
      </c>
      <c r="J62" t="s">
        <v>5</v>
      </c>
      <c r="K62" t="s">
        <v>6</v>
      </c>
      <c r="L62" t="s">
        <v>18</v>
      </c>
      <c r="M62" t="s">
        <v>8</v>
      </c>
    </row>
    <row r="63" spans="1:13" x14ac:dyDescent="0.25">
      <c r="A63" t="s">
        <v>0</v>
      </c>
      <c r="B63" t="s">
        <v>127</v>
      </c>
      <c r="C63" t="s">
        <v>131</v>
      </c>
      <c r="D63" s="2">
        <v>41500</v>
      </c>
      <c r="E63" s="2">
        <v>36736.25</v>
      </c>
      <c r="F63" s="2">
        <v>4763.75</v>
      </c>
      <c r="G63" s="3">
        <v>2</v>
      </c>
      <c r="H63" t="s">
        <v>3</v>
      </c>
      <c r="I63" t="s">
        <v>128</v>
      </c>
      <c r="J63" t="s">
        <v>5</v>
      </c>
      <c r="K63" t="s">
        <v>6</v>
      </c>
      <c r="L63" t="s">
        <v>18</v>
      </c>
      <c r="M63" t="s">
        <v>8</v>
      </c>
    </row>
    <row r="64" spans="1:13" x14ac:dyDescent="0.25">
      <c r="A64" t="s">
        <v>0</v>
      </c>
      <c r="B64" t="s">
        <v>135</v>
      </c>
      <c r="C64" t="s">
        <v>139</v>
      </c>
      <c r="D64" s="2">
        <v>41500</v>
      </c>
      <c r="E64" s="2">
        <v>16128.51</v>
      </c>
      <c r="F64" s="2">
        <v>25371.49</v>
      </c>
      <c r="G64" s="3">
        <v>2</v>
      </c>
      <c r="H64" t="s">
        <v>3</v>
      </c>
      <c r="I64" t="s">
        <v>137</v>
      </c>
      <c r="J64" t="s">
        <v>5</v>
      </c>
      <c r="K64" t="s">
        <v>6</v>
      </c>
      <c r="L64" t="s">
        <v>18</v>
      </c>
      <c r="M64" t="s">
        <v>8</v>
      </c>
    </row>
    <row r="65" spans="1:13" x14ac:dyDescent="0.25">
      <c r="A65" t="s">
        <v>0</v>
      </c>
      <c r="B65" t="s">
        <v>143</v>
      </c>
      <c r="C65" t="s">
        <v>147</v>
      </c>
      <c r="D65" s="2">
        <v>55000</v>
      </c>
      <c r="E65" s="2">
        <v>30653.67</v>
      </c>
      <c r="F65" s="2">
        <v>24346.33</v>
      </c>
      <c r="G65" s="3">
        <v>2</v>
      </c>
      <c r="H65" t="s">
        <v>3</v>
      </c>
      <c r="I65" t="s">
        <v>145</v>
      </c>
      <c r="J65" t="s">
        <v>5</v>
      </c>
      <c r="K65" t="s">
        <v>6</v>
      </c>
      <c r="L65" t="s">
        <v>18</v>
      </c>
      <c r="M65" t="s">
        <v>8</v>
      </c>
    </row>
    <row r="66" spans="1:13" x14ac:dyDescent="0.25">
      <c r="A66" t="s">
        <v>0</v>
      </c>
      <c r="B66" t="s">
        <v>151</v>
      </c>
      <c r="C66" t="s">
        <v>155</v>
      </c>
      <c r="D66" s="2">
        <v>55000</v>
      </c>
      <c r="E66" s="2">
        <v>25684.05</v>
      </c>
      <c r="F66" s="2">
        <v>29315.95</v>
      </c>
      <c r="G66" s="3">
        <v>2</v>
      </c>
      <c r="H66" t="s">
        <v>3</v>
      </c>
      <c r="I66" t="s">
        <v>153</v>
      </c>
      <c r="J66" t="s">
        <v>5</v>
      </c>
      <c r="K66" t="s">
        <v>6</v>
      </c>
      <c r="L66" t="s">
        <v>18</v>
      </c>
      <c r="M66" t="s">
        <v>8</v>
      </c>
    </row>
    <row r="67" spans="1:13" x14ac:dyDescent="0.25">
      <c r="A67" t="s">
        <v>0</v>
      </c>
      <c r="B67" t="s">
        <v>159</v>
      </c>
      <c r="C67" t="s">
        <v>164</v>
      </c>
      <c r="D67" s="2">
        <v>37000</v>
      </c>
      <c r="E67" s="2">
        <v>16574.32</v>
      </c>
      <c r="F67" s="2">
        <v>20425.68</v>
      </c>
      <c r="G67" s="3">
        <v>2</v>
      </c>
      <c r="H67" t="s">
        <v>3</v>
      </c>
      <c r="I67" t="s">
        <v>161</v>
      </c>
      <c r="J67" t="s">
        <v>5</v>
      </c>
      <c r="K67" t="s">
        <v>6</v>
      </c>
      <c r="L67" t="s">
        <v>18</v>
      </c>
      <c r="M67" t="s">
        <v>8</v>
      </c>
    </row>
    <row r="68" spans="1:13" x14ac:dyDescent="0.25">
      <c r="A68" t="s">
        <v>0</v>
      </c>
      <c r="B68" t="s">
        <v>170</v>
      </c>
      <c r="C68" t="s">
        <v>175</v>
      </c>
      <c r="D68" s="2">
        <v>37000</v>
      </c>
      <c r="E68" s="2">
        <v>18885.169999999998</v>
      </c>
      <c r="F68" s="2">
        <v>18114.830000000002</v>
      </c>
      <c r="G68" s="3">
        <v>2</v>
      </c>
      <c r="H68" t="s">
        <v>3</v>
      </c>
      <c r="I68" t="s">
        <v>172</v>
      </c>
      <c r="J68" t="s">
        <v>5</v>
      </c>
      <c r="K68" t="s">
        <v>6</v>
      </c>
      <c r="L68" t="s">
        <v>18</v>
      </c>
      <c r="M68" t="s">
        <v>8</v>
      </c>
    </row>
    <row r="69" spans="1:13" x14ac:dyDescent="0.25">
      <c r="A69" t="s">
        <v>0</v>
      </c>
      <c r="B69" t="s">
        <v>179</v>
      </c>
      <c r="C69" t="s">
        <v>185</v>
      </c>
      <c r="D69" s="2">
        <v>55000</v>
      </c>
      <c r="E69" s="2">
        <v>34131.410000000003</v>
      </c>
      <c r="F69" s="2">
        <v>20868.59</v>
      </c>
      <c r="G69" s="3">
        <v>2</v>
      </c>
      <c r="H69" t="s">
        <v>3</v>
      </c>
      <c r="I69" t="s">
        <v>181</v>
      </c>
      <c r="J69" t="s">
        <v>5</v>
      </c>
      <c r="K69" t="s">
        <v>6</v>
      </c>
      <c r="L69" t="s">
        <v>18</v>
      </c>
      <c r="M69" t="s">
        <v>8</v>
      </c>
    </row>
    <row r="70" spans="1:13" x14ac:dyDescent="0.25">
      <c r="A70" t="s">
        <v>0</v>
      </c>
      <c r="B70" t="s">
        <v>189</v>
      </c>
      <c r="C70" t="s">
        <v>194</v>
      </c>
      <c r="D70" s="2">
        <v>41500</v>
      </c>
      <c r="E70" s="2">
        <v>13651.05</v>
      </c>
      <c r="F70" s="2">
        <v>27848.95</v>
      </c>
      <c r="G70" s="3">
        <v>2</v>
      </c>
      <c r="H70" t="s">
        <v>3</v>
      </c>
      <c r="I70" t="s">
        <v>191</v>
      </c>
      <c r="J70" t="s">
        <v>5</v>
      </c>
      <c r="K70" t="s">
        <v>6</v>
      </c>
      <c r="L70" t="s">
        <v>18</v>
      </c>
      <c r="M70" t="s">
        <v>8</v>
      </c>
    </row>
    <row r="71" spans="1:13" x14ac:dyDescent="0.25">
      <c r="A71" t="s">
        <v>0</v>
      </c>
      <c r="B71" t="s">
        <v>198</v>
      </c>
      <c r="C71" t="s">
        <v>202</v>
      </c>
      <c r="D71" s="2">
        <v>37000</v>
      </c>
      <c r="E71" s="2">
        <v>8839.9500000000007</v>
      </c>
      <c r="F71" s="2">
        <v>28160.05</v>
      </c>
      <c r="G71" s="3">
        <v>2</v>
      </c>
      <c r="H71" t="s">
        <v>3</v>
      </c>
      <c r="I71" t="s">
        <v>200</v>
      </c>
      <c r="J71" t="s">
        <v>5</v>
      </c>
      <c r="K71" t="s">
        <v>6</v>
      </c>
      <c r="L71" t="s">
        <v>18</v>
      </c>
      <c r="M71" t="s">
        <v>8</v>
      </c>
    </row>
    <row r="72" spans="1:13" x14ac:dyDescent="0.25">
      <c r="A72" t="s">
        <v>0</v>
      </c>
      <c r="B72" t="s">
        <v>206</v>
      </c>
      <c r="C72" t="s">
        <v>210</v>
      </c>
      <c r="D72" s="2">
        <v>32500</v>
      </c>
      <c r="E72" s="2">
        <v>18555.53</v>
      </c>
      <c r="F72" s="2">
        <v>13944.47</v>
      </c>
      <c r="G72" s="3">
        <v>2</v>
      </c>
      <c r="H72" t="s">
        <v>3</v>
      </c>
      <c r="I72" t="s">
        <v>208</v>
      </c>
      <c r="J72" t="s">
        <v>5</v>
      </c>
      <c r="K72" t="s">
        <v>6</v>
      </c>
      <c r="L72" t="s">
        <v>18</v>
      </c>
      <c r="M72" t="s">
        <v>8</v>
      </c>
    </row>
    <row r="73" spans="1:13" x14ac:dyDescent="0.25">
      <c r="A73" t="s">
        <v>0</v>
      </c>
      <c r="B73" t="s">
        <v>214</v>
      </c>
      <c r="C73" t="s">
        <v>220</v>
      </c>
      <c r="D73" s="2">
        <v>20000</v>
      </c>
      <c r="E73" s="2">
        <v>18808.599999999999</v>
      </c>
      <c r="F73" s="2">
        <v>1191.4000000000001</v>
      </c>
      <c r="G73" s="3">
        <v>2</v>
      </c>
      <c r="H73" t="s">
        <v>3</v>
      </c>
      <c r="I73" t="s">
        <v>216</v>
      </c>
      <c r="J73" t="s">
        <v>5</v>
      </c>
      <c r="K73" t="s">
        <v>6</v>
      </c>
      <c r="L73" t="s">
        <v>18</v>
      </c>
      <c r="M73" t="s">
        <v>8</v>
      </c>
    </row>
    <row r="74" spans="1:13" x14ac:dyDescent="0.25">
      <c r="A74" t="s">
        <v>0</v>
      </c>
      <c r="B74" t="s">
        <v>226</v>
      </c>
      <c r="C74" t="s">
        <v>230</v>
      </c>
      <c r="D74" s="2">
        <v>19000</v>
      </c>
      <c r="E74" s="2">
        <v>13589.05</v>
      </c>
      <c r="F74" s="2">
        <v>5410.95</v>
      </c>
      <c r="G74" s="3">
        <v>2</v>
      </c>
      <c r="H74" t="s">
        <v>3</v>
      </c>
      <c r="I74" t="s">
        <v>228</v>
      </c>
      <c r="J74" t="s">
        <v>5</v>
      </c>
      <c r="K74" t="s">
        <v>6</v>
      </c>
      <c r="L74" t="s">
        <v>18</v>
      </c>
      <c r="M74" t="s">
        <v>8</v>
      </c>
    </row>
    <row r="75" spans="1:13" x14ac:dyDescent="0.25">
      <c r="A75" t="s">
        <v>0</v>
      </c>
      <c r="B75" t="s">
        <v>234</v>
      </c>
      <c r="C75" t="s">
        <v>733</v>
      </c>
      <c r="D75" s="2">
        <v>18000</v>
      </c>
      <c r="E75" s="2">
        <v>0</v>
      </c>
      <c r="F75" s="2">
        <v>18000</v>
      </c>
      <c r="G75" s="3">
        <v>1</v>
      </c>
      <c r="H75" t="s">
        <v>3</v>
      </c>
      <c r="I75" t="s">
        <v>236</v>
      </c>
      <c r="J75" t="s">
        <v>5</v>
      </c>
      <c r="K75" t="s">
        <v>6</v>
      </c>
      <c r="L75" t="s">
        <v>18</v>
      </c>
      <c r="M75" t="s">
        <v>8</v>
      </c>
    </row>
    <row r="76" spans="1:13" x14ac:dyDescent="0.25">
      <c r="A76" t="s">
        <v>0</v>
      </c>
      <c r="B76" t="s">
        <v>241</v>
      </c>
      <c r="C76" t="s">
        <v>244</v>
      </c>
      <c r="D76" s="2">
        <v>19000</v>
      </c>
      <c r="E76" s="2">
        <v>9863.2000000000007</v>
      </c>
      <c r="F76" s="2">
        <v>9136.7999999999993</v>
      </c>
      <c r="G76" s="3">
        <v>2</v>
      </c>
      <c r="H76" t="s">
        <v>3</v>
      </c>
      <c r="I76" t="s">
        <v>243</v>
      </c>
      <c r="J76" t="s">
        <v>5</v>
      </c>
      <c r="K76" t="s">
        <v>6</v>
      </c>
      <c r="L76" t="s">
        <v>18</v>
      </c>
      <c r="M76" t="s">
        <v>8</v>
      </c>
    </row>
    <row r="77" spans="1:13" x14ac:dyDescent="0.25">
      <c r="A77" t="s">
        <v>0</v>
      </c>
      <c r="B77" t="s">
        <v>248</v>
      </c>
      <c r="C77" t="s">
        <v>254</v>
      </c>
      <c r="D77" s="2">
        <v>25500</v>
      </c>
      <c r="E77" s="2">
        <v>11785.28</v>
      </c>
      <c r="F77" s="2">
        <v>13714.72</v>
      </c>
      <c r="G77" s="3">
        <v>2</v>
      </c>
      <c r="H77" t="s">
        <v>3</v>
      </c>
      <c r="I77" t="s">
        <v>250</v>
      </c>
      <c r="J77" t="s">
        <v>5</v>
      </c>
      <c r="K77" t="s">
        <v>6</v>
      </c>
      <c r="L77" t="s">
        <v>18</v>
      </c>
      <c r="M77" t="s">
        <v>8</v>
      </c>
    </row>
    <row r="78" spans="1:13" x14ac:dyDescent="0.25">
      <c r="A78" t="s">
        <v>0</v>
      </c>
      <c r="B78" t="s">
        <v>259</v>
      </c>
      <c r="C78" t="s">
        <v>263</v>
      </c>
      <c r="D78" s="2">
        <v>18000</v>
      </c>
      <c r="E78" s="2">
        <v>0</v>
      </c>
      <c r="F78" s="2">
        <v>18000</v>
      </c>
      <c r="G78" s="3">
        <v>1</v>
      </c>
      <c r="H78" t="s">
        <v>3</v>
      </c>
      <c r="I78" t="s">
        <v>261</v>
      </c>
      <c r="J78" t="s">
        <v>5</v>
      </c>
      <c r="K78" t="s">
        <v>6</v>
      </c>
      <c r="L78" t="s">
        <v>18</v>
      </c>
      <c r="M78" t="s">
        <v>8</v>
      </c>
    </row>
    <row r="79" spans="1:13" x14ac:dyDescent="0.25">
      <c r="A79" t="s">
        <v>0</v>
      </c>
      <c r="B79" t="s">
        <v>268</v>
      </c>
      <c r="C79" t="s">
        <v>272</v>
      </c>
      <c r="D79" s="2">
        <v>18000</v>
      </c>
      <c r="E79" s="2">
        <v>9665.34</v>
      </c>
      <c r="F79" s="2">
        <v>8334.66</v>
      </c>
      <c r="G79" s="3">
        <v>2</v>
      </c>
      <c r="H79" t="s">
        <v>3</v>
      </c>
      <c r="I79" t="s">
        <v>270</v>
      </c>
      <c r="J79" t="s">
        <v>5</v>
      </c>
      <c r="K79" t="s">
        <v>6</v>
      </c>
      <c r="L79" t="s">
        <v>18</v>
      </c>
      <c r="M79" t="s">
        <v>8</v>
      </c>
    </row>
    <row r="80" spans="1:13" x14ac:dyDescent="0.25">
      <c r="A80" t="s">
        <v>0</v>
      </c>
      <c r="B80" t="s">
        <v>50</v>
      </c>
      <c r="C80" t="s">
        <v>54</v>
      </c>
      <c r="D80" s="2">
        <v>12070000</v>
      </c>
      <c r="E80" s="2">
        <v>6987356.7000000002</v>
      </c>
      <c r="F80" s="2">
        <v>5082643.3</v>
      </c>
      <c r="G80" s="3">
        <v>2</v>
      </c>
      <c r="H80" t="s">
        <v>3</v>
      </c>
      <c r="I80" t="s">
        <v>52</v>
      </c>
      <c r="J80" t="s">
        <v>5</v>
      </c>
      <c r="K80" t="s">
        <v>6</v>
      </c>
      <c r="L80" t="s">
        <v>55</v>
      </c>
      <c r="M80" t="s">
        <v>8</v>
      </c>
    </row>
    <row r="81" spans="1:13" x14ac:dyDescent="0.25">
      <c r="A81" t="s">
        <v>0</v>
      </c>
      <c r="B81" t="s">
        <v>50</v>
      </c>
      <c r="C81" t="s">
        <v>56</v>
      </c>
      <c r="D81" s="2">
        <v>22162700</v>
      </c>
      <c r="E81" s="2">
        <v>7746084.4000000004</v>
      </c>
      <c r="F81" s="2">
        <v>14416615.6</v>
      </c>
      <c r="G81" s="3">
        <v>2</v>
      </c>
      <c r="H81" t="s">
        <v>3</v>
      </c>
      <c r="I81" t="s">
        <v>52</v>
      </c>
      <c r="J81" t="s">
        <v>5</v>
      </c>
      <c r="K81" t="s">
        <v>6</v>
      </c>
      <c r="L81" t="s">
        <v>57</v>
      </c>
      <c r="M81" t="s">
        <v>8</v>
      </c>
    </row>
    <row r="82" spans="1:13" x14ac:dyDescent="0.25">
      <c r="A82" t="s">
        <v>0</v>
      </c>
      <c r="B82" t="s">
        <v>31</v>
      </c>
      <c r="C82" t="s">
        <v>32</v>
      </c>
      <c r="D82" s="2">
        <v>3281000</v>
      </c>
      <c r="E82" s="2">
        <v>1036883.84</v>
      </c>
      <c r="F82" s="2">
        <v>2244116.16</v>
      </c>
      <c r="G82" s="3">
        <v>2</v>
      </c>
      <c r="H82" t="s">
        <v>3</v>
      </c>
      <c r="I82" t="s">
        <v>33</v>
      </c>
      <c r="J82" t="s">
        <v>5</v>
      </c>
      <c r="K82" t="s">
        <v>6</v>
      </c>
      <c r="L82" t="s">
        <v>34</v>
      </c>
      <c r="M82" t="s">
        <v>8</v>
      </c>
    </row>
    <row r="83" spans="1:13" x14ac:dyDescent="0.25">
      <c r="A83" t="s">
        <v>0</v>
      </c>
      <c r="B83" t="s">
        <v>58</v>
      </c>
      <c r="C83" t="s">
        <v>59</v>
      </c>
      <c r="D83" s="2">
        <v>930000</v>
      </c>
      <c r="E83" s="2">
        <v>402500</v>
      </c>
      <c r="F83" s="2">
        <v>527500</v>
      </c>
      <c r="G83" s="3">
        <v>2</v>
      </c>
      <c r="H83" t="s">
        <v>3</v>
      </c>
      <c r="I83" t="s">
        <v>60</v>
      </c>
      <c r="J83" t="s">
        <v>5</v>
      </c>
      <c r="K83" t="s">
        <v>6</v>
      </c>
      <c r="L83" t="s">
        <v>34</v>
      </c>
      <c r="M83" t="s">
        <v>8</v>
      </c>
    </row>
    <row r="84" spans="1:13" x14ac:dyDescent="0.25">
      <c r="A84" t="s">
        <v>0</v>
      </c>
      <c r="B84" t="s">
        <v>214</v>
      </c>
      <c r="C84" t="s">
        <v>221</v>
      </c>
      <c r="D84" s="2">
        <v>25000</v>
      </c>
      <c r="E84" s="2">
        <v>24904</v>
      </c>
      <c r="F84" s="2">
        <v>96</v>
      </c>
      <c r="G84" s="3">
        <v>2</v>
      </c>
      <c r="H84" t="s">
        <v>3</v>
      </c>
      <c r="I84" t="s">
        <v>216</v>
      </c>
      <c r="J84" t="s">
        <v>5</v>
      </c>
      <c r="K84" t="s">
        <v>6</v>
      </c>
      <c r="L84" t="s">
        <v>34</v>
      </c>
      <c r="M84" t="s">
        <v>8</v>
      </c>
    </row>
    <row r="85" spans="1:13" x14ac:dyDescent="0.25">
      <c r="A85" t="s">
        <v>0</v>
      </c>
      <c r="B85" t="s">
        <v>31</v>
      </c>
      <c r="C85" t="s">
        <v>35</v>
      </c>
      <c r="D85" s="2">
        <v>4810000</v>
      </c>
      <c r="E85" s="2">
        <v>839242.77</v>
      </c>
      <c r="F85" s="2">
        <v>3970757.23</v>
      </c>
      <c r="G85" s="3">
        <v>2</v>
      </c>
      <c r="H85" t="s">
        <v>3</v>
      </c>
      <c r="I85" t="s">
        <v>33</v>
      </c>
      <c r="J85" t="s">
        <v>5</v>
      </c>
      <c r="K85" t="s">
        <v>6</v>
      </c>
      <c r="L85" t="s">
        <v>36</v>
      </c>
      <c r="M85" t="s">
        <v>8</v>
      </c>
    </row>
    <row r="86" spans="1:13" x14ac:dyDescent="0.25">
      <c r="A86" t="s">
        <v>0</v>
      </c>
      <c r="B86" t="s">
        <v>58</v>
      </c>
      <c r="C86" t="s">
        <v>61</v>
      </c>
      <c r="D86" s="2">
        <v>4550000</v>
      </c>
      <c r="E86" s="2">
        <v>1084000</v>
      </c>
      <c r="F86" s="2">
        <v>3466000</v>
      </c>
      <c r="G86" s="3">
        <v>2</v>
      </c>
      <c r="H86" t="s">
        <v>3</v>
      </c>
      <c r="I86" t="s">
        <v>60</v>
      </c>
      <c r="J86" t="s">
        <v>5</v>
      </c>
      <c r="K86" t="s">
        <v>6</v>
      </c>
      <c r="L86" t="s">
        <v>36</v>
      </c>
      <c r="M86" t="s">
        <v>8</v>
      </c>
    </row>
    <row r="87" spans="1:13" x14ac:dyDescent="0.25">
      <c r="A87" t="s">
        <v>0</v>
      </c>
      <c r="B87" t="s">
        <v>19</v>
      </c>
      <c r="C87" t="s">
        <v>25</v>
      </c>
      <c r="D87" s="2">
        <v>214700</v>
      </c>
      <c r="E87" s="2">
        <v>13996.8</v>
      </c>
      <c r="F87" s="2">
        <v>200703.2</v>
      </c>
      <c r="G87" s="3">
        <v>2</v>
      </c>
      <c r="H87" t="s">
        <v>3</v>
      </c>
      <c r="I87" t="s">
        <v>21</v>
      </c>
      <c r="J87" t="s">
        <v>5</v>
      </c>
      <c r="K87" t="s">
        <v>6</v>
      </c>
      <c r="L87" t="s">
        <v>26</v>
      </c>
      <c r="M87" t="s">
        <v>8</v>
      </c>
    </row>
    <row r="88" spans="1:13" x14ac:dyDescent="0.25">
      <c r="A88" t="s">
        <v>0</v>
      </c>
      <c r="B88" t="s">
        <v>41</v>
      </c>
      <c r="C88" t="s">
        <v>42</v>
      </c>
      <c r="D88" s="2">
        <v>340000</v>
      </c>
      <c r="E88" s="2">
        <v>0</v>
      </c>
      <c r="F88" s="2">
        <v>340000</v>
      </c>
      <c r="G88" s="3">
        <v>1</v>
      </c>
      <c r="H88" t="s">
        <v>3</v>
      </c>
      <c r="I88" t="s">
        <v>43</v>
      </c>
      <c r="J88" t="s">
        <v>5</v>
      </c>
      <c r="K88" t="s">
        <v>6</v>
      </c>
      <c r="L88" t="s">
        <v>26</v>
      </c>
      <c r="M88" t="s">
        <v>8</v>
      </c>
    </row>
    <row r="89" spans="1:13" x14ac:dyDescent="0.25">
      <c r="A89" t="s">
        <v>0</v>
      </c>
      <c r="B89" t="s">
        <v>19</v>
      </c>
      <c r="C89" t="s">
        <v>27</v>
      </c>
      <c r="D89" s="2">
        <v>896000</v>
      </c>
      <c r="E89" s="2">
        <v>67716</v>
      </c>
      <c r="F89" s="2">
        <v>828284</v>
      </c>
      <c r="G89" s="3">
        <v>2</v>
      </c>
      <c r="H89" t="s">
        <v>3</v>
      </c>
      <c r="I89" t="s">
        <v>21</v>
      </c>
      <c r="J89" t="s">
        <v>5</v>
      </c>
      <c r="K89" t="s">
        <v>6</v>
      </c>
      <c r="L89" t="s">
        <v>28</v>
      </c>
      <c r="M89" t="s">
        <v>8</v>
      </c>
    </row>
    <row r="90" spans="1:13" x14ac:dyDescent="0.25">
      <c r="A90" t="s">
        <v>0</v>
      </c>
      <c r="B90" t="s">
        <v>31</v>
      </c>
      <c r="C90" t="s">
        <v>37</v>
      </c>
      <c r="D90" s="2">
        <v>630000</v>
      </c>
      <c r="E90" s="2">
        <v>38942.660000000003</v>
      </c>
      <c r="F90" s="2">
        <v>591057.34</v>
      </c>
      <c r="G90" s="3">
        <v>2</v>
      </c>
      <c r="H90" t="s">
        <v>3</v>
      </c>
      <c r="I90" t="s">
        <v>33</v>
      </c>
      <c r="J90" t="s">
        <v>5</v>
      </c>
      <c r="K90" t="s">
        <v>6</v>
      </c>
      <c r="L90" t="s">
        <v>28</v>
      </c>
      <c r="M90" t="s">
        <v>8</v>
      </c>
    </row>
    <row r="91" spans="1:13" x14ac:dyDescent="0.25">
      <c r="A91" t="s">
        <v>0</v>
      </c>
      <c r="B91" t="s">
        <v>19</v>
      </c>
      <c r="C91" t="s">
        <v>29</v>
      </c>
      <c r="D91" s="2">
        <v>130000</v>
      </c>
      <c r="E91" s="2">
        <v>40608</v>
      </c>
      <c r="F91" s="2">
        <v>89392</v>
      </c>
      <c r="G91" s="3">
        <v>2</v>
      </c>
      <c r="H91" t="s">
        <v>3</v>
      </c>
      <c r="I91" t="s">
        <v>21</v>
      </c>
      <c r="J91" t="s">
        <v>5</v>
      </c>
      <c r="K91" t="s">
        <v>6</v>
      </c>
      <c r="L91" t="s">
        <v>30</v>
      </c>
      <c r="M91" t="s">
        <v>8</v>
      </c>
    </row>
    <row r="92" spans="1:13" x14ac:dyDescent="0.25">
      <c r="A92" t="s">
        <v>0</v>
      </c>
      <c r="B92" t="s">
        <v>31</v>
      </c>
      <c r="C92" t="s">
        <v>38</v>
      </c>
      <c r="D92" s="2">
        <v>150000</v>
      </c>
      <c r="E92" s="2">
        <v>10844.2</v>
      </c>
      <c r="F92" s="2">
        <v>139155.79999999999</v>
      </c>
      <c r="G92" s="3">
        <v>2</v>
      </c>
      <c r="H92" t="s">
        <v>3</v>
      </c>
      <c r="I92" t="s">
        <v>33</v>
      </c>
      <c r="J92" t="s">
        <v>5</v>
      </c>
      <c r="K92" t="s">
        <v>6</v>
      </c>
      <c r="L92" t="s">
        <v>30</v>
      </c>
      <c r="M92" t="s">
        <v>8</v>
      </c>
    </row>
    <row r="93" spans="1:13" x14ac:dyDescent="0.25">
      <c r="A93" t="s">
        <v>0</v>
      </c>
      <c r="B93" t="s">
        <v>31</v>
      </c>
      <c r="C93" t="s">
        <v>39</v>
      </c>
      <c r="D93" s="2">
        <v>140000</v>
      </c>
      <c r="E93" s="2">
        <v>12086.4</v>
      </c>
      <c r="F93" s="2">
        <v>127913.60000000001</v>
      </c>
      <c r="G93" s="3">
        <v>2</v>
      </c>
      <c r="H93" t="s">
        <v>3</v>
      </c>
      <c r="I93" t="s">
        <v>33</v>
      </c>
      <c r="J93" t="s">
        <v>5</v>
      </c>
      <c r="K93" t="s">
        <v>6</v>
      </c>
      <c r="L93" t="s">
        <v>40</v>
      </c>
      <c r="M93" t="s">
        <v>8</v>
      </c>
    </row>
    <row r="94" spans="1:13" x14ac:dyDescent="0.25">
      <c r="A94" t="s">
        <v>0</v>
      </c>
      <c r="B94" t="s">
        <v>101</v>
      </c>
      <c r="C94" t="s">
        <v>106</v>
      </c>
      <c r="D94" s="2">
        <v>4450000</v>
      </c>
      <c r="E94" s="2">
        <v>1424819.58</v>
      </c>
      <c r="F94" s="2">
        <v>3025180.42</v>
      </c>
      <c r="G94" s="3">
        <v>2</v>
      </c>
      <c r="H94" t="s">
        <v>3</v>
      </c>
      <c r="I94" t="s">
        <v>103</v>
      </c>
      <c r="J94" t="s">
        <v>5</v>
      </c>
      <c r="K94" t="s">
        <v>6</v>
      </c>
      <c r="L94" t="s">
        <v>107</v>
      </c>
      <c r="M94" t="s">
        <v>8</v>
      </c>
    </row>
    <row r="95" spans="1:13" x14ac:dyDescent="0.25">
      <c r="A95" t="s">
        <v>0</v>
      </c>
      <c r="B95" t="s">
        <v>214</v>
      </c>
      <c r="C95" t="s">
        <v>734</v>
      </c>
      <c r="D95" s="2">
        <v>100000</v>
      </c>
      <c r="E95" s="2">
        <v>0</v>
      </c>
      <c r="F95" s="2">
        <v>100000</v>
      </c>
      <c r="G95" s="3">
        <v>1</v>
      </c>
      <c r="H95" t="s">
        <v>3</v>
      </c>
      <c r="I95" t="s">
        <v>216</v>
      </c>
      <c r="J95" t="s">
        <v>5</v>
      </c>
      <c r="K95" t="s">
        <v>6</v>
      </c>
      <c r="L95" t="s">
        <v>107</v>
      </c>
      <c r="M95" t="s">
        <v>8</v>
      </c>
    </row>
    <row r="96" spans="1:13" x14ac:dyDescent="0.25">
      <c r="A96" t="s">
        <v>0</v>
      </c>
      <c r="B96" t="s">
        <v>58</v>
      </c>
      <c r="C96" t="s">
        <v>62</v>
      </c>
      <c r="D96" s="2">
        <v>3600000</v>
      </c>
      <c r="E96" s="2">
        <v>3114520</v>
      </c>
      <c r="F96" s="2">
        <v>485480</v>
      </c>
      <c r="G96" s="3">
        <v>2</v>
      </c>
      <c r="H96" t="s">
        <v>3</v>
      </c>
      <c r="I96" t="s">
        <v>60</v>
      </c>
      <c r="J96" t="s">
        <v>5</v>
      </c>
      <c r="K96" t="s">
        <v>6</v>
      </c>
      <c r="L96" t="s">
        <v>63</v>
      </c>
      <c r="M96" t="s">
        <v>8</v>
      </c>
    </row>
    <row r="97" spans="1:13" x14ac:dyDescent="0.25">
      <c r="A97" t="s">
        <v>0</v>
      </c>
      <c r="B97" t="s">
        <v>101</v>
      </c>
      <c r="C97" t="s">
        <v>108</v>
      </c>
      <c r="D97" s="2">
        <v>4734000</v>
      </c>
      <c r="E97" s="2">
        <v>710539.93</v>
      </c>
      <c r="F97" s="2">
        <v>4023460.07</v>
      </c>
      <c r="G97" s="3">
        <v>2</v>
      </c>
      <c r="H97" t="s">
        <v>3</v>
      </c>
      <c r="I97" t="s">
        <v>103</v>
      </c>
      <c r="J97" t="s">
        <v>5</v>
      </c>
      <c r="K97" t="s">
        <v>6</v>
      </c>
      <c r="L97" t="s">
        <v>63</v>
      </c>
      <c r="M97" t="s">
        <v>8</v>
      </c>
    </row>
    <row r="98" spans="1:13" x14ac:dyDescent="0.25">
      <c r="A98" t="s">
        <v>0</v>
      </c>
      <c r="B98" t="s">
        <v>58</v>
      </c>
      <c r="C98" t="s">
        <v>64</v>
      </c>
      <c r="D98" s="2">
        <v>10000</v>
      </c>
      <c r="E98" s="2">
        <v>0</v>
      </c>
      <c r="F98" s="2">
        <v>10000</v>
      </c>
      <c r="G98" s="3">
        <v>1</v>
      </c>
      <c r="H98" t="s">
        <v>3</v>
      </c>
      <c r="I98" t="s">
        <v>60</v>
      </c>
      <c r="J98" t="s">
        <v>5</v>
      </c>
      <c r="K98" t="s">
        <v>6</v>
      </c>
      <c r="L98" t="s">
        <v>65</v>
      </c>
      <c r="M98" t="s">
        <v>8</v>
      </c>
    </row>
    <row r="99" spans="1:13" x14ac:dyDescent="0.25">
      <c r="A99" t="s">
        <v>0</v>
      </c>
      <c r="B99" t="s">
        <v>101</v>
      </c>
      <c r="C99" t="s">
        <v>109</v>
      </c>
      <c r="D99" s="2">
        <v>2540000</v>
      </c>
      <c r="E99" s="2">
        <v>765792.33</v>
      </c>
      <c r="F99" s="2">
        <v>1774207.67</v>
      </c>
      <c r="G99" s="3">
        <v>2</v>
      </c>
      <c r="H99" t="s">
        <v>3</v>
      </c>
      <c r="I99" t="s">
        <v>103</v>
      </c>
      <c r="J99" t="s">
        <v>5</v>
      </c>
      <c r="K99" t="s">
        <v>6</v>
      </c>
      <c r="L99" t="s">
        <v>65</v>
      </c>
      <c r="M99" t="s">
        <v>8</v>
      </c>
    </row>
    <row r="100" spans="1:13" x14ac:dyDescent="0.25">
      <c r="A100" t="s">
        <v>0</v>
      </c>
      <c r="B100" t="s">
        <v>110</v>
      </c>
      <c r="C100" t="s">
        <v>115</v>
      </c>
      <c r="D100" s="2">
        <v>15000</v>
      </c>
      <c r="E100" s="2">
        <v>3238.95</v>
      </c>
      <c r="F100" s="2">
        <v>11761.05</v>
      </c>
      <c r="G100" s="3">
        <v>2</v>
      </c>
      <c r="H100" t="s">
        <v>3</v>
      </c>
      <c r="I100" t="s">
        <v>112</v>
      </c>
      <c r="J100" t="s">
        <v>5</v>
      </c>
      <c r="K100" t="s">
        <v>6</v>
      </c>
      <c r="L100" t="s">
        <v>65</v>
      </c>
      <c r="M100" t="s">
        <v>8</v>
      </c>
    </row>
    <row r="101" spans="1:13" x14ac:dyDescent="0.25">
      <c r="A101" t="s">
        <v>0</v>
      </c>
      <c r="B101" t="s">
        <v>119</v>
      </c>
      <c r="C101" t="s">
        <v>124</v>
      </c>
      <c r="D101" s="2">
        <v>40000</v>
      </c>
      <c r="E101" s="2">
        <v>33300</v>
      </c>
      <c r="F101" s="2">
        <v>6700</v>
      </c>
      <c r="G101" s="3">
        <v>2</v>
      </c>
      <c r="H101" t="s">
        <v>3</v>
      </c>
      <c r="I101" t="s">
        <v>121</v>
      </c>
      <c r="J101" t="s">
        <v>5</v>
      </c>
      <c r="K101" t="s">
        <v>6</v>
      </c>
      <c r="L101" t="s">
        <v>65</v>
      </c>
      <c r="M101" t="s">
        <v>8</v>
      </c>
    </row>
    <row r="102" spans="1:13" x14ac:dyDescent="0.25">
      <c r="A102" t="s">
        <v>0</v>
      </c>
      <c r="B102" t="s">
        <v>127</v>
      </c>
      <c r="C102" t="s">
        <v>132</v>
      </c>
      <c r="D102" s="2">
        <v>40000</v>
      </c>
      <c r="E102" s="2">
        <v>37643.699999999997</v>
      </c>
      <c r="F102" s="2">
        <v>2356.3000000000002</v>
      </c>
      <c r="G102" s="3">
        <v>2</v>
      </c>
      <c r="H102" t="s">
        <v>3</v>
      </c>
      <c r="I102" t="s">
        <v>128</v>
      </c>
      <c r="J102" t="s">
        <v>5</v>
      </c>
      <c r="K102" t="s">
        <v>6</v>
      </c>
      <c r="L102" t="s">
        <v>65</v>
      </c>
      <c r="M102" t="s">
        <v>8</v>
      </c>
    </row>
    <row r="103" spans="1:13" x14ac:dyDescent="0.25">
      <c r="A103" t="s">
        <v>0</v>
      </c>
      <c r="B103" t="s">
        <v>135</v>
      </c>
      <c r="C103" t="s">
        <v>140</v>
      </c>
      <c r="D103" s="2">
        <v>40000</v>
      </c>
      <c r="E103" s="2">
        <v>18575</v>
      </c>
      <c r="F103" s="2">
        <v>21425</v>
      </c>
      <c r="G103" s="3">
        <v>2</v>
      </c>
      <c r="H103" t="s">
        <v>3</v>
      </c>
      <c r="I103" t="s">
        <v>137</v>
      </c>
      <c r="J103" t="s">
        <v>5</v>
      </c>
      <c r="K103" t="s">
        <v>6</v>
      </c>
      <c r="L103" t="s">
        <v>65</v>
      </c>
      <c r="M103" t="s">
        <v>8</v>
      </c>
    </row>
    <row r="104" spans="1:13" x14ac:dyDescent="0.25">
      <c r="A104" t="s">
        <v>0</v>
      </c>
      <c r="B104" t="s">
        <v>143</v>
      </c>
      <c r="C104" t="s">
        <v>148</v>
      </c>
      <c r="D104" s="2">
        <v>90000</v>
      </c>
      <c r="E104" s="2">
        <v>89950</v>
      </c>
      <c r="F104" s="2">
        <v>50</v>
      </c>
      <c r="G104" s="3">
        <v>2</v>
      </c>
      <c r="H104" t="s">
        <v>3</v>
      </c>
      <c r="I104" t="s">
        <v>145</v>
      </c>
      <c r="J104" t="s">
        <v>5</v>
      </c>
      <c r="K104" t="s">
        <v>6</v>
      </c>
      <c r="L104" t="s">
        <v>65</v>
      </c>
      <c r="M104" t="s">
        <v>8</v>
      </c>
    </row>
    <row r="105" spans="1:13" x14ac:dyDescent="0.25">
      <c r="A105" t="s">
        <v>0</v>
      </c>
      <c r="B105" t="s">
        <v>151</v>
      </c>
      <c r="C105" t="s">
        <v>156</v>
      </c>
      <c r="D105" s="2">
        <v>90000</v>
      </c>
      <c r="E105" s="2">
        <v>86090</v>
      </c>
      <c r="F105" s="2">
        <v>3910</v>
      </c>
      <c r="G105" s="3">
        <v>2</v>
      </c>
      <c r="H105" t="s">
        <v>3</v>
      </c>
      <c r="I105" t="s">
        <v>153</v>
      </c>
      <c r="J105" t="s">
        <v>5</v>
      </c>
      <c r="K105" t="s">
        <v>6</v>
      </c>
      <c r="L105" t="s">
        <v>65</v>
      </c>
      <c r="M105" t="s">
        <v>8</v>
      </c>
    </row>
    <row r="106" spans="1:13" x14ac:dyDescent="0.25">
      <c r="A106" t="s">
        <v>0</v>
      </c>
      <c r="B106" t="s">
        <v>159</v>
      </c>
      <c r="C106" t="s">
        <v>165</v>
      </c>
      <c r="D106" s="2">
        <v>40000</v>
      </c>
      <c r="E106" s="2">
        <v>33271.65</v>
      </c>
      <c r="F106" s="2">
        <v>6728.35</v>
      </c>
      <c r="G106" s="3">
        <v>2</v>
      </c>
      <c r="H106" t="s">
        <v>3</v>
      </c>
      <c r="I106" t="s">
        <v>161</v>
      </c>
      <c r="J106" t="s">
        <v>5</v>
      </c>
      <c r="K106" t="s">
        <v>6</v>
      </c>
      <c r="L106" t="s">
        <v>65</v>
      </c>
      <c r="M106" t="s">
        <v>8</v>
      </c>
    </row>
    <row r="107" spans="1:13" x14ac:dyDescent="0.25">
      <c r="A107" t="s">
        <v>0</v>
      </c>
      <c r="B107" t="s">
        <v>170</v>
      </c>
      <c r="C107" t="s">
        <v>176</v>
      </c>
      <c r="D107" s="2">
        <v>40000</v>
      </c>
      <c r="E107" s="2">
        <v>33000</v>
      </c>
      <c r="F107" s="2">
        <v>7000</v>
      </c>
      <c r="G107" s="3">
        <v>2</v>
      </c>
      <c r="H107" t="s">
        <v>3</v>
      </c>
      <c r="I107" t="s">
        <v>172</v>
      </c>
      <c r="J107" t="s">
        <v>5</v>
      </c>
      <c r="K107" t="s">
        <v>6</v>
      </c>
      <c r="L107" t="s">
        <v>65</v>
      </c>
      <c r="M107" t="s">
        <v>8</v>
      </c>
    </row>
    <row r="108" spans="1:13" x14ac:dyDescent="0.25">
      <c r="A108" t="s">
        <v>0</v>
      </c>
      <c r="B108" t="s">
        <v>179</v>
      </c>
      <c r="C108" t="s">
        <v>186</v>
      </c>
      <c r="D108" s="2">
        <v>60000</v>
      </c>
      <c r="E108" s="2">
        <v>40898</v>
      </c>
      <c r="F108" s="2">
        <v>19102</v>
      </c>
      <c r="G108" s="3">
        <v>2</v>
      </c>
      <c r="H108" t="s">
        <v>3</v>
      </c>
      <c r="I108" t="s">
        <v>181</v>
      </c>
      <c r="J108" t="s">
        <v>5</v>
      </c>
      <c r="K108" t="s">
        <v>6</v>
      </c>
      <c r="L108" t="s">
        <v>65</v>
      </c>
      <c r="M108" t="s">
        <v>8</v>
      </c>
    </row>
    <row r="109" spans="1:13" x14ac:dyDescent="0.25">
      <c r="A109" t="s">
        <v>0</v>
      </c>
      <c r="B109" t="s">
        <v>189</v>
      </c>
      <c r="C109" t="s">
        <v>195</v>
      </c>
      <c r="D109" s="2">
        <v>40000</v>
      </c>
      <c r="E109" s="2">
        <v>8446.2000000000007</v>
      </c>
      <c r="F109" s="2">
        <v>31553.8</v>
      </c>
      <c r="G109" s="3">
        <v>2</v>
      </c>
      <c r="H109" t="s">
        <v>3</v>
      </c>
      <c r="I109" t="s">
        <v>191</v>
      </c>
      <c r="J109" t="s">
        <v>5</v>
      </c>
      <c r="K109" t="s">
        <v>6</v>
      </c>
      <c r="L109" t="s">
        <v>65</v>
      </c>
      <c r="M109" t="s">
        <v>8</v>
      </c>
    </row>
    <row r="110" spans="1:13" x14ac:dyDescent="0.25">
      <c r="A110" t="s">
        <v>0</v>
      </c>
      <c r="B110" t="s">
        <v>198</v>
      </c>
      <c r="C110" t="s">
        <v>203</v>
      </c>
      <c r="D110" s="2">
        <v>40000</v>
      </c>
      <c r="E110" s="2">
        <v>8586.4</v>
      </c>
      <c r="F110" s="2">
        <v>31413.599999999999</v>
      </c>
      <c r="G110" s="3">
        <v>2</v>
      </c>
      <c r="H110" t="s">
        <v>3</v>
      </c>
      <c r="I110" t="s">
        <v>200</v>
      </c>
      <c r="J110" t="s">
        <v>5</v>
      </c>
      <c r="K110" t="s">
        <v>6</v>
      </c>
      <c r="L110" t="s">
        <v>65</v>
      </c>
      <c r="M110" t="s">
        <v>8</v>
      </c>
    </row>
    <row r="111" spans="1:13" x14ac:dyDescent="0.25">
      <c r="A111" t="s">
        <v>0</v>
      </c>
      <c r="B111" t="s">
        <v>206</v>
      </c>
      <c r="C111" t="s">
        <v>211</v>
      </c>
      <c r="D111" s="2">
        <v>40000</v>
      </c>
      <c r="E111" s="2">
        <v>40000</v>
      </c>
      <c r="F111" s="2">
        <v>0</v>
      </c>
      <c r="G111" s="3">
        <v>2</v>
      </c>
      <c r="H111" t="s">
        <v>3</v>
      </c>
      <c r="I111" t="s">
        <v>208</v>
      </c>
      <c r="J111" t="s">
        <v>5</v>
      </c>
      <c r="K111" t="s">
        <v>6</v>
      </c>
      <c r="L111" t="s">
        <v>65</v>
      </c>
      <c r="M111" t="s">
        <v>8</v>
      </c>
    </row>
    <row r="112" spans="1:13" x14ac:dyDescent="0.25">
      <c r="A112" t="s">
        <v>0</v>
      </c>
      <c r="B112" t="s">
        <v>214</v>
      </c>
      <c r="C112" t="s">
        <v>222</v>
      </c>
      <c r="D112" s="2">
        <v>60000</v>
      </c>
      <c r="E112" s="2">
        <v>23772.9</v>
      </c>
      <c r="F112" s="2">
        <v>36227.1</v>
      </c>
      <c r="G112" s="3">
        <v>2</v>
      </c>
      <c r="H112" t="s">
        <v>3</v>
      </c>
      <c r="I112" t="s">
        <v>216</v>
      </c>
      <c r="J112" t="s">
        <v>5</v>
      </c>
      <c r="K112" t="s">
        <v>6</v>
      </c>
      <c r="L112" t="s">
        <v>65</v>
      </c>
      <c r="M112" t="s">
        <v>8</v>
      </c>
    </row>
    <row r="113" spans="1:13" x14ac:dyDescent="0.25">
      <c r="A113" t="s">
        <v>0</v>
      </c>
      <c r="B113" t="s">
        <v>226</v>
      </c>
      <c r="C113" t="s">
        <v>231</v>
      </c>
      <c r="D113" s="2">
        <v>15000</v>
      </c>
      <c r="E113" s="2">
        <v>7835.4</v>
      </c>
      <c r="F113" s="2">
        <v>7164.6</v>
      </c>
      <c r="G113" s="3">
        <v>2</v>
      </c>
      <c r="H113" t="s">
        <v>3</v>
      </c>
      <c r="I113" t="s">
        <v>228</v>
      </c>
      <c r="J113" t="s">
        <v>5</v>
      </c>
      <c r="K113" t="s">
        <v>6</v>
      </c>
      <c r="L113" t="s">
        <v>65</v>
      </c>
      <c r="M113" t="s">
        <v>8</v>
      </c>
    </row>
    <row r="114" spans="1:13" x14ac:dyDescent="0.25">
      <c r="A114" t="s">
        <v>0</v>
      </c>
      <c r="B114" t="s">
        <v>234</v>
      </c>
      <c r="C114" t="s">
        <v>238</v>
      </c>
      <c r="D114" s="2">
        <v>15000</v>
      </c>
      <c r="E114" s="2">
        <v>13952.6</v>
      </c>
      <c r="F114" s="2">
        <v>1047.4000000000001</v>
      </c>
      <c r="G114" s="3">
        <v>2</v>
      </c>
      <c r="H114" t="s">
        <v>3</v>
      </c>
      <c r="I114" t="s">
        <v>236</v>
      </c>
      <c r="J114" t="s">
        <v>5</v>
      </c>
      <c r="K114" t="s">
        <v>6</v>
      </c>
      <c r="L114" t="s">
        <v>65</v>
      </c>
      <c r="M114" t="s">
        <v>8</v>
      </c>
    </row>
    <row r="115" spans="1:13" x14ac:dyDescent="0.25">
      <c r="A115" t="s">
        <v>0</v>
      </c>
      <c r="B115" t="s">
        <v>241</v>
      </c>
      <c r="C115" t="s">
        <v>245</v>
      </c>
      <c r="D115" s="2">
        <v>15000</v>
      </c>
      <c r="E115" s="2">
        <v>9181</v>
      </c>
      <c r="F115" s="2">
        <v>5819</v>
      </c>
      <c r="G115" s="3">
        <v>2</v>
      </c>
      <c r="H115" t="s">
        <v>3</v>
      </c>
      <c r="I115" t="s">
        <v>243</v>
      </c>
      <c r="J115" t="s">
        <v>5</v>
      </c>
      <c r="K115" t="s">
        <v>6</v>
      </c>
      <c r="L115" t="s">
        <v>65</v>
      </c>
      <c r="M115" t="s">
        <v>8</v>
      </c>
    </row>
    <row r="116" spans="1:13" x14ac:dyDescent="0.25">
      <c r="A116" t="s">
        <v>0</v>
      </c>
      <c r="B116" t="s">
        <v>248</v>
      </c>
      <c r="C116" t="s">
        <v>255</v>
      </c>
      <c r="D116" s="2">
        <v>60000</v>
      </c>
      <c r="E116" s="2">
        <v>0</v>
      </c>
      <c r="F116" s="2">
        <v>60000</v>
      </c>
      <c r="G116" s="3">
        <v>1</v>
      </c>
      <c r="H116" t="s">
        <v>3</v>
      </c>
      <c r="I116" t="s">
        <v>250</v>
      </c>
      <c r="J116" t="s">
        <v>5</v>
      </c>
      <c r="K116" t="s">
        <v>6</v>
      </c>
      <c r="L116" t="s">
        <v>65</v>
      </c>
      <c r="M116" t="s">
        <v>8</v>
      </c>
    </row>
    <row r="117" spans="1:13" x14ac:dyDescent="0.25">
      <c r="A117" t="s">
        <v>0</v>
      </c>
      <c r="B117" t="s">
        <v>259</v>
      </c>
      <c r="C117" t="s">
        <v>264</v>
      </c>
      <c r="D117" s="2">
        <v>15000</v>
      </c>
      <c r="E117" s="2">
        <v>0</v>
      </c>
      <c r="F117" s="2">
        <v>15000</v>
      </c>
      <c r="G117" s="3">
        <v>1</v>
      </c>
      <c r="H117" t="s">
        <v>3</v>
      </c>
      <c r="I117" t="s">
        <v>261</v>
      </c>
      <c r="J117" t="s">
        <v>5</v>
      </c>
      <c r="K117" t="s">
        <v>6</v>
      </c>
      <c r="L117" t="s">
        <v>65</v>
      </c>
      <c r="M117" t="s">
        <v>8</v>
      </c>
    </row>
    <row r="118" spans="1:13" x14ac:dyDescent="0.25">
      <c r="A118" t="s">
        <v>0</v>
      </c>
      <c r="B118" t="s">
        <v>268</v>
      </c>
      <c r="C118" t="s">
        <v>273</v>
      </c>
      <c r="D118" s="2">
        <v>15000</v>
      </c>
      <c r="E118" s="2">
        <v>6100</v>
      </c>
      <c r="F118" s="2">
        <v>8900</v>
      </c>
      <c r="G118" s="3">
        <v>2</v>
      </c>
      <c r="H118" t="s">
        <v>3</v>
      </c>
      <c r="I118" t="s">
        <v>270</v>
      </c>
      <c r="J118" t="s">
        <v>5</v>
      </c>
      <c r="K118" t="s">
        <v>6</v>
      </c>
      <c r="L118" t="s">
        <v>65</v>
      </c>
      <c r="M118" t="s">
        <v>8</v>
      </c>
    </row>
    <row r="119" spans="1:13" x14ac:dyDescent="0.25">
      <c r="A119" t="s">
        <v>0</v>
      </c>
      <c r="B119" t="s">
        <v>94</v>
      </c>
      <c r="C119" t="s">
        <v>95</v>
      </c>
      <c r="D119" s="2">
        <v>8639800</v>
      </c>
      <c r="E119" s="2">
        <v>1797063.34</v>
      </c>
      <c r="F119" s="2">
        <v>6842736.6600000001</v>
      </c>
      <c r="G119" s="3">
        <v>2</v>
      </c>
      <c r="H119" t="s">
        <v>3</v>
      </c>
      <c r="I119" t="s">
        <v>96</v>
      </c>
      <c r="J119" t="s">
        <v>5</v>
      </c>
      <c r="K119" t="s">
        <v>6</v>
      </c>
      <c r="L119" t="s">
        <v>97</v>
      </c>
      <c r="M119" t="s">
        <v>8</v>
      </c>
    </row>
    <row r="120" spans="1:13" x14ac:dyDescent="0.25">
      <c r="A120" t="s">
        <v>0</v>
      </c>
      <c r="B120" t="s">
        <v>94</v>
      </c>
      <c r="C120" t="s">
        <v>98</v>
      </c>
      <c r="D120" s="2">
        <v>601200</v>
      </c>
      <c r="E120" s="2">
        <v>48640</v>
      </c>
      <c r="F120" s="2">
        <v>552560</v>
      </c>
      <c r="G120" s="3">
        <v>2</v>
      </c>
      <c r="H120" t="s">
        <v>3</v>
      </c>
      <c r="I120" t="s">
        <v>96</v>
      </c>
      <c r="J120" t="s">
        <v>5</v>
      </c>
      <c r="K120" t="s">
        <v>6</v>
      </c>
      <c r="L120" t="s">
        <v>99</v>
      </c>
      <c r="M120" t="s">
        <v>8</v>
      </c>
    </row>
    <row r="121" spans="1:13" x14ac:dyDescent="0.25">
      <c r="A121" t="s">
        <v>0</v>
      </c>
      <c r="B121" t="s">
        <v>94</v>
      </c>
      <c r="C121" t="s">
        <v>100</v>
      </c>
      <c r="D121" s="2">
        <v>250000</v>
      </c>
      <c r="E121" s="2">
        <v>33517.339999999997</v>
      </c>
      <c r="F121" s="2">
        <v>216482.66</v>
      </c>
      <c r="G121" s="3">
        <v>2</v>
      </c>
      <c r="H121" t="s">
        <v>3</v>
      </c>
      <c r="I121" t="s">
        <v>96</v>
      </c>
      <c r="J121" t="s">
        <v>5</v>
      </c>
      <c r="K121" t="s">
        <v>6</v>
      </c>
      <c r="L121" t="s">
        <v>99</v>
      </c>
      <c r="M121" t="s">
        <v>8</v>
      </c>
    </row>
    <row r="122" spans="1:13" x14ac:dyDescent="0.25">
      <c r="A122" t="s">
        <v>0</v>
      </c>
      <c r="B122" t="s">
        <v>58</v>
      </c>
      <c r="C122" t="s">
        <v>66</v>
      </c>
      <c r="D122" s="2">
        <v>59147400</v>
      </c>
      <c r="E122" s="2">
        <v>31827084.559999999</v>
      </c>
      <c r="F122" s="2">
        <v>27320315.440000001</v>
      </c>
      <c r="G122" s="3">
        <v>2</v>
      </c>
      <c r="H122" t="s">
        <v>3</v>
      </c>
      <c r="I122" t="s">
        <v>60</v>
      </c>
      <c r="J122" t="s">
        <v>5</v>
      </c>
      <c r="K122" t="s">
        <v>6</v>
      </c>
      <c r="L122" t="s">
        <v>67</v>
      </c>
      <c r="M122" t="s">
        <v>8</v>
      </c>
    </row>
    <row r="123" spans="1:13" x14ac:dyDescent="0.25">
      <c r="A123" t="s">
        <v>0</v>
      </c>
      <c r="B123" t="s">
        <v>58</v>
      </c>
      <c r="C123" t="s">
        <v>68</v>
      </c>
      <c r="D123" s="2">
        <v>5805000</v>
      </c>
      <c r="E123" s="2">
        <v>1305797.28</v>
      </c>
      <c r="F123" s="2">
        <v>4499202.72</v>
      </c>
      <c r="G123" s="3">
        <v>2</v>
      </c>
      <c r="H123" t="s">
        <v>3</v>
      </c>
      <c r="I123" t="s">
        <v>60</v>
      </c>
      <c r="J123" t="s">
        <v>5</v>
      </c>
      <c r="K123" t="s">
        <v>6</v>
      </c>
      <c r="L123" t="s">
        <v>67</v>
      </c>
      <c r="M123" t="s">
        <v>8</v>
      </c>
    </row>
    <row r="124" spans="1:13" x14ac:dyDescent="0.25">
      <c r="A124" t="s">
        <v>0</v>
      </c>
      <c r="B124" t="s">
        <v>58</v>
      </c>
      <c r="C124" t="s">
        <v>69</v>
      </c>
      <c r="D124" s="2">
        <v>2277000</v>
      </c>
      <c r="E124" s="2">
        <v>1346789.33</v>
      </c>
      <c r="F124" s="2">
        <v>930210.67</v>
      </c>
      <c r="G124" s="3">
        <v>2</v>
      </c>
      <c r="H124" t="s">
        <v>3</v>
      </c>
      <c r="I124" t="s">
        <v>60</v>
      </c>
      <c r="J124" t="s">
        <v>5</v>
      </c>
      <c r="K124" t="s">
        <v>6</v>
      </c>
      <c r="L124" t="s">
        <v>70</v>
      </c>
      <c r="M124" t="s">
        <v>8</v>
      </c>
    </row>
    <row r="125" spans="1:13" x14ac:dyDescent="0.25">
      <c r="A125" t="s">
        <v>0</v>
      </c>
      <c r="B125" t="s">
        <v>110</v>
      </c>
      <c r="C125" t="s">
        <v>116</v>
      </c>
      <c r="D125" s="2">
        <v>520500</v>
      </c>
      <c r="E125" s="2">
        <v>444366</v>
      </c>
      <c r="F125" s="2">
        <v>76134</v>
      </c>
      <c r="G125" s="3">
        <v>2</v>
      </c>
      <c r="H125" t="s">
        <v>3</v>
      </c>
      <c r="I125" t="s">
        <v>112</v>
      </c>
      <c r="J125" t="s">
        <v>5</v>
      </c>
      <c r="K125" t="s">
        <v>6</v>
      </c>
      <c r="L125" t="s">
        <v>70</v>
      </c>
      <c r="M125" t="s">
        <v>8</v>
      </c>
    </row>
    <row r="126" spans="1:13" x14ac:dyDescent="0.25">
      <c r="A126" t="s">
        <v>0</v>
      </c>
      <c r="B126" t="s">
        <v>119</v>
      </c>
      <c r="C126" t="s">
        <v>125</v>
      </c>
      <c r="D126" s="2">
        <v>598000</v>
      </c>
      <c r="E126" s="2">
        <v>525656.89</v>
      </c>
      <c r="F126" s="2">
        <v>72343.11</v>
      </c>
      <c r="G126" s="3">
        <v>2</v>
      </c>
      <c r="H126" t="s">
        <v>3</v>
      </c>
      <c r="I126" t="s">
        <v>121</v>
      </c>
      <c r="J126" t="s">
        <v>5</v>
      </c>
      <c r="K126" t="s">
        <v>6</v>
      </c>
      <c r="L126" t="s">
        <v>70</v>
      </c>
      <c r="M126" t="s">
        <v>8</v>
      </c>
    </row>
    <row r="127" spans="1:13" x14ac:dyDescent="0.25">
      <c r="A127" t="s">
        <v>0</v>
      </c>
      <c r="B127" t="s">
        <v>127</v>
      </c>
      <c r="C127" t="s">
        <v>133</v>
      </c>
      <c r="D127" s="2">
        <v>1150000</v>
      </c>
      <c r="E127" s="2">
        <v>943930.8</v>
      </c>
      <c r="F127" s="2">
        <v>206069.2</v>
      </c>
      <c r="G127" s="3">
        <v>2</v>
      </c>
      <c r="H127" t="s">
        <v>3</v>
      </c>
      <c r="I127" t="s">
        <v>128</v>
      </c>
      <c r="J127" t="s">
        <v>5</v>
      </c>
      <c r="K127" t="s">
        <v>6</v>
      </c>
      <c r="L127" t="s">
        <v>70</v>
      </c>
      <c r="M127" t="s">
        <v>8</v>
      </c>
    </row>
    <row r="128" spans="1:13" x14ac:dyDescent="0.25">
      <c r="A128" t="s">
        <v>0</v>
      </c>
      <c r="B128" t="s">
        <v>135</v>
      </c>
      <c r="C128" t="s">
        <v>141</v>
      </c>
      <c r="D128" s="2">
        <v>644000</v>
      </c>
      <c r="E128" s="2">
        <v>394220.04</v>
      </c>
      <c r="F128" s="2">
        <v>249779.96</v>
      </c>
      <c r="G128" s="3">
        <v>2</v>
      </c>
      <c r="H128" t="s">
        <v>3</v>
      </c>
      <c r="I128" t="s">
        <v>137</v>
      </c>
      <c r="J128" t="s">
        <v>5</v>
      </c>
      <c r="K128" t="s">
        <v>6</v>
      </c>
      <c r="L128" t="s">
        <v>70</v>
      </c>
      <c r="M128" t="s">
        <v>8</v>
      </c>
    </row>
    <row r="129" spans="1:13" x14ac:dyDescent="0.25">
      <c r="A129" t="s">
        <v>0</v>
      </c>
      <c r="B129" t="s">
        <v>143</v>
      </c>
      <c r="C129" t="s">
        <v>149</v>
      </c>
      <c r="D129" s="2">
        <v>2898000</v>
      </c>
      <c r="E129" s="2">
        <v>1888385.4</v>
      </c>
      <c r="F129" s="2">
        <v>1009614.6</v>
      </c>
      <c r="G129" s="3">
        <v>2</v>
      </c>
      <c r="H129" t="s">
        <v>3</v>
      </c>
      <c r="I129" t="s">
        <v>145</v>
      </c>
      <c r="J129" t="s">
        <v>5</v>
      </c>
      <c r="K129" t="s">
        <v>6</v>
      </c>
      <c r="L129" t="s">
        <v>70</v>
      </c>
      <c r="M129" t="s">
        <v>8</v>
      </c>
    </row>
    <row r="130" spans="1:13" x14ac:dyDescent="0.25">
      <c r="A130" t="s">
        <v>0</v>
      </c>
      <c r="B130" t="s">
        <v>151</v>
      </c>
      <c r="C130" t="s">
        <v>157</v>
      </c>
      <c r="D130" s="2">
        <v>3042500</v>
      </c>
      <c r="E130" s="2">
        <v>2152618.2000000002</v>
      </c>
      <c r="F130" s="2">
        <v>889881.8</v>
      </c>
      <c r="G130" s="3">
        <v>2</v>
      </c>
      <c r="H130" t="s">
        <v>3</v>
      </c>
      <c r="I130" t="s">
        <v>153</v>
      </c>
      <c r="J130" t="s">
        <v>5</v>
      </c>
      <c r="K130" t="s">
        <v>6</v>
      </c>
      <c r="L130" t="s">
        <v>70</v>
      </c>
      <c r="M130" t="s">
        <v>8</v>
      </c>
    </row>
    <row r="131" spans="1:13" x14ac:dyDescent="0.25">
      <c r="A131" t="s">
        <v>0</v>
      </c>
      <c r="B131" t="s">
        <v>159</v>
      </c>
      <c r="C131" t="s">
        <v>166</v>
      </c>
      <c r="D131" s="2">
        <v>803900</v>
      </c>
      <c r="E131" s="2">
        <v>204897.6</v>
      </c>
      <c r="F131" s="2">
        <v>599002.4</v>
      </c>
      <c r="G131" s="3">
        <v>2</v>
      </c>
      <c r="H131" t="s">
        <v>3</v>
      </c>
      <c r="I131" t="s">
        <v>161</v>
      </c>
      <c r="J131" t="s">
        <v>5</v>
      </c>
      <c r="K131" t="s">
        <v>6</v>
      </c>
      <c r="L131" t="s">
        <v>70</v>
      </c>
      <c r="M131" t="s">
        <v>8</v>
      </c>
    </row>
    <row r="132" spans="1:13" x14ac:dyDescent="0.25">
      <c r="A132" t="s">
        <v>0</v>
      </c>
      <c r="B132" t="s">
        <v>170</v>
      </c>
      <c r="C132" t="s">
        <v>177</v>
      </c>
      <c r="D132" s="2">
        <v>690000</v>
      </c>
      <c r="E132" s="2">
        <v>473509.8</v>
      </c>
      <c r="F132" s="2">
        <v>216490.2</v>
      </c>
      <c r="G132" s="3">
        <v>2</v>
      </c>
      <c r="H132" t="s">
        <v>3</v>
      </c>
      <c r="I132" t="s">
        <v>172</v>
      </c>
      <c r="J132" t="s">
        <v>5</v>
      </c>
      <c r="K132" t="s">
        <v>6</v>
      </c>
      <c r="L132" t="s">
        <v>70</v>
      </c>
      <c r="M132" t="s">
        <v>8</v>
      </c>
    </row>
    <row r="133" spans="1:13" x14ac:dyDescent="0.25">
      <c r="A133" t="s">
        <v>0</v>
      </c>
      <c r="B133" t="s">
        <v>179</v>
      </c>
      <c r="C133" t="s">
        <v>187</v>
      </c>
      <c r="D133" s="2">
        <v>2958000</v>
      </c>
      <c r="E133" s="2">
        <v>1174656.6000000001</v>
      </c>
      <c r="F133" s="2">
        <v>1783343.4</v>
      </c>
      <c r="G133" s="3">
        <v>2</v>
      </c>
      <c r="H133" t="s">
        <v>3</v>
      </c>
      <c r="I133" t="s">
        <v>181</v>
      </c>
      <c r="J133" t="s">
        <v>5</v>
      </c>
      <c r="K133" t="s">
        <v>6</v>
      </c>
      <c r="L133" t="s">
        <v>70</v>
      </c>
      <c r="M133" t="s">
        <v>8</v>
      </c>
    </row>
    <row r="134" spans="1:13" x14ac:dyDescent="0.25">
      <c r="A134" t="s">
        <v>0</v>
      </c>
      <c r="B134" t="s">
        <v>189</v>
      </c>
      <c r="C134" t="s">
        <v>196</v>
      </c>
      <c r="D134" s="2">
        <v>368400</v>
      </c>
      <c r="E134" s="2">
        <v>245214</v>
      </c>
      <c r="F134" s="2">
        <v>123186</v>
      </c>
      <c r="G134" s="3">
        <v>2</v>
      </c>
      <c r="H134" t="s">
        <v>3</v>
      </c>
      <c r="I134" t="s">
        <v>191</v>
      </c>
      <c r="J134" t="s">
        <v>5</v>
      </c>
      <c r="K134" t="s">
        <v>6</v>
      </c>
      <c r="L134" t="s">
        <v>70</v>
      </c>
      <c r="M134" t="s">
        <v>8</v>
      </c>
    </row>
    <row r="135" spans="1:13" x14ac:dyDescent="0.25">
      <c r="A135" t="s">
        <v>0</v>
      </c>
      <c r="B135" t="s">
        <v>198</v>
      </c>
      <c r="C135" t="s">
        <v>204</v>
      </c>
      <c r="D135" s="2">
        <v>739100</v>
      </c>
      <c r="E135" s="2">
        <v>454863.6</v>
      </c>
      <c r="F135" s="2">
        <v>284236.40000000002</v>
      </c>
      <c r="G135" s="3">
        <v>2</v>
      </c>
      <c r="H135" t="s">
        <v>3</v>
      </c>
      <c r="I135" t="s">
        <v>200</v>
      </c>
      <c r="J135" t="s">
        <v>5</v>
      </c>
      <c r="K135" t="s">
        <v>6</v>
      </c>
      <c r="L135" t="s">
        <v>70</v>
      </c>
      <c r="M135" t="s">
        <v>8</v>
      </c>
    </row>
    <row r="136" spans="1:13" x14ac:dyDescent="0.25">
      <c r="A136" t="s">
        <v>0</v>
      </c>
      <c r="B136" t="s">
        <v>206</v>
      </c>
      <c r="C136" t="s">
        <v>212</v>
      </c>
      <c r="D136" s="2">
        <v>483300</v>
      </c>
      <c r="E136" s="2">
        <v>192510</v>
      </c>
      <c r="F136" s="2">
        <v>290790</v>
      </c>
      <c r="G136" s="3">
        <v>2</v>
      </c>
      <c r="H136" t="s">
        <v>3</v>
      </c>
      <c r="I136" t="s">
        <v>208</v>
      </c>
      <c r="J136" t="s">
        <v>5</v>
      </c>
      <c r="K136" t="s">
        <v>6</v>
      </c>
      <c r="L136" t="s">
        <v>70</v>
      </c>
      <c r="M136" t="s">
        <v>8</v>
      </c>
    </row>
    <row r="137" spans="1:13" x14ac:dyDescent="0.25">
      <c r="A137" t="s">
        <v>0</v>
      </c>
      <c r="B137" t="s">
        <v>214</v>
      </c>
      <c r="C137" t="s">
        <v>223</v>
      </c>
      <c r="D137" s="2">
        <v>742500</v>
      </c>
      <c r="E137" s="2">
        <v>471163.03</v>
      </c>
      <c r="F137" s="2">
        <v>271336.96999999997</v>
      </c>
      <c r="G137" s="3">
        <v>2</v>
      </c>
      <c r="H137" t="s">
        <v>3</v>
      </c>
      <c r="I137" t="s">
        <v>216</v>
      </c>
      <c r="J137" t="s">
        <v>5</v>
      </c>
      <c r="K137" t="s">
        <v>6</v>
      </c>
      <c r="L137" t="s">
        <v>70</v>
      </c>
      <c r="M137" t="s">
        <v>8</v>
      </c>
    </row>
    <row r="138" spans="1:13" x14ac:dyDescent="0.25">
      <c r="A138" t="s">
        <v>0</v>
      </c>
      <c r="B138" t="s">
        <v>226</v>
      </c>
      <c r="C138" t="s">
        <v>232</v>
      </c>
      <c r="D138" s="2">
        <v>273900</v>
      </c>
      <c r="E138" s="2">
        <v>179965.5</v>
      </c>
      <c r="F138" s="2">
        <v>93934.5</v>
      </c>
      <c r="G138" s="3">
        <v>2</v>
      </c>
      <c r="H138" t="s">
        <v>3</v>
      </c>
      <c r="I138" t="s">
        <v>228</v>
      </c>
      <c r="J138" t="s">
        <v>5</v>
      </c>
      <c r="K138" t="s">
        <v>6</v>
      </c>
      <c r="L138" t="s">
        <v>70</v>
      </c>
      <c r="M138" t="s">
        <v>8</v>
      </c>
    </row>
    <row r="139" spans="1:13" x14ac:dyDescent="0.25">
      <c r="A139" t="s">
        <v>0</v>
      </c>
      <c r="B139" t="s">
        <v>234</v>
      </c>
      <c r="C139" t="s">
        <v>239</v>
      </c>
      <c r="D139" s="2">
        <v>598900</v>
      </c>
      <c r="E139" s="2">
        <v>229139.28</v>
      </c>
      <c r="F139" s="2">
        <v>369760.72</v>
      </c>
      <c r="G139" s="3">
        <v>2</v>
      </c>
      <c r="H139" t="s">
        <v>3</v>
      </c>
      <c r="I139" t="s">
        <v>236</v>
      </c>
      <c r="J139" t="s">
        <v>5</v>
      </c>
      <c r="K139" t="s">
        <v>6</v>
      </c>
      <c r="L139" t="s">
        <v>70</v>
      </c>
      <c r="M139" t="s">
        <v>8</v>
      </c>
    </row>
    <row r="140" spans="1:13" x14ac:dyDescent="0.25">
      <c r="A140" t="s">
        <v>0</v>
      </c>
      <c r="B140" t="s">
        <v>241</v>
      </c>
      <c r="C140" t="s">
        <v>246</v>
      </c>
      <c r="D140" s="2">
        <v>157200</v>
      </c>
      <c r="E140" s="2">
        <v>154813.68</v>
      </c>
      <c r="F140" s="2">
        <v>2386.3200000000002</v>
      </c>
      <c r="G140" s="3">
        <v>2</v>
      </c>
      <c r="H140" t="s">
        <v>3</v>
      </c>
      <c r="I140" t="s">
        <v>243</v>
      </c>
      <c r="J140" t="s">
        <v>5</v>
      </c>
      <c r="K140" t="s">
        <v>6</v>
      </c>
      <c r="L140" t="s">
        <v>70</v>
      </c>
      <c r="M140" t="s">
        <v>8</v>
      </c>
    </row>
    <row r="141" spans="1:13" x14ac:dyDescent="0.25">
      <c r="A141" t="s">
        <v>0</v>
      </c>
      <c r="B141" t="s">
        <v>248</v>
      </c>
      <c r="C141" t="s">
        <v>256</v>
      </c>
      <c r="D141" s="2">
        <v>590800</v>
      </c>
      <c r="E141" s="2">
        <v>218648.16</v>
      </c>
      <c r="F141" s="2">
        <v>372151.84</v>
      </c>
      <c r="G141" s="3">
        <v>2</v>
      </c>
      <c r="H141" t="s">
        <v>3</v>
      </c>
      <c r="I141" t="s">
        <v>250</v>
      </c>
      <c r="J141" t="s">
        <v>5</v>
      </c>
      <c r="K141" t="s">
        <v>6</v>
      </c>
      <c r="L141" t="s">
        <v>70</v>
      </c>
      <c r="M141" t="s">
        <v>8</v>
      </c>
    </row>
    <row r="142" spans="1:13" x14ac:dyDescent="0.25">
      <c r="A142" t="s">
        <v>0</v>
      </c>
      <c r="B142" t="s">
        <v>259</v>
      </c>
      <c r="C142" t="s">
        <v>265</v>
      </c>
      <c r="D142" s="2">
        <v>57000</v>
      </c>
      <c r="E142" s="2">
        <v>1220.4000000000001</v>
      </c>
      <c r="F142" s="2">
        <v>55779.6</v>
      </c>
      <c r="G142" s="3">
        <v>2</v>
      </c>
      <c r="H142" t="s">
        <v>3</v>
      </c>
      <c r="I142" t="s">
        <v>261</v>
      </c>
      <c r="J142" t="s">
        <v>5</v>
      </c>
      <c r="K142" t="s">
        <v>6</v>
      </c>
      <c r="L142" t="s">
        <v>70</v>
      </c>
      <c r="M142" t="s">
        <v>8</v>
      </c>
    </row>
    <row r="143" spans="1:13" x14ac:dyDescent="0.25">
      <c r="A143" t="s">
        <v>0</v>
      </c>
      <c r="B143" t="s">
        <v>268</v>
      </c>
      <c r="C143" t="s">
        <v>274</v>
      </c>
      <c r="D143" s="2">
        <v>57000</v>
      </c>
      <c r="E143" s="2">
        <v>28000.080000000002</v>
      </c>
      <c r="F143" s="2">
        <v>28999.919999999998</v>
      </c>
      <c r="G143" s="3">
        <v>2</v>
      </c>
      <c r="H143" t="s">
        <v>3</v>
      </c>
      <c r="I143" t="s">
        <v>270</v>
      </c>
      <c r="J143" t="s">
        <v>5</v>
      </c>
      <c r="K143" t="s">
        <v>6</v>
      </c>
      <c r="L143" t="s">
        <v>70</v>
      </c>
      <c r="M143" t="s">
        <v>8</v>
      </c>
    </row>
    <row r="144" spans="1:13" x14ac:dyDescent="0.25">
      <c r="A144" t="s">
        <v>0</v>
      </c>
      <c r="B144" t="s">
        <v>58</v>
      </c>
      <c r="C144" t="s">
        <v>71</v>
      </c>
      <c r="D144" s="2">
        <v>1325600</v>
      </c>
      <c r="E144" s="2">
        <v>563814.69999999995</v>
      </c>
      <c r="F144" s="2">
        <v>761785.3</v>
      </c>
      <c r="G144" s="3">
        <v>2</v>
      </c>
      <c r="H144" t="s">
        <v>3</v>
      </c>
      <c r="I144" t="s">
        <v>60</v>
      </c>
      <c r="J144" t="s">
        <v>5</v>
      </c>
      <c r="K144" t="s">
        <v>6</v>
      </c>
      <c r="L144" t="s">
        <v>72</v>
      </c>
      <c r="M144" t="s">
        <v>8</v>
      </c>
    </row>
    <row r="145" spans="1:13" x14ac:dyDescent="0.25">
      <c r="A145" t="s">
        <v>0</v>
      </c>
      <c r="B145" t="s">
        <v>110</v>
      </c>
      <c r="C145" t="s">
        <v>117</v>
      </c>
      <c r="D145" s="2">
        <v>22900</v>
      </c>
      <c r="E145" s="2">
        <v>14745.27</v>
      </c>
      <c r="F145" s="2">
        <v>8154.73</v>
      </c>
      <c r="G145" s="3">
        <v>2</v>
      </c>
      <c r="H145" t="s">
        <v>3</v>
      </c>
      <c r="I145" t="s">
        <v>112</v>
      </c>
      <c r="J145" t="s">
        <v>5</v>
      </c>
      <c r="K145" t="s">
        <v>6</v>
      </c>
      <c r="L145" t="s">
        <v>118</v>
      </c>
      <c r="M145" t="s">
        <v>8</v>
      </c>
    </row>
    <row r="146" spans="1:13" x14ac:dyDescent="0.25">
      <c r="A146" t="s">
        <v>0</v>
      </c>
      <c r="B146" t="s">
        <v>119</v>
      </c>
      <c r="C146" t="s">
        <v>126</v>
      </c>
      <c r="D146" s="2">
        <v>30800</v>
      </c>
      <c r="E146" s="2">
        <v>25449.19</v>
      </c>
      <c r="F146" s="2">
        <v>5350.81</v>
      </c>
      <c r="G146" s="3">
        <v>2</v>
      </c>
      <c r="H146" t="s">
        <v>3</v>
      </c>
      <c r="I146" t="s">
        <v>121</v>
      </c>
      <c r="J146" t="s">
        <v>5</v>
      </c>
      <c r="K146" t="s">
        <v>6</v>
      </c>
      <c r="L146" t="s">
        <v>118</v>
      </c>
      <c r="M146" t="s">
        <v>8</v>
      </c>
    </row>
    <row r="147" spans="1:13" x14ac:dyDescent="0.25">
      <c r="A147" t="s">
        <v>0</v>
      </c>
      <c r="B147" t="s">
        <v>127</v>
      </c>
      <c r="C147" t="s">
        <v>134</v>
      </c>
      <c r="D147" s="2">
        <v>124500</v>
      </c>
      <c r="E147" s="2">
        <v>56690.8</v>
      </c>
      <c r="F147" s="2">
        <v>67809.2</v>
      </c>
      <c r="G147" s="3">
        <v>2</v>
      </c>
      <c r="H147" t="s">
        <v>3</v>
      </c>
      <c r="I147" t="s">
        <v>128</v>
      </c>
      <c r="J147" t="s">
        <v>5</v>
      </c>
      <c r="K147" t="s">
        <v>6</v>
      </c>
      <c r="L147" t="s">
        <v>118</v>
      </c>
      <c r="M147" t="s">
        <v>8</v>
      </c>
    </row>
    <row r="148" spans="1:13" x14ac:dyDescent="0.25">
      <c r="A148" t="s">
        <v>0</v>
      </c>
      <c r="B148" t="s">
        <v>135</v>
      </c>
      <c r="C148" t="s">
        <v>142</v>
      </c>
      <c r="D148" s="2">
        <v>39600</v>
      </c>
      <c r="E148" s="2">
        <v>12143.82</v>
      </c>
      <c r="F148" s="2">
        <v>27456.18</v>
      </c>
      <c r="G148" s="3">
        <v>2</v>
      </c>
      <c r="H148" t="s">
        <v>3</v>
      </c>
      <c r="I148" t="s">
        <v>137</v>
      </c>
      <c r="J148" t="s">
        <v>5</v>
      </c>
      <c r="K148" t="s">
        <v>6</v>
      </c>
      <c r="L148" t="s">
        <v>118</v>
      </c>
      <c r="M148" t="s">
        <v>8</v>
      </c>
    </row>
    <row r="149" spans="1:13" x14ac:dyDescent="0.25">
      <c r="A149" t="s">
        <v>0</v>
      </c>
      <c r="B149" t="s">
        <v>143</v>
      </c>
      <c r="C149" t="s">
        <v>150</v>
      </c>
      <c r="D149" s="2">
        <v>108700</v>
      </c>
      <c r="E149" s="2">
        <v>67025.03</v>
      </c>
      <c r="F149" s="2">
        <v>41674.97</v>
      </c>
      <c r="G149" s="3">
        <v>2</v>
      </c>
      <c r="H149" t="s">
        <v>3</v>
      </c>
      <c r="I149" t="s">
        <v>145</v>
      </c>
      <c r="J149" t="s">
        <v>5</v>
      </c>
      <c r="K149" t="s">
        <v>6</v>
      </c>
      <c r="L149" t="s">
        <v>118</v>
      </c>
      <c r="M149" t="s">
        <v>8</v>
      </c>
    </row>
    <row r="150" spans="1:13" x14ac:dyDescent="0.25">
      <c r="A150" t="s">
        <v>0</v>
      </c>
      <c r="B150" t="s">
        <v>151</v>
      </c>
      <c r="C150" t="s">
        <v>158</v>
      </c>
      <c r="D150" s="2">
        <v>104300</v>
      </c>
      <c r="E150" s="2">
        <v>78463.240000000005</v>
      </c>
      <c r="F150" s="2">
        <v>25836.76</v>
      </c>
      <c r="G150" s="3">
        <v>2</v>
      </c>
      <c r="H150" t="s">
        <v>3</v>
      </c>
      <c r="I150" t="s">
        <v>153</v>
      </c>
      <c r="J150" t="s">
        <v>5</v>
      </c>
      <c r="K150" t="s">
        <v>6</v>
      </c>
      <c r="L150" t="s">
        <v>118</v>
      </c>
      <c r="M150" t="s">
        <v>8</v>
      </c>
    </row>
    <row r="151" spans="1:13" x14ac:dyDescent="0.25">
      <c r="A151" t="s">
        <v>0</v>
      </c>
      <c r="B151" t="s">
        <v>159</v>
      </c>
      <c r="C151" t="s">
        <v>167</v>
      </c>
      <c r="D151" s="2">
        <v>35200</v>
      </c>
      <c r="E151" s="2">
        <v>16180.21</v>
      </c>
      <c r="F151" s="2">
        <v>19019.79</v>
      </c>
      <c r="G151" s="3">
        <v>2</v>
      </c>
      <c r="H151" t="s">
        <v>3</v>
      </c>
      <c r="I151" t="s">
        <v>161</v>
      </c>
      <c r="J151" t="s">
        <v>5</v>
      </c>
      <c r="K151" t="s">
        <v>6</v>
      </c>
      <c r="L151" t="s">
        <v>118</v>
      </c>
      <c r="M151" t="s">
        <v>8</v>
      </c>
    </row>
    <row r="152" spans="1:13" x14ac:dyDescent="0.25">
      <c r="A152" t="s">
        <v>0</v>
      </c>
      <c r="B152" t="s">
        <v>170</v>
      </c>
      <c r="C152" t="s">
        <v>178</v>
      </c>
      <c r="D152" s="2">
        <v>35200</v>
      </c>
      <c r="E152" s="2">
        <v>27687.13</v>
      </c>
      <c r="F152" s="2">
        <v>7512.87</v>
      </c>
      <c r="G152" s="3">
        <v>2</v>
      </c>
      <c r="H152" t="s">
        <v>3</v>
      </c>
      <c r="I152" t="s">
        <v>172</v>
      </c>
      <c r="J152" t="s">
        <v>5</v>
      </c>
      <c r="K152" t="s">
        <v>6</v>
      </c>
      <c r="L152" t="s">
        <v>118</v>
      </c>
      <c r="M152" t="s">
        <v>8</v>
      </c>
    </row>
    <row r="153" spans="1:13" x14ac:dyDescent="0.25">
      <c r="A153" t="s">
        <v>0</v>
      </c>
      <c r="B153" t="s">
        <v>179</v>
      </c>
      <c r="C153" t="s">
        <v>188</v>
      </c>
      <c r="D153" s="2">
        <v>141900</v>
      </c>
      <c r="E153" s="2">
        <v>71126.320000000007</v>
      </c>
      <c r="F153" s="2">
        <v>70773.679999999993</v>
      </c>
      <c r="G153" s="3">
        <v>2</v>
      </c>
      <c r="H153" t="s">
        <v>3</v>
      </c>
      <c r="I153" t="s">
        <v>181</v>
      </c>
      <c r="J153" t="s">
        <v>5</v>
      </c>
      <c r="K153" t="s">
        <v>6</v>
      </c>
      <c r="L153" t="s">
        <v>118</v>
      </c>
      <c r="M153" t="s">
        <v>8</v>
      </c>
    </row>
    <row r="154" spans="1:13" x14ac:dyDescent="0.25">
      <c r="A154" t="s">
        <v>0</v>
      </c>
      <c r="B154" t="s">
        <v>189</v>
      </c>
      <c r="C154" t="s">
        <v>197</v>
      </c>
      <c r="D154" s="2">
        <v>37400</v>
      </c>
      <c r="E154" s="2">
        <v>25055.67</v>
      </c>
      <c r="F154" s="2">
        <v>12344.33</v>
      </c>
      <c r="G154" s="3">
        <v>2</v>
      </c>
      <c r="H154" t="s">
        <v>3</v>
      </c>
      <c r="I154" t="s">
        <v>191</v>
      </c>
      <c r="J154" t="s">
        <v>5</v>
      </c>
      <c r="K154" t="s">
        <v>6</v>
      </c>
      <c r="L154" t="s">
        <v>118</v>
      </c>
      <c r="M154" t="s">
        <v>8</v>
      </c>
    </row>
    <row r="155" spans="1:13" x14ac:dyDescent="0.25">
      <c r="A155" t="s">
        <v>0</v>
      </c>
      <c r="B155" t="s">
        <v>198</v>
      </c>
      <c r="C155" t="s">
        <v>205</v>
      </c>
      <c r="D155" s="2">
        <v>43000</v>
      </c>
      <c r="E155" s="2">
        <v>22534.17</v>
      </c>
      <c r="F155" s="2">
        <v>20465.830000000002</v>
      </c>
      <c r="G155" s="3">
        <v>2</v>
      </c>
      <c r="H155" t="s">
        <v>3</v>
      </c>
      <c r="I155" t="s">
        <v>200</v>
      </c>
      <c r="J155" t="s">
        <v>5</v>
      </c>
      <c r="K155" t="s">
        <v>6</v>
      </c>
      <c r="L155" t="s">
        <v>118</v>
      </c>
      <c r="M155" t="s">
        <v>8</v>
      </c>
    </row>
    <row r="156" spans="1:13" x14ac:dyDescent="0.25">
      <c r="A156" t="s">
        <v>0</v>
      </c>
      <c r="B156" t="s">
        <v>206</v>
      </c>
      <c r="C156" t="s">
        <v>213</v>
      </c>
      <c r="D156" s="2">
        <v>23800</v>
      </c>
      <c r="E156" s="2">
        <v>23587.599999999999</v>
      </c>
      <c r="F156" s="2">
        <v>212.4</v>
      </c>
      <c r="G156" s="3">
        <v>2</v>
      </c>
      <c r="H156" t="s">
        <v>3</v>
      </c>
      <c r="I156" t="s">
        <v>208</v>
      </c>
      <c r="J156" t="s">
        <v>5</v>
      </c>
      <c r="K156" t="s">
        <v>6</v>
      </c>
      <c r="L156" t="s">
        <v>118</v>
      </c>
      <c r="M156" t="s">
        <v>8</v>
      </c>
    </row>
    <row r="157" spans="1:13" x14ac:dyDescent="0.25">
      <c r="A157" t="s">
        <v>0</v>
      </c>
      <c r="B157" t="s">
        <v>214</v>
      </c>
      <c r="C157" t="s">
        <v>224</v>
      </c>
      <c r="D157" s="2">
        <v>83500</v>
      </c>
      <c r="E157" s="2">
        <v>25037.93</v>
      </c>
      <c r="F157" s="2">
        <v>58462.07</v>
      </c>
      <c r="G157" s="3">
        <v>2</v>
      </c>
      <c r="H157" t="s">
        <v>3</v>
      </c>
      <c r="I157" t="s">
        <v>216</v>
      </c>
      <c r="J157" t="s">
        <v>5</v>
      </c>
      <c r="K157" t="s">
        <v>6</v>
      </c>
      <c r="L157" t="s">
        <v>118</v>
      </c>
      <c r="M157" t="s">
        <v>8</v>
      </c>
    </row>
    <row r="158" spans="1:13" x14ac:dyDescent="0.25">
      <c r="A158" t="s">
        <v>0</v>
      </c>
      <c r="B158" t="s">
        <v>226</v>
      </c>
      <c r="C158" t="s">
        <v>233</v>
      </c>
      <c r="D158" s="2">
        <v>23400</v>
      </c>
      <c r="E158" s="2">
        <v>8062.51</v>
      </c>
      <c r="F158" s="2">
        <v>15337.49</v>
      </c>
      <c r="G158" s="3">
        <v>2</v>
      </c>
      <c r="H158" t="s">
        <v>3</v>
      </c>
      <c r="I158" t="s">
        <v>228</v>
      </c>
      <c r="J158" t="s">
        <v>5</v>
      </c>
      <c r="K158" t="s">
        <v>6</v>
      </c>
      <c r="L158" t="s">
        <v>118</v>
      </c>
      <c r="M158" t="s">
        <v>8</v>
      </c>
    </row>
    <row r="159" spans="1:13" x14ac:dyDescent="0.25">
      <c r="A159" t="s">
        <v>0</v>
      </c>
      <c r="B159" t="s">
        <v>234</v>
      </c>
      <c r="C159" t="s">
        <v>240</v>
      </c>
      <c r="D159" s="2">
        <v>21100</v>
      </c>
      <c r="E159" s="2">
        <v>2259.69</v>
      </c>
      <c r="F159" s="2">
        <v>18840.310000000001</v>
      </c>
      <c r="G159" s="3">
        <v>2</v>
      </c>
      <c r="H159" t="s">
        <v>3</v>
      </c>
      <c r="I159" t="s">
        <v>236</v>
      </c>
      <c r="J159" t="s">
        <v>5</v>
      </c>
      <c r="K159" t="s">
        <v>6</v>
      </c>
      <c r="L159" t="s">
        <v>118</v>
      </c>
      <c r="M159" t="s">
        <v>8</v>
      </c>
    </row>
    <row r="160" spans="1:13" x14ac:dyDescent="0.25">
      <c r="A160" t="s">
        <v>0</v>
      </c>
      <c r="B160" t="s">
        <v>241</v>
      </c>
      <c r="C160" t="s">
        <v>247</v>
      </c>
      <c r="D160" s="2">
        <v>21100</v>
      </c>
      <c r="E160" s="2">
        <v>7007.13</v>
      </c>
      <c r="F160" s="2">
        <v>14092.87</v>
      </c>
      <c r="G160" s="3">
        <v>2</v>
      </c>
      <c r="H160" t="s">
        <v>3</v>
      </c>
      <c r="I160" t="s">
        <v>243</v>
      </c>
      <c r="J160" t="s">
        <v>5</v>
      </c>
      <c r="K160" t="s">
        <v>6</v>
      </c>
      <c r="L160" t="s">
        <v>118</v>
      </c>
      <c r="M160" t="s">
        <v>8</v>
      </c>
    </row>
    <row r="161" spans="1:13" x14ac:dyDescent="0.25">
      <c r="A161" t="s">
        <v>0</v>
      </c>
      <c r="B161" t="s">
        <v>248</v>
      </c>
      <c r="C161" t="s">
        <v>257</v>
      </c>
      <c r="D161" s="2">
        <v>41400</v>
      </c>
      <c r="E161" s="2">
        <v>16854.78</v>
      </c>
      <c r="F161" s="2">
        <v>24545.22</v>
      </c>
      <c r="G161" s="3">
        <v>2</v>
      </c>
      <c r="H161" t="s">
        <v>3</v>
      </c>
      <c r="I161" t="s">
        <v>250</v>
      </c>
      <c r="J161" t="s">
        <v>5</v>
      </c>
      <c r="K161" t="s">
        <v>6</v>
      </c>
      <c r="L161" t="s">
        <v>118</v>
      </c>
      <c r="M161" t="s">
        <v>8</v>
      </c>
    </row>
    <row r="162" spans="1:13" x14ac:dyDescent="0.25">
      <c r="A162" t="s">
        <v>0</v>
      </c>
      <c r="B162" t="s">
        <v>259</v>
      </c>
      <c r="C162" t="s">
        <v>266</v>
      </c>
      <c r="D162" s="2">
        <v>21100</v>
      </c>
      <c r="E162" s="2">
        <v>3712.76</v>
      </c>
      <c r="F162" s="2">
        <v>17387.240000000002</v>
      </c>
      <c r="G162" s="3">
        <v>2</v>
      </c>
      <c r="H162" t="s">
        <v>3</v>
      </c>
      <c r="I162" t="s">
        <v>261</v>
      </c>
      <c r="J162" t="s">
        <v>5</v>
      </c>
      <c r="K162" t="s">
        <v>6</v>
      </c>
      <c r="L162" t="s">
        <v>118</v>
      </c>
      <c r="M162" t="s">
        <v>8</v>
      </c>
    </row>
    <row r="163" spans="1:13" x14ac:dyDescent="0.25">
      <c r="A163" t="s">
        <v>0</v>
      </c>
      <c r="B163" t="s">
        <v>268</v>
      </c>
      <c r="C163" t="s">
        <v>275</v>
      </c>
      <c r="D163" s="2">
        <v>21100</v>
      </c>
      <c r="E163" s="2">
        <v>12047.53</v>
      </c>
      <c r="F163" s="2">
        <v>9052.4699999999993</v>
      </c>
      <c r="G163" s="3">
        <v>2</v>
      </c>
      <c r="H163" t="s">
        <v>3</v>
      </c>
      <c r="I163" t="s">
        <v>270</v>
      </c>
      <c r="J163" t="s">
        <v>5</v>
      </c>
      <c r="K163" t="s">
        <v>6</v>
      </c>
      <c r="L163" t="s">
        <v>118</v>
      </c>
      <c r="M163" t="s">
        <v>8</v>
      </c>
    </row>
    <row r="164" spans="1:13" x14ac:dyDescent="0.25">
      <c r="A164" t="s">
        <v>0</v>
      </c>
      <c r="B164" t="s">
        <v>58</v>
      </c>
      <c r="C164" t="s">
        <v>73</v>
      </c>
      <c r="D164" s="2">
        <v>1165000</v>
      </c>
      <c r="E164" s="2">
        <v>314925.84999999998</v>
      </c>
      <c r="F164" s="2">
        <v>850074.15</v>
      </c>
      <c r="G164" s="3">
        <v>2</v>
      </c>
      <c r="H164" t="s">
        <v>3</v>
      </c>
      <c r="I164" t="s">
        <v>60</v>
      </c>
      <c r="J164" t="s">
        <v>5</v>
      </c>
      <c r="K164" t="s">
        <v>6</v>
      </c>
      <c r="L164" t="s">
        <v>74</v>
      </c>
      <c r="M164" t="s">
        <v>8</v>
      </c>
    </row>
    <row r="165" spans="1:13" x14ac:dyDescent="0.25">
      <c r="A165" t="s">
        <v>0</v>
      </c>
      <c r="B165" t="s">
        <v>58</v>
      </c>
      <c r="C165" t="s">
        <v>75</v>
      </c>
      <c r="D165" s="2">
        <v>50000</v>
      </c>
      <c r="E165" s="2">
        <v>9317.4</v>
      </c>
      <c r="F165" s="2">
        <v>40682.6</v>
      </c>
      <c r="G165" s="3">
        <v>2</v>
      </c>
      <c r="H165" t="s">
        <v>3</v>
      </c>
      <c r="I165" t="s">
        <v>60</v>
      </c>
      <c r="J165" t="s">
        <v>5</v>
      </c>
      <c r="K165" t="s">
        <v>6</v>
      </c>
      <c r="L165" t="s">
        <v>76</v>
      </c>
      <c r="M165" t="s">
        <v>8</v>
      </c>
    </row>
    <row r="166" spans="1:13" x14ac:dyDescent="0.25">
      <c r="A166" t="s">
        <v>0</v>
      </c>
      <c r="B166" t="s">
        <v>77</v>
      </c>
      <c r="C166" t="s">
        <v>78</v>
      </c>
      <c r="D166" s="2">
        <v>27500</v>
      </c>
      <c r="E166" s="2">
        <v>27222.080000000002</v>
      </c>
      <c r="F166" s="2">
        <v>277.92</v>
      </c>
      <c r="G166" s="3">
        <v>2</v>
      </c>
      <c r="H166" t="s">
        <v>3</v>
      </c>
      <c r="I166" t="s">
        <v>79</v>
      </c>
      <c r="J166" t="s">
        <v>5</v>
      </c>
      <c r="K166" t="s">
        <v>6</v>
      </c>
      <c r="L166" t="s">
        <v>80</v>
      </c>
      <c r="M166" t="s">
        <v>8</v>
      </c>
    </row>
    <row r="167" spans="1:13" x14ac:dyDescent="0.25">
      <c r="A167" t="s">
        <v>0</v>
      </c>
      <c r="B167" t="s">
        <v>77</v>
      </c>
      <c r="C167" t="s">
        <v>81</v>
      </c>
      <c r="D167" s="2">
        <v>418000</v>
      </c>
      <c r="E167" s="2">
        <v>263332.24</v>
      </c>
      <c r="F167" s="2">
        <v>154667.76</v>
      </c>
      <c r="G167" s="3">
        <v>2</v>
      </c>
      <c r="H167" t="s">
        <v>3</v>
      </c>
      <c r="I167" t="s">
        <v>79</v>
      </c>
      <c r="J167" t="s">
        <v>5</v>
      </c>
      <c r="K167" t="s">
        <v>6</v>
      </c>
      <c r="L167" t="s">
        <v>82</v>
      </c>
      <c r="M167" t="s">
        <v>8</v>
      </c>
    </row>
    <row r="168" spans="1:13" x14ac:dyDescent="0.25">
      <c r="A168" t="s">
        <v>0</v>
      </c>
      <c r="B168" t="s">
        <v>41</v>
      </c>
      <c r="C168" t="s">
        <v>44</v>
      </c>
      <c r="D168" s="2">
        <v>1241000</v>
      </c>
      <c r="E168" s="2">
        <v>313056.84000000003</v>
      </c>
      <c r="F168" s="2">
        <v>927943.16</v>
      </c>
      <c r="G168" s="3">
        <v>2</v>
      </c>
      <c r="H168" t="s">
        <v>3</v>
      </c>
      <c r="I168" t="s">
        <v>43</v>
      </c>
      <c r="J168" t="s">
        <v>5</v>
      </c>
      <c r="K168" t="s">
        <v>6</v>
      </c>
      <c r="L168" t="s">
        <v>45</v>
      </c>
      <c r="M168" t="s">
        <v>8</v>
      </c>
    </row>
    <row r="169" spans="1:13" x14ac:dyDescent="0.25">
      <c r="A169" t="s">
        <v>0</v>
      </c>
      <c r="B169" t="s">
        <v>41</v>
      </c>
      <c r="C169" t="s">
        <v>46</v>
      </c>
      <c r="D169" s="2">
        <v>708000</v>
      </c>
      <c r="E169" s="2">
        <v>396706.46</v>
      </c>
      <c r="F169" s="2">
        <v>311293.53999999998</v>
      </c>
      <c r="G169" s="3">
        <v>2</v>
      </c>
      <c r="H169" t="s">
        <v>3</v>
      </c>
      <c r="I169" t="s">
        <v>43</v>
      </c>
      <c r="J169" t="s">
        <v>5</v>
      </c>
      <c r="K169" t="s">
        <v>6</v>
      </c>
      <c r="L169" t="s">
        <v>47</v>
      </c>
      <c r="M169" t="s">
        <v>8</v>
      </c>
    </row>
    <row r="170" spans="1:13" x14ac:dyDescent="0.25">
      <c r="A170" t="s">
        <v>0</v>
      </c>
      <c r="B170" t="s">
        <v>41</v>
      </c>
      <c r="C170" t="s">
        <v>48</v>
      </c>
      <c r="D170" s="2">
        <v>2147000</v>
      </c>
      <c r="E170" s="2">
        <v>72736</v>
      </c>
      <c r="F170" s="2">
        <v>2074264</v>
      </c>
      <c r="G170" s="3">
        <v>2</v>
      </c>
      <c r="H170" t="s">
        <v>3</v>
      </c>
      <c r="I170" t="s">
        <v>43</v>
      </c>
      <c r="J170" t="s">
        <v>5</v>
      </c>
      <c r="K170" t="s">
        <v>6</v>
      </c>
      <c r="L170" t="s">
        <v>49</v>
      </c>
      <c r="M170" t="s">
        <v>8</v>
      </c>
    </row>
    <row r="171" spans="1:13" x14ac:dyDescent="0.25">
      <c r="A171" t="s">
        <v>0</v>
      </c>
      <c r="B171" t="s">
        <v>83</v>
      </c>
      <c r="C171" t="s">
        <v>86</v>
      </c>
      <c r="D171" s="2">
        <v>1436500</v>
      </c>
      <c r="E171" s="2">
        <v>800990</v>
      </c>
      <c r="F171" s="2">
        <v>635510</v>
      </c>
      <c r="G171" s="3">
        <v>2</v>
      </c>
      <c r="H171" t="s">
        <v>3</v>
      </c>
      <c r="I171" t="s">
        <v>85</v>
      </c>
      <c r="J171" t="s">
        <v>5</v>
      </c>
      <c r="K171" t="s">
        <v>6</v>
      </c>
      <c r="L171" t="s">
        <v>87</v>
      </c>
      <c r="M171" t="s">
        <v>8</v>
      </c>
    </row>
    <row r="172" spans="1:13" x14ac:dyDescent="0.25">
      <c r="A172" t="s">
        <v>0</v>
      </c>
      <c r="B172" t="s">
        <v>83</v>
      </c>
      <c r="C172" t="s">
        <v>88</v>
      </c>
      <c r="D172" s="2">
        <v>368600</v>
      </c>
      <c r="E172" s="2">
        <v>57788</v>
      </c>
      <c r="F172" s="2">
        <v>310812</v>
      </c>
      <c r="G172" s="3">
        <v>2</v>
      </c>
      <c r="H172" t="s">
        <v>3</v>
      </c>
      <c r="I172" t="s">
        <v>85</v>
      </c>
      <c r="J172" t="s">
        <v>5</v>
      </c>
      <c r="K172" t="s">
        <v>6</v>
      </c>
      <c r="L172" t="s">
        <v>89</v>
      </c>
      <c r="M172" t="s">
        <v>8</v>
      </c>
    </row>
    <row r="173" spans="1:13" x14ac:dyDescent="0.25">
      <c r="A173" t="s">
        <v>0</v>
      </c>
      <c r="B173" t="s">
        <v>159</v>
      </c>
      <c r="C173" t="s">
        <v>168</v>
      </c>
      <c r="D173" s="2">
        <v>15000</v>
      </c>
      <c r="E173" s="2">
        <v>14330</v>
      </c>
      <c r="F173" s="2">
        <v>670</v>
      </c>
      <c r="G173" s="3">
        <v>2</v>
      </c>
      <c r="H173" t="s">
        <v>3</v>
      </c>
      <c r="I173" t="s">
        <v>161</v>
      </c>
      <c r="J173" t="s">
        <v>5</v>
      </c>
      <c r="K173" t="s">
        <v>6</v>
      </c>
      <c r="L173" t="s">
        <v>89</v>
      </c>
      <c r="M173" t="s">
        <v>8</v>
      </c>
    </row>
    <row r="174" spans="1:13" x14ac:dyDescent="0.25">
      <c r="A174" t="s">
        <v>0</v>
      </c>
      <c r="B174" t="s">
        <v>248</v>
      </c>
      <c r="C174" t="s">
        <v>258</v>
      </c>
      <c r="D174" s="2">
        <v>36000</v>
      </c>
      <c r="E174" s="2">
        <v>33533</v>
      </c>
      <c r="F174" s="2">
        <v>2467</v>
      </c>
      <c r="G174" s="3">
        <v>2</v>
      </c>
      <c r="H174" t="s">
        <v>3</v>
      </c>
      <c r="I174" t="s">
        <v>250</v>
      </c>
      <c r="J174" t="s">
        <v>5</v>
      </c>
      <c r="K174" t="s">
        <v>6</v>
      </c>
      <c r="L174" t="s">
        <v>89</v>
      </c>
      <c r="M174" t="s">
        <v>8</v>
      </c>
    </row>
    <row r="175" spans="1:13" x14ac:dyDescent="0.25">
      <c r="A175" t="s">
        <v>0</v>
      </c>
      <c r="B175" t="s">
        <v>83</v>
      </c>
      <c r="C175" t="s">
        <v>90</v>
      </c>
      <c r="D175" s="2">
        <v>5417000</v>
      </c>
      <c r="E175" s="2">
        <v>4789443.05</v>
      </c>
      <c r="F175" s="2">
        <v>627556.94999999995</v>
      </c>
      <c r="G175" s="3">
        <v>2</v>
      </c>
      <c r="H175" t="s">
        <v>3</v>
      </c>
      <c r="I175" t="s">
        <v>85</v>
      </c>
      <c r="J175" t="s">
        <v>5</v>
      </c>
      <c r="K175" t="s">
        <v>6</v>
      </c>
      <c r="L175" t="s">
        <v>91</v>
      </c>
      <c r="M175" t="s">
        <v>8</v>
      </c>
    </row>
    <row r="176" spans="1:13" x14ac:dyDescent="0.25">
      <c r="A176" t="s">
        <v>0</v>
      </c>
      <c r="B176" t="s">
        <v>135</v>
      </c>
      <c r="C176" t="s">
        <v>735</v>
      </c>
      <c r="D176" s="2">
        <v>28900</v>
      </c>
      <c r="E176" s="2">
        <v>0</v>
      </c>
      <c r="F176" s="2">
        <v>28900</v>
      </c>
      <c r="G176" s="3">
        <v>1</v>
      </c>
      <c r="H176" t="s">
        <v>3</v>
      </c>
      <c r="I176" t="s">
        <v>137</v>
      </c>
      <c r="J176" t="s">
        <v>5</v>
      </c>
      <c r="K176" t="s">
        <v>6</v>
      </c>
      <c r="L176" t="s">
        <v>91</v>
      </c>
      <c r="M176" t="s">
        <v>8</v>
      </c>
    </row>
    <row r="177" spans="1:13" x14ac:dyDescent="0.25">
      <c r="A177" t="s">
        <v>0</v>
      </c>
      <c r="B177" t="s">
        <v>143</v>
      </c>
      <c r="C177" t="s">
        <v>736</v>
      </c>
      <c r="D177" s="2">
        <v>54000</v>
      </c>
      <c r="E177" s="2">
        <v>8842.15</v>
      </c>
      <c r="F177" s="2">
        <v>45157.85</v>
      </c>
      <c r="G177" s="3">
        <v>2</v>
      </c>
      <c r="H177" t="s">
        <v>3</v>
      </c>
      <c r="I177" t="s">
        <v>145</v>
      </c>
      <c r="J177" t="s">
        <v>5</v>
      </c>
      <c r="K177" t="s">
        <v>6</v>
      </c>
      <c r="L177" t="s">
        <v>91</v>
      </c>
      <c r="M177" t="s">
        <v>8</v>
      </c>
    </row>
    <row r="178" spans="1:13" x14ac:dyDescent="0.25">
      <c r="A178" t="s">
        <v>0</v>
      </c>
      <c r="B178" t="s">
        <v>151</v>
      </c>
      <c r="C178" t="s">
        <v>737</v>
      </c>
      <c r="D178" s="2">
        <v>31100</v>
      </c>
      <c r="E178" s="2">
        <v>0</v>
      </c>
      <c r="F178" s="2">
        <v>31100</v>
      </c>
      <c r="G178" s="3">
        <v>1</v>
      </c>
      <c r="H178" t="s">
        <v>3</v>
      </c>
      <c r="I178" t="s">
        <v>153</v>
      </c>
      <c r="J178" t="s">
        <v>5</v>
      </c>
      <c r="K178" t="s">
        <v>6</v>
      </c>
      <c r="L178" t="s">
        <v>91</v>
      </c>
      <c r="M178" t="s">
        <v>8</v>
      </c>
    </row>
    <row r="179" spans="1:13" x14ac:dyDescent="0.25">
      <c r="A179" t="s">
        <v>0</v>
      </c>
      <c r="B179" t="s">
        <v>179</v>
      </c>
      <c r="C179" t="s">
        <v>738</v>
      </c>
      <c r="D179" s="2">
        <v>36100</v>
      </c>
      <c r="E179" s="2">
        <v>0</v>
      </c>
      <c r="F179" s="2">
        <v>36100</v>
      </c>
      <c r="G179" s="3">
        <v>1</v>
      </c>
      <c r="H179" t="s">
        <v>3</v>
      </c>
      <c r="I179" t="s">
        <v>181</v>
      </c>
      <c r="J179" t="s">
        <v>5</v>
      </c>
      <c r="K179" t="s">
        <v>6</v>
      </c>
      <c r="L179" t="s">
        <v>91</v>
      </c>
      <c r="M179" t="s">
        <v>8</v>
      </c>
    </row>
    <row r="180" spans="1:13" x14ac:dyDescent="0.25">
      <c r="A180" t="s">
        <v>0</v>
      </c>
      <c r="B180" t="s">
        <v>214</v>
      </c>
      <c r="C180" t="s">
        <v>568</v>
      </c>
      <c r="D180" s="2">
        <v>50000</v>
      </c>
      <c r="E180" s="2">
        <v>0</v>
      </c>
      <c r="F180" s="2">
        <v>50000</v>
      </c>
      <c r="G180" s="3">
        <v>1</v>
      </c>
      <c r="H180" t="s">
        <v>3</v>
      </c>
      <c r="I180" t="s">
        <v>216</v>
      </c>
      <c r="J180" t="s">
        <v>5</v>
      </c>
      <c r="K180" t="s">
        <v>6</v>
      </c>
      <c r="L180" t="s">
        <v>91</v>
      </c>
      <c r="M180" t="s">
        <v>8</v>
      </c>
    </row>
    <row r="181" spans="1:13" x14ac:dyDescent="0.25">
      <c r="A181" t="s">
        <v>0</v>
      </c>
      <c r="B181" t="s">
        <v>83</v>
      </c>
      <c r="C181" t="s">
        <v>92</v>
      </c>
      <c r="D181" s="2">
        <v>4296000</v>
      </c>
      <c r="E181" s="2">
        <v>3397344</v>
      </c>
      <c r="F181" s="2">
        <v>898656</v>
      </c>
      <c r="G181" s="3">
        <v>2</v>
      </c>
      <c r="H181" t="s">
        <v>3</v>
      </c>
      <c r="I181" t="s">
        <v>85</v>
      </c>
      <c r="J181" t="s">
        <v>5</v>
      </c>
      <c r="K181" t="s">
        <v>6</v>
      </c>
      <c r="L181" t="s">
        <v>93</v>
      </c>
      <c r="M181" t="s">
        <v>8</v>
      </c>
    </row>
    <row r="182" spans="1:13" x14ac:dyDescent="0.25">
      <c r="A182" t="s">
        <v>0</v>
      </c>
      <c r="B182" t="s">
        <v>214</v>
      </c>
      <c r="C182" t="s">
        <v>225</v>
      </c>
      <c r="D182" s="2">
        <v>37900</v>
      </c>
      <c r="E182" s="2">
        <v>37900</v>
      </c>
      <c r="F182" s="2">
        <v>0</v>
      </c>
      <c r="G182" s="3">
        <v>2</v>
      </c>
      <c r="H182" t="s">
        <v>3</v>
      </c>
      <c r="I182" t="s">
        <v>216</v>
      </c>
      <c r="J182" t="s">
        <v>5</v>
      </c>
      <c r="K182" t="s">
        <v>6</v>
      </c>
      <c r="L182" t="s">
        <v>93</v>
      </c>
      <c r="M182" t="s">
        <v>8</v>
      </c>
    </row>
    <row r="183" spans="1:13" x14ac:dyDescent="0.25">
      <c r="A183" t="s">
        <v>0</v>
      </c>
      <c r="B183" t="s">
        <v>259</v>
      </c>
      <c r="C183" t="s">
        <v>267</v>
      </c>
      <c r="D183" s="2">
        <v>13500</v>
      </c>
      <c r="E183" s="2">
        <v>11166.9</v>
      </c>
      <c r="F183" s="2">
        <v>2333.1</v>
      </c>
      <c r="G183" s="3">
        <v>2</v>
      </c>
      <c r="H183" t="s">
        <v>3</v>
      </c>
      <c r="I183" t="s">
        <v>261</v>
      </c>
      <c r="J183" t="s">
        <v>5</v>
      </c>
      <c r="K183" t="s">
        <v>6</v>
      </c>
      <c r="L183" t="s">
        <v>93</v>
      </c>
      <c r="M183" t="s">
        <v>8</v>
      </c>
    </row>
    <row r="184" spans="1:13" x14ac:dyDescent="0.25">
      <c r="A184" t="s">
        <v>0</v>
      </c>
      <c r="B184" t="s">
        <v>1</v>
      </c>
      <c r="C184" t="s">
        <v>2</v>
      </c>
      <c r="D184" s="2">
        <v>73000</v>
      </c>
      <c r="E184" s="2">
        <v>0</v>
      </c>
      <c r="F184" s="2">
        <v>73000</v>
      </c>
      <c r="G184" s="3">
        <v>1</v>
      </c>
      <c r="H184" t="s">
        <v>3</v>
      </c>
      <c r="I184" t="s">
        <v>4</v>
      </c>
      <c r="J184" t="s">
        <v>5</v>
      </c>
      <c r="K184" t="s">
        <v>6</v>
      </c>
      <c r="L184" t="s">
        <v>7</v>
      </c>
      <c r="M184" t="s">
        <v>8</v>
      </c>
    </row>
    <row r="185" spans="1:13" x14ac:dyDescent="0.25">
      <c r="A185" t="s">
        <v>0</v>
      </c>
      <c r="B185" t="s">
        <v>143</v>
      </c>
      <c r="C185" t="s">
        <v>739</v>
      </c>
      <c r="D185" s="2">
        <v>10000</v>
      </c>
      <c r="E185" s="2">
        <v>2920</v>
      </c>
      <c r="F185" s="2">
        <v>7080</v>
      </c>
      <c r="G185" s="3">
        <v>2</v>
      </c>
      <c r="H185" t="s">
        <v>3</v>
      </c>
      <c r="I185" t="s">
        <v>145</v>
      </c>
      <c r="J185" t="s">
        <v>5</v>
      </c>
      <c r="K185" t="s">
        <v>6</v>
      </c>
      <c r="L185" t="s">
        <v>7</v>
      </c>
      <c r="M185" t="s">
        <v>8</v>
      </c>
    </row>
    <row r="186" spans="1:13" x14ac:dyDescent="0.25">
      <c r="A186" t="s">
        <v>0</v>
      </c>
      <c r="B186" t="s">
        <v>159</v>
      </c>
      <c r="C186" t="s">
        <v>169</v>
      </c>
      <c r="D186" s="2">
        <v>10000</v>
      </c>
      <c r="E186" s="2">
        <v>9215</v>
      </c>
      <c r="F186" s="2">
        <v>785</v>
      </c>
      <c r="G186" s="3">
        <v>2</v>
      </c>
      <c r="H186" t="s">
        <v>3</v>
      </c>
      <c r="I186" t="s">
        <v>161</v>
      </c>
      <c r="J186" t="s">
        <v>5</v>
      </c>
      <c r="K186" t="s">
        <v>6</v>
      </c>
      <c r="L186" t="s">
        <v>7</v>
      </c>
      <c r="M186" t="s">
        <v>8</v>
      </c>
    </row>
    <row r="187" spans="1:13" x14ac:dyDescent="0.25">
      <c r="A187" t="s">
        <v>0</v>
      </c>
      <c r="B187" t="s">
        <v>179</v>
      </c>
      <c r="C187" t="s">
        <v>740</v>
      </c>
      <c r="D187" s="2">
        <v>10000</v>
      </c>
      <c r="E187" s="2">
        <v>2990</v>
      </c>
      <c r="F187" s="2">
        <v>7010</v>
      </c>
      <c r="G187" s="3">
        <v>2</v>
      </c>
      <c r="H187" t="s">
        <v>3</v>
      </c>
      <c r="I187" t="s">
        <v>181</v>
      </c>
      <c r="J187" t="s">
        <v>5</v>
      </c>
      <c r="K187" t="s">
        <v>6</v>
      </c>
      <c r="L187" t="s">
        <v>7</v>
      </c>
      <c r="M187" t="s">
        <v>8</v>
      </c>
    </row>
    <row r="188" spans="1:13" x14ac:dyDescent="0.25">
      <c r="A188" t="s">
        <v>0</v>
      </c>
      <c r="B188" t="s">
        <v>189</v>
      </c>
      <c r="C188" t="s">
        <v>741</v>
      </c>
      <c r="D188" s="2">
        <v>8000</v>
      </c>
      <c r="E188" s="2">
        <v>0</v>
      </c>
      <c r="F188" s="2">
        <v>8000</v>
      </c>
      <c r="G188" s="3">
        <v>1</v>
      </c>
      <c r="H188" t="s">
        <v>3</v>
      </c>
      <c r="I188" t="s">
        <v>191</v>
      </c>
      <c r="J188" t="s">
        <v>5</v>
      </c>
      <c r="K188" t="s">
        <v>6</v>
      </c>
      <c r="L188" t="s">
        <v>7</v>
      </c>
      <c r="M188" t="s">
        <v>8</v>
      </c>
    </row>
    <row r="189" spans="1:13" x14ac:dyDescent="0.25">
      <c r="A189" t="s">
        <v>0</v>
      </c>
      <c r="B189" t="s">
        <v>206</v>
      </c>
      <c r="C189" t="s">
        <v>742</v>
      </c>
      <c r="D189" s="2">
        <v>10000</v>
      </c>
      <c r="E189" s="2">
        <v>6466</v>
      </c>
      <c r="F189" s="2">
        <v>3534</v>
      </c>
      <c r="G189" s="3">
        <v>2</v>
      </c>
      <c r="H189" t="s">
        <v>3</v>
      </c>
      <c r="I189" t="s">
        <v>208</v>
      </c>
      <c r="J189" t="s">
        <v>5</v>
      </c>
      <c r="K189" t="s">
        <v>6</v>
      </c>
      <c r="L189" t="s">
        <v>7</v>
      </c>
      <c r="M189" t="s">
        <v>8</v>
      </c>
    </row>
    <row r="190" spans="1:13" x14ac:dyDescent="0.25">
      <c r="A190" t="s">
        <v>0</v>
      </c>
      <c r="B190" t="s">
        <v>226</v>
      </c>
      <c r="C190" t="s">
        <v>743</v>
      </c>
      <c r="D190" s="2">
        <v>12000</v>
      </c>
      <c r="E190" s="2">
        <v>5097.6000000000004</v>
      </c>
      <c r="F190" s="2">
        <v>6902.4</v>
      </c>
      <c r="G190" s="3">
        <v>2</v>
      </c>
      <c r="H190" t="s">
        <v>3</v>
      </c>
      <c r="I190" t="s">
        <v>228</v>
      </c>
      <c r="J190" t="s">
        <v>5</v>
      </c>
      <c r="K190" t="s">
        <v>6</v>
      </c>
      <c r="L190" t="s">
        <v>7</v>
      </c>
      <c r="M190" t="s">
        <v>8</v>
      </c>
    </row>
    <row r="191" spans="1:13" x14ac:dyDescent="0.25">
      <c r="A191" t="s">
        <v>0</v>
      </c>
      <c r="B191" t="s">
        <v>744</v>
      </c>
      <c r="C191" t="s">
        <v>745</v>
      </c>
      <c r="D191" s="2">
        <v>10192000</v>
      </c>
      <c r="E191" s="2">
        <v>0</v>
      </c>
      <c r="F191" s="2">
        <v>10192000</v>
      </c>
      <c r="G191" s="3">
        <v>1</v>
      </c>
      <c r="H191" t="s">
        <v>3</v>
      </c>
      <c r="I191" t="s">
        <v>746</v>
      </c>
      <c r="J191" t="s">
        <v>5</v>
      </c>
      <c r="K191" t="s">
        <v>6</v>
      </c>
      <c r="L191" t="s">
        <v>747</v>
      </c>
      <c r="M191" t="s">
        <v>8</v>
      </c>
    </row>
    <row r="192" spans="1:13" x14ac:dyDescent="0.25">
      <c r="A192" t="s">
        <v>276</v>
      </c>
      <c r="B192" t="s">
        <v>277</v>
      </c>
      <c r="C192" t="s">
        <v>3</v>
      </c>
      <c r="D192" s="2">
        <v>2295000</v>
      </c>
      <c r="E192" s="2">
        <v>810312.52</v>
      </c>
      <c r="F192" s="2">
        <v>1484687.48</v>
      </c>
      <c r="G192" s="3">
        <v>2</v>
      </c>
      <c r="H192" t="s">
        <v>3</v>
      </c>
      <c r="I192" t="s">
        <v>278</v>
      </c>
      <c r="J192" t="s">
        <v>279</v>
      </c>
      <c r="K192" t="s">
        <v>280</v>
      </c>
      <c r="L192" t="s">
        <v>3</v>
      </c>
      <c r="M192" t="s">
        <v>8</v>
      </c>
    </row>
    <row r="193" spans="1:13" x14ac:dyDescent="0.25">
      <c r="A193" t="s">
        <v>276</v>
      </c>
      <c r="B193" t="s">
        <v>1</v>
      </c>
      <c r="C193" t="s">
        <v>3</v>
      </c>
      <c r="D193" s="2">
        <v>516000</v>
      </c>
      <c r="E193" s="2">
        <v>257166.25</v>
      </c>
      <c r="F193" s="2">
        <v>258833.75</v>
      </c>
      <c r="G193" s="3">
        <v>2</v>
      </c>
      <c r="H193" t="s">
        <v>3</v>
      </c>
      <c r="I193" t="s">
        <v>4</v>
      </c>
      <c r="J193" t="s">
        <v>279</v>
      </c>
      <c r="K193" t="s">
        <v>280</v>
      </c>
      <c r="L193" t="s">
        <v>3</v>
      </c>
      <c r="M193" t="s">
        <v>8</v>
      </c>
    </row>
    <row r="194" spans="1:13" x14ac:dyDescent="0.25">
      <c r="A194" t="s">
        <v>276</v>
      </c>
      <c r="B194" t="s">
        <v>293</v>
      </c>
      <c r="C194" t="s">
        <v>3</v>
      </c>
      <c r="D194" s="2">
        <v>532500</v>
      </c>
      <c r="E194" s="2">
        <v>228763.27</v>
      </c>
      <c r="F194" s="2">
        <v>303736.73</v>
      </c>
      <c r="G194" s="3">
        <v>2</v>
      </c>
      <c r="H194" t="s">
        <v>3</v>
      </c>
      <c r="I194" t="s">
        <v>294</v>
      </c>
      <c r="J194" t="s">
        <v>279</v>
      </c>
      <c r="K194" t="s">
        <v>280</v>
      </c>
      <c r="L194" t="s">
        <v>3</v>
      </c>
      <c r="M194" t="s">
        <v>8</v>
      </c>
    </row>
    <row r="195" spans="1:13" x14ac:dyDescent="0.25">
      <c r="A195" t="s">
        <v>276</v>
      </c>
      <c r="B195" t="s">
        <v>295</v>
      </c>
      <c r="C195" t="s">
        <v>3</v>
      </c>
      <c r="D195" s="2">
        <v>4380000</v>
      </c>
      <c r="E195" s="2">
        <v>1034666.37</v>
      </c>
      <c r="F195" s="2">
        <v>3345333.63</v>
      </c>
      <c r="G195" s="3">
        <v>2</v>
      </c>
      <c r="H195" t="s">
        <v>3</v>
      </c>
      <c r="I195" t="s">
        <v>296</v>
      </c>
      <c r="J195" t="s">
        <v>279</v>
      </c>
      <c r="K195" t="s">
        <v>280</v>
      </c>
      <c r="L195" t="s">
        <v>3</v>
      </c>
      <c r="M195" t="s">
        <v>8</v>
      </c>
    </row>
    <row r="196" spans="1:13" x14ac:dyDescent="0.25">
      <c r="A196" t="s">
        <v>276</v>
      </c>
      <c r="B196" t="s">
        <v>329</v>
      </c>
      <c r="C196" t="s">
        <v>3</v>
      </c>
      <c r="D196" s="2">
        <v>1669000</v>
      </c>
      <c r="E196" s="2">
        <v>883860.53</v>
      </c>
      <c r="F196" s="2">
        <v>785139.47</v>
      </c>
      <c r="G196" s="3">
        <v>2</v>
      </c>
      <c r="H196" t="s">
        <v>3</v>
      </c>
      <c r="I196" t="s">
        <v>330</v>
      </c>
      <c r="J196" t="s">
        <v>279</v>
      </c>
      <c r="K196" t="s">
        <v>280</v>
      </c>
      <c r="L196" t="s">
        <v>3</v>
      </c>
      <c r="M196" t="s">
        <v>8</v>
      </c>
    </row>
    <row r="197" spans="1:13" x14ac:dyDescent="0.25">
      <c r="A197" t="s">
        <v>276</v>
      </c>
      <c r="B197" t="s">
        <v>333</v>
      </c>
      <c r="C197" t="s">
        <v>3</v>
      </c>
      <c r="D197" s="2">
        <v>916000</v>
      </c>
      <c r="E197" s="2">
        <v>456766.11</v>
      </c>
      <c r="F197" s="2">
        <v>459233.89</v>
      </c>
      <c r="G197" s="3">
        <v>2</v>
      </c>
      <c r="H197" t="s">
        <v>3</v>
      </c>
      <c r="I197" t="s">
        <v>334</v>
      </c>
      <c r="J197" t="s">
        <v>279</v>
      </c>
      <c r="K197" t="s">
        <v>280</v>
      </c>
      <c r="L197" t="s">
        <v>3</v>
      </c>
      <c r="M197" t="s">
        <v>8</v>
      </c>
    </row>
    <row r="198" spans="1:13" x14ac:dyDescent="0.25">
      <c r="A198" t="s">
        <v>276</v>
      </c>
      <c r="B198" t="s">
        <v>341</v>
      </c>
      <c r="C198" t="s">
        <v>3</v>
      </c>
      <c r="D198" s="2">
        <v>568000</v>
      </c>
      <c r="E198" s="2">
        <v>297795.09999999998</v>
      </c>
      <c r="F198" s="2">
        <v>270204.90000000002</v>
      </c>
      <c r="G198" s="3">
        <v>2</v>
      </c>
      <c r="H198" t="s">
        <v>3</v>
      </c>
      <c r="I198" t="s">
        <v>342</v>
      </c>
      <c r="J198" t="s">
        <v>279</v>
      </c>
      <c r="K198" t="s">
        <v>280</v>
      </c>
      <c r="L198" t="s">
        <v>3</v>
      </c>
      <c r="M198" t="s">
        <v>8</v>
      </c>
    </row>
    <row r="199" spans="1:13" x14ac:dyDescent="0.25">
      <c r="A199" t="s">
        <v>276</v>
      </c>
      <c r="B199" t="s">
        <v>9</v>
      </c>
      <c r="C199" t="s">
        <v>3</v>
      </c>
      <c r="D199" s="2">
        <v>1083000</v>
      </c>
      <c r="E199" s="2">
        <v>509087.24</v>
      </c>
      <c r="F199" s="2">
        <v>573912.76</v>
      </c>
      <c r="G199" s="3">
        <v>2</v>
      </c>
      <c r="H199" t="s">
        <v>3</v>
      </c>
      <c r="I199" t="s">
        <v>11</v>
      </c>
      <c r="J199" t="s">
        <v>279</v>
      </c>
      <c r="K199" t="s">
        <v>280</v>
      </c>
      <c r="L199" t="s">
        <v>3</v>
      </c>
      <c r="M199" t="s">
        <v>8</v>
      </c>
    </row>
    <row r="200" spans="1:13" x14ac:dyDescent="0.25">
      <c r="A200" t="s">
        <v>276</v>
      </c>
      <c r="B200" t="s">
        <v>13</v>
      </c>
      <c r="C200" t="s">
        <v>3</v>
      </c>
      <c r="D200" s="2">
        <v>990000</v>
      </c>
      <c r="E200" s="2">
        <v>497084.25</v>
      </c>
      <c r="F200" s="2">
        <v>492915.75</v>
      </c>
      <c r="G200" s="3">
        <v>2</v>
      </c>
      <c r="H200" t="s">
        <v>3</v>
      </c>
      <c r="I200" t="s">
        <v>15</v>
      </c>
      <c r="J200" t="s">
        <v>279</v>
      </c>
      <c r="K200" t="s">
        <v>280</v>
      </c>
      <c r="L200" t="s">
        <v>3</v>
      </c>
      <c r="M200" t="s">
        <v>8</v>
      </c>
    </row>
    <row r="201" spans="1:13" x14ac:dyDescent="0.25">
      <c r="A201" t="s">
        <v>276</v>
      </c>
      <c r="B201" t="s">
        <v>19</v>
      </c>
      <c r="C201" t="s">
        <v>3</v>
      </c>
      <c r="D201" s="2">
        <v>713000</v>
      </c>
      <c r="E201" s="2">
        <v>368310.16</v>
      </c>
      <c r="F201" s="2">
        <v>344689.84</v>
      </c>
      <c r="G201" s="3">
        <v>2</v>
      </c>
      <c r="H201" t="s">
        <v>3</v>
      </c>
      <c r="I201" t="s">
        <v>21</v>
      </c>
      <c r="J201" t="s">
        <v>279</v>
      </c>
      <c r="K201" t="s">
        <v>280</v>
      </c>
      <c r="L201" t="s">
        <v>3</v>
      </c>
      <c r="M201" t="s">
        <v>8</v>
      </c>
    </row>
    <row r="202" spans="1:13" x14ac:dyDescent="0.25">
      <c r="A202" t="s">
        <v>276</v>
      </c>
      <c r="B202" t="s">
        <v>31</v>
      </c>
      <c r="C202" t="s">
        <v>3</v>
      </c>
      <c r="D202" s="2">
        <v>609000</v>
      </c>
      <c r="E202" s="2">
        <v>318274.7</v>
      </c>
      <c r="F202" s="2">
        <v>290725.3</v>
      </c>
      <c r="G202" s="3">
        <v>2</v>
      </c>
      <c r="H202" t="s">
        <v>3</v>
      </c>
      <c r="I202" t="s">
        <v>33</v>
      </c>
      <c r="J202" t="s">
        <v>279</v>
      </c>
      <c r="K202" t="s">
        <v>280</v>
      </c>
      <c r="L202" t="s">
        <v>3</v>
      </c>
      <c r="M202" t="s">
        <v>8</v>
      </c>
    </row>
    <row r="203" spans="1:13" x14ac:dyDescent="0.25">
      <c r="A203" t="s">
        <v>276</v>
      </c>
      <c r="B203" t="s">
        <v>41</v>
      </c>
      <c r="C203" t="s">
        <v>3</v>
      </c>
      <c r="D203" s="2">
        <v>337000</v>
      </c>
      <c r="E203" s="2">
        <v>176253.33</v>
      </c>
      <c r="F203" s="2">
        <v>160746.67000000001</v>
      </c>
      <c r="G203" s="3">
        <v>2</v>
      </c>
      <c r="H203" t="s">
        <v>3</v>
      </c>
      <c r="I203" t="s">
        <v>43</v>
      </c>
      <c r="J203" t="s">
        <v>279</v>
      </c>
      <c r="K203" t="s">
        <v>280</v>
      </c>
      <c r="L203" t="s">
        <v>3</v>
      </c>
      <c r="M203" t="s">
        <v>8</v>
      </c>
    </row>
    <row r="204" spans="1:13" x14ac:dyDescent="0.25">
      <c r="A204" t="s">
        <v>276</v>
      </c>
      <c r="B204" t="s">
        <v>50</v>
      </c>
      <c r="C204" t="s">
        <v>3</v>
      </c>
      <c r="D204" s="2">
        <v>2070000</v>
      </c>
      <c r="E204" s="2">
        <v>1028444.63</v>
      </c>
      <c r="F204" s="2">
        <v>1041555.37</v>
      </c>
      <c r="G204" s="3">
        <v>2</v>
      </c>
      <c r="H204" t="s">
        <v>3</v>
      </c>
      <c r="I204" t="s">
        <v>52</v>
      </c>
      <c r="J204" t="s">
        <v>279</v>
      </c>
      <c r="K204" t="s">
        <v>280</v>
      </c>
      <c r="L204" t="s">
        <v>3</v>
      </c>
      <c r="M204" t="s">
        <v>8</v>
      </c>
    </row>
    <row r="205" spans="1:13" x14ac:dyDescent="0.25">
      <c r="A205" t="s">
        <v>276</v>
      </c>
      <c r="B205" t="s">
        <v>58</v>
      </c>
      <c r="C205" t="s">
        <v>3</v>
      </c>
      <c r="D205" s="2">
        <v>1352000</v>
      </c>
      <c r="E205" s="2">
        <v>766682.53</v>
      </c>
      <c r="F205" s="2">
        <v>585317.47</v>
      </c>
      <c r="G205" s="3">
        <v>2</v>
      </c>
      <c r="H205" t="s">
        <v>3</v>
      </c>
      <c r="I205" t="s">
        <v>60</v>
      </c>
      <c r="J205" t="s">
        <v>279</v>
      </c>
      <c r="K205" t="s">
        <v>280</v>
      </c>
      <c r="L205" t="s">
        <v>3</v>
      </c>
      <c r="M205" t="s">
        <v>8</v>
      </c>
    </row>
    <row r="206" spans="1:13" x14ac:dyDescent="0.25">
      <c r="A206" t="s">
        <v>276</v>
      </c>
      <c r="B206" t="s">
        <v>363</v>
      </c>
      <c r="C206" t="s">
        <v>3</v>
      </c>
      <c r="D206" s="2">
        <v>82000</v>
      </c>
      <c r="E206" s="2">
        <v>0</v>
      </c>
      <c r="F206" s="2">
        <v>82000</v>
      </c>
      <c r="G206" s="3">
        <v>1</v>
      </c>
      <c r="H206" t="s">
        <v>3</v>
      </c>
      <c r="I206" t="s">
        <v>364</v>
      </c>
      <c r="J206" t="s">
        <v>279</v>
      </c>
      <c r="K206" t="s">
        <v>280</v>
      </c>
      <c r="L206" t="s">
        <v>3</v>
      </c>
      <c r="M206" t="s">
        <v>8</v>
      </c>
    </row>
    <row r="207" spans="1:13" x14ac:dyDescent="0.25">
      <c r="A207" t="s">
        <v>276</v>
      </c>
      <c r="B207" t="s">
        <v>77</v>
      </c>
      <c r="C207" t="s">
        <v>3</v>
      </c>
      <c r="D207" s="2">
        <v>2199000</v>
      </c>
      <c r="E207" s="2">
        <v>631808.86</v>
      </c>
      <c r="F207" s="2">
        <v>1567191.14</v>
      </c>
      <c r="G207" s="3">
        <v>2</v>
      </c>
      <c r="H207" t="s">
        <v>3</v>
      </c>
      <c r="I207" t="s">
        <v>79</v>
      </c>
      <c r="J207" t="s">
        <v>279</v>
      </c>
      <c r="K207" t="s">
        <v>280</v>
      </c>
      <c r="L207" t="s">
        <v>3</v>
      </c>
      <c r="M207" t="s">
        <v>8</v>
      </c>
    </row>
    <row r="208" spans="1:13" x14ac:dyDescent="0.25">
      <c r="A208" t="s">
        <v>276</v>
      </c>
      <c r="B208" t="s">
        <v>83</v>
      </c>
      <c r="C208" t="s">
        <v>3</v>
      </c>
      <c r="D208" s="2">
        <v>86000</v>
      </c>
      <c r="E208" s="2">
        <v>42667.13</v>
      </c>
      <c r="F208" s="2">
        <v>43332.87</v>
      </c>
      <c r="G208" s="3">
        <v>2</v>
      </c>
      <c r="H208" t="s">
        <v>3</v>
      </c>
      <c r="I208" t="s">
        <v>85</v>
      </c>
      <c r="J208" t="s">
        <v>279</v>
      </c>
      <c r="K208" t="s">
        <v>280</v>
      </c>
      <c r="L208" t="s">
        <v>3</v>
      </c>
      <c r="M208" t="s">
        <v>8</v>
      </c>
    </row>
    <row r="209" spans="1:13" x14ac:dyDescent="0.25">
      <c r="A209" t="s">
        <v>276</v>
      </c>
      <c r="B209" t="s">
        <v>94</v>
      </c>
      <c r="C209" t="s">
        <v>3</v>
      </c>
      <c r="D209" s="2">
        <v>1237000</v>
      </c>
      <c r="E209" s="2">
        <v>574832.72</v>
      </c>
      <c r="F209" s="2">
        <v>662167.28</v>
      </c>
      <c r="G209" s="3">
        <v>2</v>
      </c>
      <c r="H209" t="s">
        <v>3</v>
      </c>
      <c r="I209" t="s">
        <v>96</v>
      </c>
      <c r="J209" t="s">
        <v>279</v>
      </c>
      <c r="K209" t="s">
        <v>280</v>
      </c>
      <c r="L209" t="s">
        <v>3</v>
      </c>
      <c r="M209" t="s">
        <v>8</v>
      </c>
    </row>
    <row r="210" spans="1:13" x14ac:dyDescent="0.25">
      <c r="A210" t="s">
        <v>276</v>
      </c>
      <c r="B210" t="s">
        <v>101</v>
      </c>
      <c r="C210" t="s">
        <v>3</v>
      </c>
      <c r="D210" s="2">
        <v>711000</v>
      </c>
      <c r="E210" s="2">
        <v>451269.59</v>
      </c>
      <c r="F210" s="2">
        <v>259730.41</v>
      </c>
      <c r="G210" s="3">
        <v>2</v>
      </c>
      <c r="H210" t="s">
        <v>3</v>
      </c>
      <c r="I210" t="s">
        <v>103</v>
      </c>
      <c r="J210" t="s">
        <v>279</v>
      </c>
      <c r="K210" t="s">
        <v>280</v>
      </c>
      <c r="L210" t="s">
        <v>3</v>
      </c>
      <c r="M210" t="s">
        <v>8</v>
      </c>
    </row>
    <row r="211" spans="1:13" x14ac:dyDescent="0.25">
      <c r="A211" t="s">
        <v>276</v>
      </c>
      <c r="B211" t="s">
        <v>110</v>
      </c>
      <c r="C211" t="s">
        <v>3</v>
      </c>
      <c r="D211" s="2">
        <v>357700</v>
      </c>
      <c r="E211" s="2">
        <v>204224.82</v>
      </c>
      <c r="F211" s="2">
        <v>153475.18</v>
      </c>
      <c r="G211" s="3">
        <v>2</v>
      </c>
      <c r="H211" t="s">
        <v>3</v>
      </c>
      <c r="I211" t="s">
        <v>112</v>
      </c>
      <c r="J211" t="s">
        <v>279</v>
      </c>
      <c r="K211" t="s">
        <v>280</v>
      </c>
      <c r="L211" t="s">
        <v>3</v>
      </c>
      <c r="M211" t="s">
        <v>8</v>
      </c>
    </row>
    <row r="212" spans="1:13" x14ac:dyDescent="0.25">
      <c r="A212" t="s">
        <v>276</v>
      </c>
      <c r="B212" t="s">
        <v>119</v>
      </c>
      <c r="C212" t="s">
        <v>3</v>
      </c>
      <c r="D212" s="2">
        <v>910200</v>
      </c>
      <c r="E212" s="2">
        <v>510619.62</v>
      </c>
      <c r="F212" s="2">
        <v>399580.38</v>
      </c>
      <c r="G212" s="3">
        <v>2</v>
      </c>
      <c r="H212" t="s">
        <v>3</v>
      </c>
      <c r="I212" t="s">
        <v>121</v>
      </c>
      <c r="J212" t="s">
        <v>279</v>
      </c>
      <c r="K212" t="s">
        <v>280</v>
      </c>
      <c r="L212" t="s">
        <v>3</v>
      </c>
      <c r="M212" t="s">
        <v>8</v>
      </c>
    </row>
    <row r="213" spans="1:13" x14ac:dyDescent="0.25">
      <c r="A213" t="s">
        <v>276</v>
      </c>
      <c r="B213" t="s">
        <v>127</v>
      </c>
      <c r="C213" t="s">
        <v>3</v>
      </c>
      <c r="D213" s="2">
        <v>1256000</v>
      </c>
      <c r="E213" s="2">
        <v>709057.03</v>
      </c>
      <c r="F213" s="2">
        <v>546942.97</v>
      </c>
      <c r="G213" s="3">
        <v>2</v>
      </c>
      <c r="H213" t="s">
        <v>3</v>
      </c>
      <c r="I213" t="s">
        <v>128</v>
      </c>
      <c r="J213" t="s">
        <v>279</v>
      </c>
      <c r="K213" t="s">
        <v>280</v>
      </c>
      <c r="L213" t="s">
        <v>3</v>
      </c>
      <c r="M213" t="s">
        <v>8</v>
      </c>
    </row>
    <row r="214" spans="1:13" x14ac:dyDescent="0.25">
      <c r="A214" t="s">
        <v>276</v>
      </c>
      <c r="B214" t="s">
        <v>135</v>
      </c>
      <c r="C214" t="s">
        <v>3</v>
      </c>
      <c r="D214" s="2">
        <v>998500</v>
      </c>
      <c r="E214" s="2">
        <v>582323.87</v>
      </c>
      <c r="F214" s="2">
        <v>416176.13</v>
      </c>
      <c r="G214" s="3">
        <v>2</v>
      </c>
      <c r="H214" t="s">
        <v>3</v>
      </c>
      <c r="I214" t="s">
        <v>137</v>
      </c>
      <c r="J214" t="s">
        <v>279</v>
      </c>
      <c r="K214" t="s">
        <v>280</v>
      </c>
      <c r="L214" t="s">
        <v>3</v>
      </c>
      <c r="M214" t="s">
        <v>8</v>
      </c>
    </row>
    <row r="215" spans="1:13" x14ac:dyDescent="0.25">
      <c r="A215" t="s">
        <v>276</v>
      </c>
      <c r="B215" t="s">
        <v>143</v>
      </c>
      <c r="C215" t="s">
        <v>3</v>
      </c>
      <c r="D215" s="2">
        <v>1313600</v>
      </c>
      <c r="E215" s="2">
        <v>691234.67</v>
      </c>
      <c r="F215" s="2">
        <v>622365.32999999996</v>
      </c>
      <c r="G215" s="3">
        <v>2</v>
      </c>
      <c r="H215" t="s">
        <v>3</v>
      </c>
      <c r="I215" t="s">
        <v>145</v>
      </c>
      <c r="J215" t="s">
        <v>279</v>
      </c>
      <c r="K215" t="s">
        <v>280</v>
      </c>
      <c r="L215" t="s">
        <v>3</v>
      </c>
      <c r="M215" t="s">
        <v>8</v>
      </c>
    </row>
    <row r="216" spans="1:13" x14ac:dyDescent="0.25">
      <c r="A216" t="s">
        <v>276</v>
      </c>
      <c r="B216" t="s">
        <v>151</v>
      </c>
      <c r="C216" t="s">
        <v>3</v>
      </c>
      <c r="D216" s="2">
        <v>1284800</v>
      </c>
      <c r="E216" s="2">
        <v>690439.11</v>
      </c>
      <c r="F216" s="2">
        <v>594360.89</v>
      </c>
      <c r="G216" s="3">
        <v>2</v>
      </c>
      <c r="H216" t="s">
        <v>3</v>
      </c>
      <c r="I216" t="s">
        <v>153</v>
      </c>
      <c r="J216" t="s">
        <v>279</v>
      </c>
      <c r="K216" t="s">
        <v>280</v>
      </c>
      <c r="L216" t="s">
        <v>3</v>
      </c>
      <c r="M216" t="s">
        <v>8</v>
      </c>
    </row>
    <row r="217" spans="1:13" x14ac:dyDescent="0.25">
      <c r="A217" t="s">
        <v>276</v>
      </c>
      <c r="B217" t="s">
        <v>159</v>
      </c>
      <c r="C217" t="s">
        <v>3</v>
      </c>
      <c r="D217" s="2">
        <v>839700</v>
      </c>
      <c r="E217" s="2">
        <v>446613.03</v>
      </c>
      <c r="F217" s="2">
        <v>393086.97</v>
      </c>
      <c r="G217" s="3">
        <v>2</v>
      </c>
      <c r="H217" t="s">
        <v>3</v>
      </c>
      <c r="I217" t="s">
        <v>161</v>
      </c>
      <c r="J217" t="s">
        <v>279</v>
      </c>
      <c r="K217" t="s">
        <v>280</v>
      </c>
      <c r="L217" t="s">
        <v>3</v>
      </c>
      <c r="M217" t="s">
        <v>8</v>
      </c>
    </row>
    <row r="218" spans="1:13" x14ac:dyDescent="0.25">
      <c r="A218" t="s">
        <v>276</v>
      </c>
      <c r="B218" t="s">
        <v>170</v>
      </c>
      <c r="C218" t="s">
        <v>3</v>
      </c>
      <c r="D218" s="2">
        <v>747100</v>
      </c>
      <c r="E218" s="2">
        <v>460756.89</v>
      </c>
      <c r="F218" s="2">
        <v>286343.11</v>
      </c>
      <c r="G218" s="3">
        <v>2</v>
      </c>
      <c r="H218" t="s">
        <v>3</v>
      </c>
      <c r="I218" t="s">
        <v>172</v>
      </c>
      <c r="J218" t="s">
        <v>279</v>
      </c>
      <c r="K218" t="s">
        <v>280</v>
      </c>
      <c r="L218" t="s">
        <v>3</v>
      </c>
      <c r="M218" t="s">
        <v>8</v>
      </c>
    </row>
    <row r="219" spans="1:13" x14ac:dyDescent="0.25">
      <c r="A219" t="s">
        <v>276</v>
      </c>
      <c r="B219" t="s">
        <v>179</v>
      </c>
      <c r="C219" t="s">
        <v>3</v>
      </c>
      <c r="D219" s="2">
        <v>1265200</v>
      </c>
      <c r="E219" s="2">
        <v>724743.8</v>
      </c>
      <c r="F219" s="2">
        <v>540456.19999999995</v>
      </c>
      <c r="G219" s="3">
        <v>2</v>
      </c>
      <c r="H219" t="s">
        <v>3</v>
      </c>
      <c r="I219" t="s">
        <v>181</v>
      </c>
      <c r="J219" t="s">
        <v>279</v>
      </c>
      <c r="K219" t="s">
        <v>280</v>
      </c>
      <c r="L219" t="s">
        <v>3</v>
      </c>
      <c r="M219" t="s">
        <v>8</v>
      </c>
    </row>
    <row r="220" spans="1:13" x14ac:dyDescent="0.25">
      <c r="A220" t="s">
        <v>276</v>
      </c>
      <c r="B220" t="s">
        <v>189</v>
      </c>
      <c r="C220" t="s">
        <v>3</v>
      </c>
      <c r="D220" s="2">
        <v>685800</v>
      </c>
      <c r="E220" s="2">
        <v>378932.21</v>
      </c>
      <c r="F220" s="2">
        <v>306867.78999999998</v>
      </c>
      <c r="G220" s="3">
        <v>2</v>
      </c>
      <c r="H220" t="s">
        <v>3</v>
      </c>
      <c r="I220" t="s">
        <v>191</v>
      </c>
      <c r="J220" t="s">
        <v>279</v>
      </c>
      <c r="K220" t="s">
        <v>280</v>
      </c>
      <c r="L220" t="s">
        <v>3</v>
      </c>
      <c r="M220" t="s">
        <v>8</v>
      </c>
    </row>
    <row r="221" spans="1:13" x14ac:dyDescent="0.25">
      <c r="A221" t="s">
        <v>276</v>
      </c>
      <c r="B221" t="s">
        <v>198</v>
      </c>
      <c r="C221" t="s">
        <v>3</v>
      </c>
      <c r="D221" s="2">
        <v>1032500</v>
      </c>
      <c r="E221" s="2">
        <v>599599.35999999999</v>
      </c>
      <c r="F221" s="2">
        <v>432900.64</v>
      </c>
      <c r="G221" s="3">
        <v>2</v>
      </c>
      <c r="H221" t="s">
        <v>3</v>
      </c>
      <c r="I221" t="s">
        <v>200</v>
      </c>
      <c r="J221" t="s">
        <v>279</v>
      </c>
      <c r="K221" t="s">
        <v>280</v>
      </c>
      <c r="L221" t="s">
        <v>3</v>
      </c>
      <c r="M221" t="s">
        <v>8</v>
      </c>
    </row>
    <row r="222" spans="1:13" x14ac:dyDescent="0.25">
      <c r="A222" t="s">
        <v>276</v>
      </c>
      <c r="B222" t="s">
        <v>206</v>
      </c>
      <c r="C222" t="s">
        <v>3</v>
      </c>
      <c r="D222" s="2">
        <v>1183000</v>
      </c>
      <c r="E222" s="2">
        <v>674649.81</v>
      </c>
      <c r="F222" s="2">
        <v>508350.19</v>
      </c>
      <c r="G222" s="3">
        <v>2</v>
      </c>
      <c r="H222" t="s">
        <v>3</v>
      </c>
      <c r="I222" t="s">
        <v>208</v>
      </c>
      <c r="J222" t="s">
        <v>279</v>
      </c>
      <c r="K222" t="s">
        <v>280</v>
      </c>
      <c r="L222" t="s">
        <v>3</v>
      </c>
      <c r="M222" t="s">
        <v>8</v>
      </c>
    </row>
    <row r="223" spans="1:13" x14ac:dyDescent="0.25">
      <c r="A223" t="s">
        <v>276</v>
      </c>
      <c r="B223" t="s">
        <v>214</v>
      </c>
      <c r="C223" t="s">
        <v>3</v>
      </c>
      <c r="D223" s="2">
        <v>1755000</v>
      </c>
      <c r="E223" s="2">
        <v>1002903.22</v>
      </c>
      <c r="F223" s="2">
        <v>752096.78</v>
      </c>
      <c r="G223" s="3">
        <v>2</v>
      </c>
      <c r="H223" t="s">
        <v>3</v>
      </c>
      <c r="I223" t="s">
        <v>216</v>
      </c>
      <c r="J223" t="s">
        <v>279</v>
      </c>
      <c r="K223" t="s">
        <v>280</v>
      </c>
      <c r="L223" t="s">
        <v>3</v>
      </c>
      <c r="M223" t="s">
        <v>8</v>
      </c>
    </row>
    <row r="224" spans="1:13" x14ac:dyDescent="0.25">
      <c r="A224" t="s">
        <v>276</v>
      </c>
      <c r="B224" t="s">
        <v>226</v>
      </c>
      <c r="C224" t="s">
        <v>3</v>
      </c>
      <c r="D224" s="2">
        <v>325300</v>
      </c>
      <c r="E224" s="2">
        <v>171273.5</v>
      </c>
      <c r="F224" s="2">
        <v>154026.5</v>
      </c>
      <c r="G224" s="3">
        <v>2</v>
      </c>
      <c r="H224" t="s">
        <v>3</v>
      </c>
      <c r="I224" t="s">
        <v>228</v>
      </c>
      <c r="J224" t="s">
        <v>279</v>
      </c>
      <c r="K224" t="s">
        <v>280</v>
      </c>
      <c r="L224" t="s">
        <v>3</v>
      </c>
      <c r="M224" t="s">
        <v>8</v>
      </c>
    </row>
    <row r="225" spans="1:13" x14ac:dyDescent="0.25">
      <c r="A225" t="s">
        <v>276</v>
      </c>
      <c r="B225" t="s">
        <v>234</v>
      </c>
      <c r="C225" t="s">
        <v>3</v>
      </c>
      <c r="D225" s="2">
        <v>257300</v>
      </c>
      <c r="E225" s="2">
        <v>146176.18</v>
      </c>
      <c r="F225" s="2">
        <v>111123.82</v>
      </c>
      <c r="G225" s="3">
        <v>2</v>
      </c>
      <c r="H225" t="s">
        <v>3</v>
      </c>
      <c r="I225" t="s">
        <v>236</v>
      </c>
      <c r="J225" t="s">
        <v>279</v>
      </c>
      <c r="K225" t="s">
        <v>280</v>
      </c>
      <c r="L225" t="s">
        <v>3</v>
      </c>
      <c r="M225" t="s">
        <v>8</v>
      </c>
    </row>
    <row r="226" spans="1:13" x14ac:dyDescent="0.25">
      <c r="A226" t="s">
        <v>276</v>
      </c>
      <c r="B226" t="s">
        <v>241</v>
      </c>
      <c r="C226" t="s">
        <v>3</v>
      </c>
      <c r="D226" s="2">
        <v>314600</v>
      </c>
      <c r="E226" s="2">
        <v>173948</v>
      </c>
      <c r="F226" s="2">
        <v>140652</v>
      </c>
      <c r="G226" s="3">
        <v>2</v>
      </c>
      <c r="H226" t="s">
        <v>3</v>
      </c>
      <c r="I226" t="s">
        <v>243</v>
      </c>
      <c r="J226" t="s">
        <v>279</v>
      </c>
      <c r="K226" t="s">
        <v>280</v>
      </c>
      <c r="L226" t="s">
        <v>3</v>
      </c>
      <c r="M226" t="s">
        <v>8</v>
      </c>
    </row>
    <row r="227" spans="1:13" x14ac:dyDescent="0.25">
      <c r="A227" t="s">
        <v>276</v>
      </c>
      <c r="B227" t="s">
        <v>248</v>
      </c>
      <c r="C227" t="s">
        <v>3</v>
      </c>
      <c r="D227" s="2">
        <v>2273000</v>
      </c>
      <c r="E227" s="2">
        <v>1298898.71</v>
      </c>
      <c r="F227" s="2">
        <v>974101.29</v>
      </c>
      <c r="G227" s="3">
        <v>2</v>
      </c>
      <c r="H227" t="s">
        <v>3</v>
      </c>
      <c r="I227" t="s">
        <v>250</v>
      </c>
      <c r="J227" t="s">
        <v>279</v>
      </c>
      <c r="K227" t="s">
        <v>280</v>
      </c>
      <c r="L227" t="s">
        <v>3</v>
      </c>
      <c r="M227" t="s">
        <v>8</v>
      </c>
    </row>
    <row r="228" spans="1:13" x14ac:dyDescent="0.25">
      <c r="A228" t="s">
        <v>276</v>
      </c>
      <c r="B228" t="s">
        <v>259</v>
      </c>
      <c r="C228" t="s">
        <v>3</v>
      </c>
      <c r="D228" s="2">
        <v>278000</v>
      </c>
      <c r="E228" s="2">
        <v>151614.64000000001</v>
      </c>
      <c r="F228" s="2">
        <v>126385.36</v>
      </c>
      <c r="G228" s="3">
        <v>2</v>
      </c>
      <c r="H228" t="s">
        <v>3</v>
      </c>
      <c r="I228" t="s">
        <v>261</v>
      </c>
      <c r="J228" t="s">
        <v>279</v>
      </c>
      <c r="K228" t="s">
        <v>280</v>
      </c>
      <c r="L228" t="s">
        <v>3</v>
      </c>
      <c r="M228" t="s">
        <v>8</v>
      </c>
    </row>
    <row r="229" spans="1:13" x14ac:dyDescent="0.25">
      <c r="A229" t="s">
        <v>276</v>
      </c>
      <c r="B229" t="s">
        <v>268</v>
      </c>
      <c r="C229" t="s">
        <v>3</v>
      </c>
      <c r="D229" s="2">
        <v>377200</v>
      </c>
      <c r="E229" s="2">
        <v>215798.67</v>
      </c>
      <c r="F229" s="2">
        <v>161401.32999999999</v>
      </c>
      <c r="G229" s="3">
        <v>2</v>
      </c>
      <c r="H229" t="s">
        <v>3</v>
      </c>
      <c r="I229" t="s">
        <v>270</v>
      </c>
      <c r="J229" t="s">
        <v>279</v>
      </c>
      <c r="K229" t="s">
        <v>280</v>
      </c>
      <c r="L229" t="s">
        <v>3</v>
      </c>
      <c r="M229" t="s">
        <v>8</v>
      </c>
    </row>
    <row r="230" spans="1:13" x14ac:dyDescent="0.25">
      <c r="A230" t="s">
        <v>276</v>
      </c>
      <c r="B230" t="s">
        <v>277</v>
      </c>
      <c r="C230" t="s">
        <v>3</v>
      </c>
      <c r="D230" s="2">
        <v>1390000</v>
      </c>
      <c r="E230" s="2">
        <v>362096.54</v>
      </c>
      <c r="F230" s="2">
        <v>1027903.46</v>
      </c>
      <c r="G230" s="3">
        <v>2</v>
      </c>
      <c r="H230" t="s">
        <v>3</v>
      </c>
      <c r="I230" t="s">
        <v>278</v>
      </c>
      <c r="J230" t="s">
        <v>281</v>
      </c>
      <c r="K230" t="s">
        <v>282</v>
      </c>
      <c r="L230" t="s">
        <v>3</v>
      </c>
      <c r="M230" t="s">
        <v>8</v>
      </c>
    </row>
    <row r="231" spans="1:13" x14ac:dyDescent="0.25">
      <c r="A231" t="s">
        <v>276</v>
      </c>
      <c r="B231" t="s">
        <v>1</v>
      </c>
      <c r="C231" t="s">
        <v>3</v>
      </c>
      <c r="D231" s="2">
        <v>93000</v>
      </c>
      <c r="E231" s="2">
        <v>47791.53</v>
      </c>
      <c r="F231" s="2">
        <v>45208.47</v>
      </c>
      <c r="G231" s="3">
        <v>2</v>
      </c>
      <c r="H231" t="s">
        <v>3</v>
      </c>
      <c r="I231" t="s">
        <v>4</v>
      </c>
      <c r="J231" t="s">
        <v>281</v>
      </c>
      <c r="K231" t="s">
        <v>282</v>
      </c>
      <c r="L231" t="s">
        <v>3</v>
      </c>
      <c r="M231" t="s">
        <v>8</v>
      </c>
    </row>
    <row r="232" spans="1:13" x14ac:dyDescent="0.25">
      <c r="A232" t="s">
        <v>276</v>
      </c>
      <c r="B232" t="s">
        <v>293</v>
      </c>
      <c r="C232" t="s">
        <v>3</v>
      </c>
      <c r="D232" s="2">
        <v>74000</v>
      </c>
      <c r="E232" s="2">
        <v>2403.33</v>
      </c>
      <c r="F232" s="2">
        <v>71596.67</v>
      </c>
      <c r="G232" s="3">
        <v>2</v>
      </c>
      <c r="H232" t="s">
        <v>3</v>
      </c>
      <c r="I232" t="s">
        <v>294</v>
      </c>
      <c r="J232" t="s">
        <v>281</v>
      </c>
      <c r="K232" t="s">
        <v>282</v>
      </c>
      <c r="L232" t="s">
        <v>3</v>
      </c>
      <c r="M232" t="s">
        <v>8</v>
      </c>
    </row>
    <row r="233" spans="1:13" x14ac:dyDescent="0.25">
      <c r="A233" t="s">
        <v>276</v>
      </c>
      <c r="B233" t="s">
        <v>295</v>
      </c>
      <c r="C233" t="s">
        <v>3</v>
      </c>
      <c r="D233" s="2">
        <v>470000</v>
      </c>
      <c r="E233" s="2">
        <v>353249.87</v>
      </c>
      <c r="F233" s="2">
        <v>116750.13</v>
      </c>
      <c r="G233" s="3">
        <v>2</v>
      </c>
      <c r="H233" t="s">
        <v>3</v>
      </c>
      <c r="I233" t="s">
        <v>296</v>
      </c>
      <c r="J233" t="s">
        <v>281</v>
      </c>
      <c r="K233" t="s">
        <v>282</v>
      </c>
      <c r="L233" t="s">
        <v>3</v>
      </c>
      <c r="M233" t="s">
        <v>8</v>
      </c>
    </row>
    <row r="234" spans="1:13" x14ac:dyDescent="0.25">
      <c r="A234" t="s">
        <v>276</v>
      </c>
      <c r="B234" t="s">
        <v>329</v>
      </c>
      <c r="C234" t="s">
        <v>3</v>
      </c>
      <c r="D234" s="2">
        <v>84000</v>
      </c>
      <c r="E234" s="2">
        <v>22955.759999999998</v>
      </c>
      <c r="F234" s="2">
        <v>61044.24</v>
      </c>
      <c r="G234" s="3">
        <v>2</v>
      </c>
      <c r="H234" t="s">
        <v>3</v>
      </c>
      <c r="I234" t="s">
        <v>330</v>
      </c>
      <c r="J234" t="s">
        <v>281</v>
      </c>
      <c r="K234" t="s">
        <v>282</v>
      </c>
      <c r="L234" t="s">
        <v>3</v>
      </c>
      <c r="M234" t="s">
        <v>8</v>
      </c>
    </row>
    <row r="235" spans="1:13" x14ac:dyDescent="0.25">
      <c r="A235" t="s">
        <v>276</v>
      </c>
      <c r="B235" t="s">
        <v>333</v>
      </c>
      <c r="C235" t="s">
        <v>3</v>
      </c>
      <c r="D235" s="2">
        <v>30000</v>
      </c>
      <c r="E235" s="2">
        <v>2578.2199999999998</v>
      </c>
      <c r="F235" s="2">
        <v>27421.78</v>
      </c>
      <c r="G235" s="3">
        <v>2</v>
      </c>
      <c r="H235" t="s">
        <v>3</v>
      </c>
      <c r="I235" t="s">
        <v>334</v>
      </c>
      <c r="J235" t="s">
        <v>281</v>
      </c>
      <c r="K235" t="s">
        <v>282</v>
      </c>
      <c r="L235" t="s">
        <v>3</v>
      </c>
      <c r="M235" t="s">
        <v>8</v>
      </c>
    </row>
    <row r="236" spans="1:13" x14ac:dyDescent="0.25">
      <c r="A236" t="s">
        <v>276</v>
      </c>
      <c r="B236" t="s">
        <v>341</v>
      </c>
      <c r="C236" t="s">
        <v>3</v>
      </c>
      <c r="D236" s="2">
        <v>140000</v>
      </c>
      <c r="E236" s="2">
        <v>97289.52</v>
      </c>
      <c r="F236" s="2">
        <v>42710.48</v>
      </c>
      <c r="G236" s="3">
        <v>2</v>
      </c>
      <c r="H236" t="s">
        <v>3</v>
      </c>
      <c r="I236" t="s">
        <v>342</v>
      </c>
      <c r="J236" t="s">
        <v>281</v>
      </c>
      <c r="K236" t="s">
        <v>282</v>
      </c>
      <c r="L236" t="s">
        <v>3</v>
      </c>
      <c r="M236" t="s">
        <v>8</v>
      </c>
    </row>
    <row r="237" spans="1:13" x14ac:dyDescent="0.25">
      <c r="A237" t="s">
        <v>276</v>
      </c>
      <c r="B237" t="s">
        <v>9</v>
      </c>
      <c r="C237" t="s">
        <v>3</v>
      </c>
      <c r="D237" s="2">
        <v>93000</v>
      </c>
      <c r="E237" s="2">
        <v>44629.56</v>
      </c>
      <c r="F237" s="2">
        <v>48370.44</v>
      </c>
      <c r="G237" s="3">
        <v>2</v>
      </c>
      <c r="H237" t="s">
        <v>3</v>
      </c>
      <c r="I237" t="s">
        <v>11</v>
      </c>
      <c r="J237" t="s">
        <v>281</v>
      </c>
      <c r="K237" t="s">
        <v>282</v>
      </c>
      <c r="L237" t="s">
        <v>3</v>
      </c>
      <c r="M237" t="s">
        <v>8</v>
      </c>
    </row>
    <row r="238" spans="1:13" x14ac:dyDescent="0.25">
      <c r="A238" t="s">
        <v>276</v>
      </c>
      <c r="B238" t="s">
        <v>13</v>
      </c>
      <c r="C238" t="s">
        <v>3</v>
      </c>
      <c r="D238" s="2">
        <v>112000</v>
      </c>
      <c r="E238" s="2">
        <v>98782.27</v>
      </c>
      <c r="F238" s="2">
        <v>13217.73</v>
      </c>
      <c r="G238" s="3">
        <v>2</v>
      </c>
      <c r="H238" t="s">
        <v>3</v>
      </c>
      <c r="I238" t="s">
        <v>15</v>
      </c>
      <c r="J238" t="s">
        <v>281</v>
      </c>
      <c r="K238" t="s">
        <v>282</v>
      </c>
      <c r="L238" t="s">
        <v>3</v>
      </c>
      <c r="M238" t="s">
        <v>8</v>
      </c>
    </row>
    <row r="239" spans="1:13" x14ac:dyDescent="0.25">
      <c r="A239" t="s">
        <v>276</v>
      </c>
      <c r="B239" t="s">
        <v>19</v>
      </c>
      <c r="C239" t="s">
        <v>3</v>
      </c>
      <c r="D239" s="2">
        <v>93000</v>
      </c>
      <c r="E239" s="2">
        <v>82457.47</v>
      </c>
      <c r="F239" s="2">
        <v>10542.53</v>
      </c>
      <c r="G239" s="3">
        <v>2</v>
      </c>
      <c r="H239" t="s">
        <v>3</v>
      </c>
      <c r="I239" t="s">
        <v>21</v>
      </c>
      <c r="J239" t="s">
        <v>281</v>
      </c>
      <c r="K239" t="s">
        <v>282</v>
      </c>
      <c r="L239" t="s">
        <v>3</v>
      </c>
      <c r="M239" t="s">
        <v>8</v>
      </c>
    </row>
    <row r="240" spans="1:13" x14ac:dyDescent="0.25">
      <c r="A240" t="s">
        <v>276</v>
      </c>
      <c r="B240" t="s">
        <v>31</v>
      </c>
      <c r="C240" t="s">
        <v>3</v>
      </c>
      <c r="D240" s="2">
        <v>392000</v>
      </c>
      <c r="E240" s="2">
        <v>382672.95</v>
      </c>
      <c r="F240" s="2">
        <v>9327.0499999999993</v>
      </c>
      <c r="G240" s="3">
        <v>2</v>
      </c>
      <c r="H240" t="s">
        <v>3</v>
      </c>
      <c r="I240" t="s">
        <v>33</v>
      </c>
      <c r="J240" t="s">
        <v>281</v>
      </c>
      <c r="K240" t="s">
        <v>282</v>
      </c>
      <c r="L240" t="s">
        <v>3</v>
      </c>
      <c r="M240" t="s">
        <v>8</v>
      </c>
    </row>
    <row r="241" spans="1:13" x14ac:dyDescent="0.25">
      <c r="A241" t="s">
        <v>276</v>
      </c>
      <c r="B241" t="s">
        <v>41</v>
      </c>
      <c r="C241" t="s">
        <v>3</v>
      </c>
      <c r="D241" s="2">
        <v>340000</v>
      </c>
      <c r="E241" s="2">
        <v>59113.52</v>
      </c>
      <c r="F241" s="2">
        <v>280886.48</v>
      </c>
      <c r="G241" s="3">
        <v>2</v>
      </c>
      <c r="H241" t="s">
        <v>3</v>
      </c>
      <c r="I241" t="s">
        <v>43</v>
      </c>
      <c r="J241" t="s">
        <v>281</v>
      </c>
      <c r="K241" t="s">
        <v>282</v>
      </c>
      <c r="L241" t="s">
        <v>3</v>
      </c>
      <c r="M241" t="s">
        <v>8</v>
      </c>
    </row>
    <row r="242" spans="1:13" x14ac:dyDescent="0.25">
      <c r="A242" t="s">
        <v>276</v>
      </c>
      <c r="B242" t="s">
        <v>50</v>
      </c>
      <c r="C242" t="s">
        <v>3</v>
      </c>
      <c r="D242" s="2">
        <v>177000</v>
      </c>
      <c r="E242" s="2">
        <v>110756.7</v>
      </c>
      <c r="F242" s="2">
        <v>66243.3</v>
      </c>
      <c r="G242" s="3">
        <v>2</v>
      </c>
      <c r="H242" t="s">
        <v>3</v>
      </c>
      <c r="I242" t="s">
        <v>52</v>
      </c>
      <c r="J242" t="s">
        <v>281</v>
      </c>
      <c r="K242" t="s">
        <v>282</v>
      </c>
      <c r="L242" t="s">
        <v>3</v>
      </c>
      <c r="M242" t="s">
        <v>8</v>
      </c>
    </row>
    <row r="243" spans="1:13" x14ac:dyDescent="0.25">
      <c r="A243" t="s">
        <v>276</v>
      </c>
      <c r="B243" t="s">
        <v>58</v>
      </c>
      <c r="C243" t="s">
        <v>3</v>
      </c>
      <c r="D243" s="2">
        <v>465000</v>
      </c>
      <c r="E243" s="2">
        <v>232592.1</v>
      </c>
      <c r="F243" s="2">
        <v>232407.9</v>
      </c>
      <c r="G243" s="3">
        <v>2</v>
      </c>
      <c r="H243" t="s">
        <v>3</v>
      </c>
      <c r="I243" t="s">
        <v>60</v>
      </c>
      <c r="J243" t="s">
        <v>281</v>
      </c>
      <c r="K243" t="s">
        <v>282</v>
      </c>
      <c r="L243" t="s">
        <v>3</v>
      </c>
      <c r="M243" t="s">
        <v>8</v>
      </c>
    </row>
    <row r="244" spans="1:13" x14ac:dyDescent="0.25">
      <c r="A244" t="s">
        <v>276</v>
      </c>
      <c r="B244" t="s">
        <v>77</v>
      </c>
      <c r="C244" t="s">
        <v>3</v>
      </c>
      <c r="D244" s="2">
        <v>60000</v>
      </c>
      <c r="E244" s="2">
        <v>24352.69</v>
      </c>
      <c r="F244" s="2">
        <v>35647.31</v>
      </c>
      <c r="G244" s="3">
        <v>2</v>
      </c>
      <c r="H244" t="s">
        <v>3</v>
      </c>
      <c r="I244" t="s">
        <v>79</v>
      </c>
      <c r="J244" t="s">
        <v>281</v>
      </c>
      <c r="K244" t="s">
        <v>282</v>
      </c>
      <c r="L244" t="s">
        <v>3</v>
      </c>
      <c r="M244" t="s">
        <v>8</v>
      </c>
    </row>
    <row r="245" spans="1:13" x14ac:dyDescent="0.25">
      <c r="A245" t="s">
        <v>276</v>
      </c>
      <c r="B245" t="s">
        <v>83</v>
      </c>
      <c r="C245" t="s">
        <v>3</v>
      </c>
      <c r="D245" s="2">
        <v>205000</v>
      </c>
      <c r="E245" s="2">
        <v>70956.33</v>
      </c>
      <c r="F245" s="2">
        <v>134043.67000000001</v>
      </c>
      <c r="G245" s="3">
        <v>2</v>
      </c>
      <c r="H245" t="s">
        <v>3</v>
      </c>
      <c r="I245" t="s">
        <v>85</v>
      </c>
      <c r="J245" t="s">
        <v>281</v>
      </c>
      <c r="K245" t="s">
        <v>282</v>
      </c>
      <c r="L245" t="s">
        <v>3</v>
      </c>
      <c r="M245" t="s">
        <v>8</v>
      </c>
    </row>
    <row r="246" spans="1:13" x14ac:dyDescent="0.25">
      <c r="A246" t="s">
        <v>276</v>
      </c>
      <c r="B246" t="s">
        <v>94</v>
      </c>
      <c r="C246" t="s">
        <v>3</v>
      </c>
      <c r="D246" s="2">
        <v>233000</v>
      </c>
      <c r="E246" s="2">
        <v>67381.679999999993</v>
      </c>
      <c r="F246" s="2">
        <v>165618.32</v>
      </c>
      <c r="G246" s="3">
        <v>2</v>
      </c>
      <c r="H246" t="s">
        <v>3</v>
      </c>
      <c r="I246" t="s">
        <v>96</v>
      </c>
      <c r="J246" t="s">
        <v>281</v>
      </c>
      <c r="K246" t="s">
        <v>282</v>
      </c>
      <c r="L246" t="s">
        <v>3</v>
      </c>
      <c r="M246" t="s">
        <v>8</v>
      </c>
    </row>
    <row r="247" spans="1:13" x14ac:dyDescent="0.25">
      <c r="A247" t="s">
        <v>276</v>
      </c>
      <c r="B247" t="s">
        <v>101</v>
      </c>
      <c r="C247" t="s">
        <v>3</v>
      </c>
      <c r="D247" s="2">
        <v>186000</v>
      </c>
      <c r="E247" s="2">
        <v>49976.97</v>
      </c>
      <c r="F247" s="2">
        <v>136023.03</v>
      </c>
      <c r="G247" s="3">
        <v>2</v>
      </c>
      <c r="H247" t="s">
        <v>3</v>
      </c>
      <c r="I247" t="s">
        <v>103</v>
      </c>
      <c r="J247" t="s">
        <v>281</v>
      </c>
      <c r="K247" t="s">
        <v>282</v>
      </c>
      <c r="L247" t="s">
        <v>3</v>
      </c>
      <c r="M247" t="s">
        <v>8</v>
      </c>
    </row>
    <row r="248" spans="1:13" x14ac:dyDescent="0.25">
      <c r="A248" t="s">
        <v>276</v>
      </c>
      <c r="B248" t="s">
        <v>110</v>
      </c>
      <c r="C248" t="s">
        <v>3</v>
      </c>
      <c r="D248" s="2">
        <v>74500</v>
      </c>
      <c r="E248" s="2">
        <v>18186.86</v>
      </c>
      <c r="F248" s="2">
        <v>56313.14</v>
      </c>
      <c r="G248" s="3">
        <v>2</v>
      </c>
      <c r="H248" t="s">
        <v>3</v>
      </c>
      <c r="I248" t="s">
        <v>112</v>
      </c>
      <c r="J248" t="s">
        <v>281</v>
      </c>
      <c r="K248" t="s">
        <v>282</v>
      </c>
      <c r="L248" t="s">
        <v>3</v>
      </c>
      <c r="M248" t="s">
        <v>8</v>
      </c>
    </row>
    <row r="249" spans="1:13" x14ac:dyDescent="0.25">
      <c r="A249" t="s">
        <v>276</v>
      </c>
      <c r="B249" t="s">
        <v>119</v>
      </c>
      <c r="C249" t="s">
        <v>3</v>
      </c>
      <c r="D249" s="2">
        <v>112000</v>
      </c>
      <c r="E249" s="2">
        <v>32555.06</v>
      </c>
      <c r="F249" s="2">
        <v>79444.94</v>
      </c>
      <c r="G249" s="3">
        <v>2</v>
      </c>
      <c r="H249" t="s">
        <v>3</v>
      </c>
      <c r="I249" t="s">
        <v>121</v>
      </c>
      <c r="J249" t="s">
        <v>281</v>
      </c>
      <c r="K249" t="s">
        <v>282</v>
      </c>
      <c r="L249" t="s">
        <v>3</v>
      </c>
      <c r="M249" t="s">
        <v>8</v>
      </c>
    </row>
    <row r="250" spans="1:13" x14ac:dyDescent="0.25">
      <c r="A250" t="s">
        <v>276</v>
      </c>
      <c r="B250" t="s">
        <v>127</v>
      </c>
      <c r="C250" t="s">
        <v>3</v>
      </c>
      <c r="D250" s="2">
        <v>103000</v>
      </c>
      <c r="E250" s="2">
        <v>50199.64</v>
      </c>
      <c r="F250" s="2">
        <v>52800.36</v>
      </c>
      <c r="G250" s="3">
        <v>2</v>
      </c>
      <c r="H250" t="s">
        <v>3</v>
      </c>
      <c r="I250" t="s">
        <v>128</v>
      </c>
      <c r="J250" t="s">
        <v>281</v>
      </c>
      <c r="K250" t="s">
        <v>282</v>
      </c>
      <c r="L250" t="s">
        <v>3</v>
      </c>
      <c r="M250" t="s">
        <v>8</v>
      </c>
    </row>
    <row r="251" spans="1:13" x14ac:dyDescent="0.25">
      <c r="A251" t="s">
        <v>276</v>
      </c>
      <c r="B251" t="s">
        <v>135</v>
      </c>
      <c r="C251" t="s">
        <v>3</v>
      </c>
      <c r="D251" s="2">
        <v>93000</v>
      </c>
      <c r="E251" s="2">
        <v>26148.28</v>
      </c>
      <c r="F251" s="2">
        <v>66851.72</v>
      </c>
      <c r="G251" s="3">
        <v>2</v>
      </c>
      <c r="H251" t="s">
        <v>3</v>
      </c>
      <c r="I251" t="s">
        <v>137</v>
      </c>
      <c r="J251" t="s">
        <v>281</v>
      </c>
      <c r="K251" t="s">
        <v>282</v>
      </c>
      <c r="L251" t="s">
        <v>3</v>
      </c>
      <c r="M251" t="s">
        <v>8</v>
      </c>
    </row>
    <row r="252" spans="1:13" x14ac:dyDescent="0.25">
      <c r="A252" t="s">
        <v>276</v>
      </c>
      <c r="B252" t="s">
        <v>143</v>
      </c>
      <c r="C252" t="s">
        <v>3</v>
      </c>
      <c r="D252" s="2">
        <v>130000</v>
      </c>
      <c r="E252" s="2">
        <v>68670.64</v>
      </c>
      <c r="F252" s="2">
        <v>61329.36</v>
      </c>
      <c r="G252" s="3">
        <v>2</v>
      </c>
      <c r="H252" t="s">
        <v>3</v>
      </c>
      <c r="I252" t="s">
        <v>145</v>
      </c>
      <c r="J252" t="s">
        <v>281</v>
      </c>
      <c r="K252" t="s">
        <v>282</v>
      </c>
      <c r="L252" t="s">
        <v>3</v>
      </c>
      <c r="M252" t="s">
        <v>8</v>
      </c>
    </row>
    <row r="253" spans="1:13" x14ac:dyDescent="0.25">
      <c r="A253" t="s">
        <v>276</v>
      </c>
      <c r="B253" t="s">
        <v>151</v>
      </c>
      <c r="C253" t="s">
        <v>3</v>
      </c>
      <c r="D253" s="2">
        <v>88000</v>
      </c>
      <c r="E253" s="2">
        <v>26747.14</v>
      </c>
      <c r="F253" s="2">
        <v>61252.86</v>
      </c>
      <c r="G253" s="3">
        <v>2</v>
      </c>
      <c r="H253" t="s">
        <v>3</v>
      </c>
      <c r="I253" t="s">
        <v>153</v>
      </c>
      <c r="J253" t="s">
        <v>281</v>
      </c>
      <c r="K253" t="s">
        <v>282</v>
      </c>
      <c r="L253" t="s">
        <v>3</v>
      </c>
      <c r="M253" t="s">
        <v>8</v>
      </c>
    </row>
    <row r="254" spans="1:13" x14ac:dyDescent="0.25">
      <c r="A254" t="s">
        <v>276</v>
      </c>
      <c r="B254" t="s">
        <v>159</v>
      </c>
      <c r="C254" t="s">
        <v>3</v>
      </c>
      <c r="D254" s="2">
        <v>65000</v>
      </c>
      <c r="E254" s="2">
        <v>23726.49</v>
      </c>
      <c r="F254" s="2">
        <v>41273.51</v>
      </c>
      <c r="G254" s="3">
        <v>2</v>
      </c>
      <c r="H254" t="s">
        <v>3</v>
      </c>
      <c r="I254" t="s">
        <v>161</v>
      </c>
      <c r="J254" t="s">
        <v>281</v>
      </c>
      <c r="K254" t="s">
        <v>282</v>
      </c>
      <c r="L254" t="s">
        <v>3</v>
      </c>
      <c r="M254" t="s">
        <v>8</v>
      </c>
    </row>
    <row r="255" spans="1:13" x14ac:dyDescent="0.25">
      <c r="A255" t="s">
        <v>276</v>
      </c>
      <c r="B255" t="s">
        <v>170</v>
      </c>
      <c r="C255" t="s">
        <v>3</v>
      </c>
      <c r="D255" s="2">
        <v>70000</v>
      </c>
      <c r="E255" s="2">
        <v>24722.91</v>
      </c>
      <c r="F255" s="2">
        <v>45277.09</v>
      </c>
      <c r="G255" s="3">
        <v>2</v>
      </c>
      <c r="H255" t="s">
        <v>3</v>
      </c>
      <c r="I255" t="s">
        <v>172</v>
      </c>
      <c r="J255" t="s">
        <v>281</v>
      </c>
      <c r="K255" t="s">
        <v>282</v>
      </c>
      <c r="L255" t="s">
        <v>3</v>
      </c>
      <c r="M255" t="s">
        <v>8</v>
      </c>
    </row>
    <row r="256" spans="1:13" x14ac:dyDescent="0.25">
      <c r="A256" t="s">
        <v>276</v>
      </c>
      <c r="B256" t="s">
        <v>179</v>
      </c>
      <c r="C256" t="s">
        <v>3</v>
      </c>
      <c r="D256" s="2">
        <v>139500</v>
      </c>
      <c r="E256" s="2">
        <v>50305.86</v>
      </c>
      <c r="F256" s="2">
        <v>89194.14</v>
      </c>
      <c r="G256" s="3">
        <v>2</v>
      </c>
      <c r="H256" t="s">
        <v>3</v>
      </c>
      <c r="I256" t="s">
        <v>181</v>
      </c>
      <c r="J256" t="s">
        <v>281</v>
      </c>
      <c r="K256" t="s">
        <v>282</v>
      </c>
      <c r="L256" t="s">
        <v>3</v>
      </c>
      <c r="M256" t="s">
        <v>8</v>
      </c>
    </row>
    <row r="257" spans="1:13" x14ac:dyDescent="0.25">
      <c r="A257" t="s">
        <v>276</v>
      </c>
      <c r="B257" t="s">
        <v>189</v>
      </c>
      <c r="C257" t="s">
        <v>3</v>
      </c>
      <c r="D257" s="2">
        <v>84000</v>
      </c>
      <c r="E257" s="2">
        <v>37646.910000000003</v>
      </c>
      <c r="F257" s="2">
        <v>46353.09</v>
      </c>
      <c r="G257" s="3">
        <v>2</v>
      </c>
      <c r="H257" t="s">
        <v>3</v>
      </c>
      <c r="I257" t="s">
        <v>191</v>
      </c>
      <c r="J257" t="s">
        <v>281</v>
      </c>
      <c r="K257" t="s">
        <v>282</v>
      </c>
      <c r="L257" t="s">
        <v>3</v>
      </c>
      <c r="M257" t="s">
        <v>8</v>
      </c>
    </row>
    <row r="258" spans="1:13" x14ac:dyDescent="0.25">
      <c r="A258" t="s">
        <v>276</v>
      </c>
      <c r="B258" t="s">
        <v>198</v>
      </c>
      <c r="C258" t="s">
        <v>3</v>
      </c>
      <c r="D258" s="2">
        <v>126000</v>
      </c>
      <c r="E258" s="2">
        <v>54412.06</v>
      </c>
      <c r="F258" s="2">
        <v>71587.94</v>
      </c>
      <c r="G258" s="3">
        <v>2</v>
      </c>
      <c r="H258" t="s">
        <v>3</v>
      </c>
      <c r="I258" t="s">
        <v>200</v>
      </c>
      <c r="J258" t="s">
        <v>281</v>
      </c>
      <c r="K258" t="s">
        <v>282</v>
      </c>
      <c r="L258" t="s">
        <v>3</v>
      </c>
      <c r="M258" t="s">
        <v>8</v>
      </c>
    </row>
    <row r="259" spans="1:13" x14ac:dyDescent="0.25">
      <c r="A259" t="s">
        <v>276</v>
      </c>
      <c r="B259" t="s">
        <v>206</v>
      </c>
      <c r="C259" t="s">
        <v>3</v>
      </c>
      <c r="D259" s="2">
        <v>74000</v>
      </c>
      <c r="E259" s="2">
        <v>29451.8</v>
      </c>
      <c r="F259" s="2">
        <v>44548.2</v>
      </c>
      <c r="G259" s="3">
        <v>2</v>
      </c>
      <c r="H259" t="s">
        <v>3</v>
      </c>
      <c r="I259" t="s">
        <v>208</v>
      </c>
      <c r="J259" t="s">
        <v>281</v>
      </c>
      <c r="K259" t="s">
        <v>282</v>
      </c>
      <c r="L259" t="s">
        <v>3</v>
      </c>
      <c r="M259" t="s">
        <v>8</v>
      </c>
    </row>
    <row r="260" spans="1:13" x14ac:dyDescent="0.25">
      <c r="A260" t="s">
        <v>276</v>
      </c>
      <c r="B260" t="s">
        <v>214</v>
      </c>
      <c r="C260" t="s">
        <v>3</v>
      </c>
      <c r="D260" s="2">
        <v>135000</v>
      </c>
      <c r="E260" s="2">
        <v>103220.98</v>
      </c>
      <c r="F260" s="2">
        <v>31779.02</v>
      </c>
      <c r="G260" s="3">
        <v>2</v>
      </c>
      <c r="H260" t="s">
        <v>3</v>
      </c>
      <c r="I260" t="s">
        <v>216</v>
      </c>
      <c r="J260" t="s">
        <v>281</v>
      </c>
      <c r="K260" t="s">
        <v>282</v>
      </c>
      <c r="L260" t="s">
        <v>3</v>
      </c>
      <c r="M260" t="s">
        <v>8</v>
      </c>
    </row>
    <row r="261" spans="1:13" x14ac:dyDescent="0.25">
      <c r="A261" t="s">
        <v>276</v>
      </c>
      <c r="B261" t="s">
        <v>226</v>
      </c>
      <c r="C261" t="s">
        <v>3</v>
      </c>
      <c r="D261" s="2">
        <v>93000</v>
      </c>
      <c r="E261" s="2">
        <v>44974.52</v>
      </c>
      <c r="F261" s="2">
        <v>48025.48</v>
      </c>
      <c r="G261" s="3">
        <v>2</v>
      </c>
      <c r="H261" t="s">
        <v>3</v>
      </c>
      <c r="I261" t="s">
        <v>228</v>
      </c>
      <c r="J261" t="s">
        <v>281</v>
      </c>
      <c r="K261" t="s">
        <v>282</v>
      </c>
      <c r="L261" t="s">
        <v>3</v>
      </c>
      <c r="M261" t="s">
        <v>8</v>
      </c>
    </row>
    <row r="262" spans="1:13" x14ac:dyDescent="0.25">
      <c r="A262" t="s">
        <v>276</v>
      </c>
      <c r="B262" t="s">
        <v>234</v>
      </c>
      <c r="C262" t="s">
        <v>3</v>
      </c>
      <c r="D262" s="2">
        <v>93000</v>
      </c>
      <c r="E262" s="2">
        <v>55810.48</v>
      </c>
      <c r="F262" s="2">
        <v>37189.519999999997</v>
      </c>
      <c r="G262" s="3">
        <v>2</v>
      </c>
      <c r="H262" t="s">
        <v>3</v>
      </c>
      <c r="I262" t="s">
        <v>236</v>
      </c>
      <c r="J262" t="s">
        <v>281</v>
      </c>
      <c r="K262" t="s">
        <v>282</v>
      </c>
      <c r="L262" t="s">
        <v>3</v>
      </c>
      <c r="M262" t="s">
        <v>8</v>
      </c>
    </row>
    <row r="263" spans="1:13" x14ac:dyDescent="0.25">
      <c r="A263" t="s">
        <v>276</v>
      </c>
      <c r="B263" t="s">
        <v>241</v>
      </c>
      <c r="C263" t="s">
        <v>3</v>
      </c>
      <c r="D263" s="2">
        <v>93000</v>
      </c>
      <c r="E263" s="2">
        <v>44604.24</v>
      </c>
      <c r="F263" s="2">
        <v>48395.76</v>
      </c>
      <c r="G263" s="3">
        <v>2</v>
      </c>
      <c r="H263" t="s">
        <v>3</v>
      </c>
      <c r="I263" t="s">
        <v>243</v>
      </c>
      <c r="J263" t="s">
        <v>281</v>
      </c>
      <c r="K263" t="s">
        <v>282</v>
      </c>
      <c r="L263" t="s">
        <v>3</v>
      </c>
      <c r="M263" t="s">
        <v>8</v>
      </c>
    </row>
    <row r="264" spans="1:13" x14ac:dyDescent="0.25">
      <c r="A264" t="s">
        <v>276</v>
      </c>
      <c r="B264" t="s">
        <v>248</v>
      </c>
      <c r="C264" t="s">
        <v>3</v>
      </c>
      <c r="D264" s="2">
        <v>140000</v>
      </c>
      <c r="E264" s="2">
        <v>82363.570000000007</v>
      </c>
      <c r="F264" s="2">
        <v>57636.43</v>
      </c>
      <c r="G264" s="3">
        <v>2</v>
      </c>
      <c r="H264" t="s">
        <v>3</v>
      </c>
      <c r="I264" t="s">
        <v>250</v>
      </c>
      <c r="J264" t="s">
        <v>281</v>
      </c>
      <c r="K264" t="s">
        <v>282</v>
      </c>
      <c r="L264" t="s">
        <v>3</v>
      </c>
      <c r="M264" t="s">
        <v>8</v>
      </c>
    </row>
    <row r="265" spans="1:13" x14ac:dyDescent="0.25">
      <c r="A265" t="s">
        <v>276</v>
      </c>
      <c r="B265" t="s">
        <v>259</v>
      </c>
      <c r="C265" t="s">
        <v>3</v>
      </c>
      <c r="D265" s="2">
        <v>75000</v>
      </c>
      <c r="E265" s="2">
        <v>42382.91</v>
      </c>
      <c r="F265" s="2">
        <v>32617.09</v>
      </c>
      <c r="G265" s="3">
        <v>2</v>
      </c>
      <c r="H265" t="s">
        <v>3</v>
      </c>
      <c r="I265" t="s">
        <v>261</v>
      </c>
      <c r="J265" t="s">
        <v>281</v>
      </c>
      <c r="K265" t="s">
        <v>282</v>
      </c>
      <c r="L265" t="s">
        <v>3</v>
      </c>
      <c r="M265" t="s">
        <v>8</v>
      </c>
    </row>
    <row r="266" spans="1:13" x14ac:dyDescent="0.25">
      <c r="A266" t="s">
        <v>276</v>
      </c>
      <c r="B266" t="s">
        <v>268</v>
      </c>
      <c r="C266" t="s">
        <v>3</v>
      </c>
      <c r="D266" s="2">
        <v>75000</v>
      </c>
      <c r="E266" s="2">
        <v>38012.99</v>
      </c>
      <c r="F266" s="2">
        <v>36987.01</v>
      </c>
      <c r="G266" s="3">
        <v>2</v>
      </c>
      <c r="H266" t="s">
        <v>3</v>
      </c>
      <c r="I266" t="s">
        <v>270</v>
      </c>
      <c r="J266" t="s">
        <v>281</v>
      </c>
      <c r="K266" t="s">
        <v>282</v>
      </c>
      <c r="L266" t="s">
        <v>3</v>
      </c>
      <c r="M266" t="s">
        <v>8</v>
      </c>
    </row>
    <row r="267" spans="1:13" x14ac:dyDescent="0.25">
      <c r="A267" t="s">
        <v>276</v>
      </c>
      <c r="B267" t="s">
        <v>295</v>
      </c>
      <c r="C267" t="s">
        <v>3</v>
      </c>
      <c r="D267" s="2">
        <v>1550000</v>
      </c>
      <c r="E267" s="2">
        <v>663846.09</v>
      </c>
      <c r="F267" s="2">
        <v>886153.91</v>
      </c>
      <c r="G267" s="3">
        <v>2</v>
      </c>
      <c r="H267" t="s">
        <v>3</v>
      </c>
      <c r="I267" t="s">
        <v>296</v>
      </c>
      <c r="J267" t="s">
        <v>309</v>
      </c>
      <c r="K267" t="s">
        <v>310</v>
      </c>
      <c r="L267" t="s">
        <v>3</v>
      </c>
      <c r="M267" t="s">
        <v>8</v>
      </c>
    </row>
    <row r="268" spans="1:13" x14ac:dyDescent="0.25">
      <c r="A268" t="s">
        <v>276</v>
      </c>
      <c r="B268" t="s">
        <v>329</v>
      </c>
      <c r="C268" t="s">
        <v>3</v>
      </c>
      <c r="D268" s="2">
        <v>100000</v>
      </c>
      <c r="E268" s="2">
        <v>19730.900000000001</v>
      </c>
      <c r="F268" s="2">
        <v>80269.100000000006</v>
      </c>
      <c r="G268" s="3">
        <v>2</v>
      </c>
      <c r="H268" t="s">
        <v>3</v>
      </c>
      <c r="I268" t="s">
        <v>330</v>
      </c>
      <c r="J268" t="s">
        <v>309</v>
      </c>
      <c r="K268" t="s">
        <v>310</v>
      </c>
      <c r="L268" t="s">
        <v>3</v>
      </c>
      <c r="M268" t="s">
        <v>8</v>
      </c>
    </row>
    <row r="269" spans="1:13" x14ac:dyDescent="0.25">
      <c r="A269" t="s">
        <v>276</v>
      </c>
      <c r="B269" t="s">
        <v>110</v>
      </c>
      <c r="C269" t="s">
        <v>3</v>
      </c>
      <c r="D269" s="2">
        <v>40000</v>
      </c>
      <c r="E269" s="2">
        <v>17754.47</v>
      </c>
      <c r="F269" s="2">
        <v>22245.53</v>
      </c>
      <c r="G269" s="3">
        <v>2</v>
      </c>
      <c r="H269" t="s">
        <v>3</v>
      </c>
      <c r="I269" t="s">
        <v>112</v>
      </c>
      <c r="J269" t="s">
        <v>309</v>
      </c>
      <c r="K269" t="s">
        <v>310</v>
      </c>
      <c r="L269" t="s">
        <v>3</v>
      </c>
      <c r="M269" t="s">
        <v>8</v>
      </c>
    </row>
    <row r="270" spans="1:13" x14ac:dyDescent="0.25">
      <c r="A270" t="s">
        <v>276</v>
      </c>
      <c r="B270" t="s">
        <v>119</v>
      </c>
      <c r="C270" t="s">
        <v>3</v>
      </c>
      <c r="D270" s="2">
        <v>70000</v>
      </c>
      <c r="E270" s="2">
        <v>28833.1</v>
      </c>
      <c r="F270" s="2">
        <v>41166.9</v>
      </c>
      <c r="G270" s="3">
        <v>2</v>
      </c>
      <c r="H270" t="s">
        <v>3</v>
      </c>
      <c r="I270" t="s">
        <v>121</v>
      </c>
      <c r="J270" t="s">
        <v>309</v>
      </c>
      <c r="K270" t="s">
        <v>310</v>
      </c>
      <c r="L270" t="s">
        <v>3</v>
      </c>
      <c r="M270" t="s">
        <v>8</v>
      </c>
    </row>
    <row r="271" spans="1:13" x14ac:dyDescent="0.25">
      <c r="A271" t="s">
        <v>276</v>
      </c>
      <c r="B271" t="s">
        <v>127</v>
      </c>
      <c r="C271" t="s">
        <v>3</v>
      </c>
      <c r="D271" s="2">
        <v>45000</v>
      </c>
      <c r="E271" s="2">
        <v>12712.45</v>
      </c>
      <c r="F271" s="2">
        <v>32287.55</v>
      </c>
      <c r="G271" s="3">
        <v>2</v>
      </c>
      <c r="H271" t="s">
        <v>3</v>
      </c>
      <c r="I271" t="s">
        <v>128</v>
      </c>
      <c r="J271" t="s">
        <v>309</v>
      </c>
      <c r="K271" t="s">
        <v>310</v>
      </c>
      <c r="L271" t="s">
        <v>3</v>
      </c>
      <c r="M271" t="s">
        <v>8</v>
      </c>
    </row>
    <row r="272" spans="1:13" x14ac:dyDescent="0.25">
      <c r="A272" t="s">
        <v>276</v>
      </c>
      <c r="B272" t="s">
        <v>135</v>
      </c>
      <c r="C272" t="s">
        <v>3</v>
      </c>
      <c r="D272" s="2">
        <v>40000</v>
      </c>
      <c r="E272" s="2">
        <v>25305.08</v>
      </c>
      <c r="F272" s="2">
        <v>14694.92</v>
      </c>
      <c r="G272" s="3">
        <v>2</v>
      </c>
      <c r="H272" t="s">
        <v>3</v>
      </c>
      <c r="I272" t="s">
        <v>137</v>
      </c>
      <c r="J272" t="s">
        <v>309</v>
      </c>
      <c r="K272" t="s">
        <v>310</v>
      </c>
      <c r="L272" t="s">
        <v>3</v>
      </c>
      <c r="M272" t="s">
        <v>8</v>
      </c>
    </row>
    <row r="273" spans="1:13" x14ac:dyDescent="0.25">
      <c r="A273" t="s">
        <v>276</v>
      </c>
      <c r="B273" t="s">
        <v>143</v>
      </c>
      <c r="C273" t="s">
        <v>3</v>
      </c>
      <c r="D273" s="2">
        <v>70000</v>
      </c>
      <c r="E273" s="2">
        <v>35854.199999999997</v>
      </c>
      <c r="F273" s="2">
        <v>34145.800000000003</v>
      </c>
      <c r="G273" s="3">
        <v>2</v>
      </c>
      <c r="H273" t="s">
        <v>3</v>
      </c>
      <c r="I273" t="s">
        <v>145</v>
      </c>
      <c r="J273" t="s">
        <v>309</v>
      </c>
      <c r="K273" t="s">
        <v>310</v>
      </c>
      <c r="L273" t="s">
        <v>3</v>
      </c>
      <c r="M273" t="s">
        <v>8</v>
      </c>
    </row>
    <row r="274" spans="1:13" x14ac:dyDescent="0.25">
      <c r="A274" t="s">
        <v>276</v>
      </c>
      <c r="B274" t="s">
        <v>151</v>
      </c>
      <c r="C274" t="s">
        <v>3</v>
      </c>
      <c r="D274" s="2">
        <v>72000</v>
      </c>
      <c r="E274" s="2">
        <v>21287.75</v>
      </c>
      <c r="F274" s="2">
        <v>50712.25</v>
      </c>
      <c r="G274" s="3">
        <v>2</v>
      </c>
      <c r="H274" t="s">
        <v>3</v>
      </c>
      <c r="I274" t="s">
        <v>153</v>
      </c>
      <c r="J274" t="s">
        <v>309</v>
      </c>
      <c r="K274" t="s">
        <v>310</v>
      </c>
      <c r="L274" t="s">
        <v>3</v>
      </c>
      <c r="M274" t="s">
        <v>8</v>
      </c>
    </row>
    <row r="275" spans="1:13" x14ac:dyDescent="0.25">
      <c r="A275" t="s">
        <v>276</v>
      </c>
      <c r="B275" t="s">
        <v>159</v>
      </c>
      <c r="C275" t="s">
        <v>3</v>
      </c>
      <c r="D275" s="2">
        <v>66000</v>
      </c>
      <c r="E275" s="2">
        <v>29657.23</v>
      </c>
      <c r="F275" s="2">
        <v>36342.769999999997</v>
      </c>
      <c r="G275" s="3">
        <v>2</v>
      </c>
      <c r="H275" t="s">
        <v>3</v>
      </c>
      <c r="I275" t="s">
        <v>161</v>
      </c>
      <c r="J275" t="s">
        <v>309</v>
      </c>
      <c r="K275" t="s">
        <v>310</v>
      </c>
      <c r="L275" t="s">
        <v>3</v>
      </c>
      <c r="M275" t="s">
        <v>8</v>
      </c>
    </row>
    <row r="276" spans="1:13" x14ac:dyDescent="0.25">
      <c r="A276" t="s">
        <v>276</v>
      </c>
      <c r="B276" t="s">
        <v>170</v>
      </c>
      <c r="C276" t="s">
        <v>3</v>
      </c>
      <c r="D276" s="2">
        <v>65000</v>
      </c>
      <c r="E276" s="2">
        <v>24224.92</v>
      </c>
      <c r="F276" s="2">
        <v>40775.08</v>
      </c>
      <c r="G276" s="3">
        <v>2</v>
      </c>
      <c r="H276" t="s">
        <v>3</v>
      </c>
      <c r="I276" t="s">
        <v>172</v>
      </c>
      <c r="J276" t="s">
        <v>309</v>
      </c>
      <c r="K276" t="s">
        <v>310</v>
      </c>
      <c r="L276" t="s">
        <v>3</v>
      </c>
      <c r="M276" t="s">
        <v>8</v>
      </c>
    </row>
    <row r="277" spans="1:13" x14ac:dyDescent="0.25">
      <c r="A277" t="s">
        <v>276</v>
      </c>
      <c r="B277" t="s">
        <v>179</v>
      </c>
      <c r="C277" t="s">
        <v>3</v>
      </c>
      <c r="D277" s="2">
        <v>155000</v>
      </c>
      <c r="E277" s="2">
        <v>63991.64</v>
      </c>
      <c r="F277" s="2">
        <v>91008.36</v>
      </c>
      <c r="G277" s="3">
        <v>2</v>
      </c>
      <c r="H277" t="s">
        <v>3</v>
      </c>
      <c r="I277" t="s">
        <v>181</v>
      </c>
      <c r="J277" t="s">
        <v>309</v>
      </c>
      <c r="K277" t="s">
        <v>310</v>
      </c>
      <c r="L277" t="s">
        <v>3</v>
      </c>
      <c r="M277" t="s">
        <v>8</v>
      </c>
    </row>
    <row r="278" spans="1:13" x14ac:dyDescent="0.25">
      <c r="A278" t="s">
        <v>276</v>
      </c>
      <c r="B278" t="s">
        <v>189</v>
      </c>
      <c r="C278" t="s">
        <v>3</v>
      </c>
      <c r="D278" s="2">
        <v>68000</v>
      </c>
      <c r="E278" s="2">
        <v>31809.05</v>
      </c>
      <c r="F278" s="2">
        <v>36190.949999999997</v>
      </c>
      <c r="G278" s="3">
        <v>2</v>
      </c>
      <c r="H278" t="s">
        <v>3</v>
      </c>
      <c r="I278" t="s">
        <v>191</v>
      </c>
      <c r="J278" t="s">
        <v>309</v>
      </c>
      <c r="K278" t="s">
        <v>310</v>
      </c>
      <c r="L278" t="s">
        <v>3</v>
      </c>
      <c r="M278" t="s">
        <v>8</v>
      </c>
    </row>
    <row r="279" spans="1:13" x14ac:dyDescent="0.25">
      <c r="A279" t="s">
        <v>276</v>
      </c>
      <c r="B279" t="s">
        <v>198</v>
      </c>
      <c r="C279" t="s">
        <v>3</v>
      </c>
      <c r="D279" s="2">
        <v>65000</v>
      </c>
      <c r="E279" s="2">
        <v>19259.25</v>
      </c>
      <c r="F279" s="2">
        <v>45740.75</v>
      </c>
      <c r="G279" s="3">
        <v>2</v>
      </c>
      <c r="H279" t="s">
        <v>3</v>
      </c>
      <c r="I279" t="s">
        <v>200</v>
      </c>
      <c r="J279" t="s">
        <v>309</v>
      </c>
      <c r="K279" t="s">
        <v>310</v>
      </c>
      <c r="L279" t="s">
        <v>3</v>
      </c>
      <c r="M279" t="s">
        <v>8</v>
      </c>
    </row>
    <row r="280" spans="1:13" x14ac:dyDescent="0.25">
      <c r="A280" t="s">
        <v>276</v>
      </c>
      <c r="B280" t="s">
        <v>206</v>
      </c>
      <c r="C280" t="s">
        <v>3</v>
      </c>
      <c r="D280" s="2">
        <v>66000</v>
      </c>
      <c r="E280" s="2">
        <v>28993</v>
      </c>
      <c r="F280" s="2">
        <v>37007</v>
      </c>
      <c r="G280" s="3">
        <v>2</v>
      </c>
      <c r="H280" t="s">
        <v>3</v>
      </c>
      <c r="I280" t="s">
        <v>208</v>
      </c>
      <c r="J280" t="s">
        <v>309</v>
      </c>
      <c r="K280" t="s">
        <v>310</v>
      </c>
      <c r="L280" t="s">
        <v>3</v>
      </c>
      <c r="M280" t="s">
        <v>8</v>
      </c>
    </row>
    <row r="281" spans="1:13" x14ac:dyDescent="0.25">
      <c r="A281" t="s">
        <v>276</v>
      </c>
      <c r="B281" t="s">
        <v>214</v>
      </c>
      <c r="C281" t="s">
        <v>3</v>
      </c>
      <c r="D281" s="2">
        <v>88000</v>
      </c>
      <c r="E281" s="2">
        <v>41152.1</v>
      </c>
      <c r="F281" s="2">
        <v>46847.9</v>
      </c>
      <c r="G281" s="3">
        <v>2</v>
      </c>
      <c r="H281" t="s">
        <v>3</v>
      </c>
      <c r="I281" t="s">
        <v>216</v>
      </c>
      <c r="J281" t="s">
        <v>309</v>
      </c>
      <c r="K281" t="s">
        <v>310</v>
      </c>
      <c r="L281" t="s">
        <v>3</v>
      </c>
      <c r="M281" t="s">
        <v>8</v>
      </c>
    </row>
    <row r="282" spans="1:13" x14ac:dyDescent="0.25">
      <c r="A282" t="s">
        <v>276</v>
      </c>
      <c r="B282" t="s">
        <v>226</v>
      </c>
      <c r="C282" t="s">
        <v>3</v>
      </c>
      <c r="D282" s="2">
        <v>37000</v>
      </c>
      <c r="E282" s="2">
        <v>12551.3</v>
      </c>
      <c r="F282" s="2">
        <v>24448.7</v>
      </c>
      <c r="G282" s="3">
        <v>2</v>
      </c>
      <c r="H282" t="s">
        <v>3</v>
      </c>
      <c r="I282" t="s">
        <v>228</v>
      </c>
      <c r="J282" t="s">
        <v>309</v>
      </c>
      <c r="K282" t="s">
        <v>310</v>
      </c>
      <c r="L282" t="s">
        <v>3</v>
      </c>
      <c r="M282" t="s">
        <v>8</v>
      </c>
    </row>
    <row r="283" spans="1:13" x14ac:dyDescent="0.25">
      <c r="A283" t="s">
        <v>276</v>
      </c>
      <c r="B283" t="s">
        <v>234</v>
      </c>
      <c r="C283" t="s">
        <v>3</v>
      </c>
      <c r="D283" s="2">
        <v>42000</v>
      </c>
      <c r="E283" s="2">
        <v>12605.75</v>
      </c>
      <c r="F283" s="2">
        <v>29394.25</v>
      </c>
      <c r="G283" s="3">
        <v>2</v>
      </c>
      <c r="H283" t="s">
        <v>3</v>
      </c>
      <c r="I283" t="s">
        <v>236</v>
      </c>
      <c r="J283" t="s">
        <v>309</v>
      </c>
      <c r="K283" t="s">
        <v>310</v>
      </c>
      <c r="L283" t="s">
        <v>3</v>
      </c>
      <c r="M283" t="s">
        <v>8</v>
      </c>
    </row>
    <row r="284" spans="1:13" x14ac:dyDescent="0.25">
      <c r="A284" t="s">
        <v>276</v>
      </c>
      <c r="B284" t="s">
        <v>241</v>
      </c>
      <c r="C284" t="s">
        <v>3</v>
      </c>
      <c r="D284" s="2">
        <v>36000</v>
      </c>
      <c r="E284" s="2">
        <v>15154.9</v>
      </c>
      <c r="F284" s="2">
        <v>20845.099999999999</v>
      </c>
      <c r="G284" s="3">
        <v>2</v>
      </c>
      <c r="H284" t="s">
        <v>3</v>
      </c>
      <c r="I284" t="s">
        <v>243</v>
      </c>
      <c r="J284" t="s">
        <v>309</v>
      </c>
      <c r="K284" t="s">
        <v>310</v>
      </c>
      <c r="L284" t="s">
        <v>3</v>
      </c>
      <c r="M284" t="s">
        <v>8</v>
      </c>
    </row>
    <row r="285" spans="1:13" x14ac:dyDescent="0.25">
      <c r="A285" t="s">
        <v>276</v>
      </c>
      <c r="B285" t="s">
        <v>248</v>
      </c>
      <c r="C285" t="s">
        <v>3</v>
      </c>
      <c r="D285" s="2">
        <v>53000</v>
      </c>
      <c r="E285" s="2">
        <v>24666.62</v>
      </c>
      <c r="F285" s="2">
        <v>28333.38</v>
      </c>
      <c r="G285" s="3">
        <v>2</v>
      </c>
      <c r="H285" t="s">
        <v>3</v>
      </c>
      <c r="I285" t="s">
        <v>250</v>
      </c>
      <c r="J285" t="s">
        <v>309</v>
      </c>
      <c r="K285" t="s">
        <v>310</v>
      </c>
      <c r="L285" t="s">
        <v>3</v>
      </c>
      <c r="M285" t="s">
        <v>8</v>
      </c>
    </row>
    <row r="286" spans="1:13" x14ac:dyDescent="0.25">
      <c r="A286" t="s">
        <v>276</v>
      </c>
      <c r="B286" t="s">
        <v>259</v>
      </c>
      <c r="C286" t="s">
        <v>3</v>
      </c>
      <c r="D286" s="2">
        <v>36000</v>
      </c>
      <c r="E286" s="2">
        <v>10788.48</v>
      </c>
      <c r="F286" s="2">
        <v>25211.52</v>
      </c>
      <c r="G286" s="3">
        <v>2</v>
      </c>
      <c r="H286" t="s">
        <v>3</v>
      </c>
      <c r="I286" t="s">
        <v>261</v>
      </c>
      <c r="J286" t="s">
        <v>309</v>
      </c>
      <c r="K286" t="s">
        <v>310</v>
      </c>
      <c r="L286" t="s">
        <v>3</v>
      </c>
      <c r="M286" t="s">
        <v>8</v>
      </c>
    </row>
    <row r="287" spans="1:13" x14ac:dyDescent="0.25">
      <c r="A287" t="s">
        <v>276</v>
      </c>
      <c r="B287" t="s">
        <v>268</v>
      </c>
      <c r="C287" t="s">
        <v>3</v>
      </c>
      <c r="D287" s="2">
        <v>36000</v>
      </c>
      <c r="E287" s="2">
        <v>15431.6</v>
      </c>
      <c r="F287" s="2">
        <v>20568.400000000001</v>
      </c>
      <c r="G287" s="3">
        <v>2</v>
      </c>
      <c r="H287" t="s">
        <v>3</v>
      </c>
      <c r="I287" t="s">
        <v>270</v>
      </c>
      <c r="J287" t="s">
        <v>309</v>
      </c>
      <c r="K287" t="s">
        <v>310</v>
      </c>
      <c r="L287" t="s">
        <v>3</v>
      </c>
      <c r="M287" t="s">
        <v>8</v>
      </c>
    </row>
    <row r="288" spans="1:13" x14ac:dyDescent="0.25">
      <c r="A288" t="s">
        <v>276</v>
      </c>
      <c r="B288" t="s">
        <v>295</v>
      </c>
      <c r="C288" t="s">
        <v>3</v>
      </c>
      <c r="D288" s="2">
        <v>547400</v>
      </c>
      <c r="E288" s="2">
        <v>454392.7</v>
      </c>
      <c r="F288" s="2">
        <v>93007.3</v>
      </c>
      <c r="G288" s="3">
        <v>2</v>
      </c>
      <c r="H288" t="s">
        <v>3</v>
      </c>
      <c r="I288" t="s">
        <v>296</v>
      </c>
      <c r="J288" t="s">
        <v>311</v>
      </c>
      <c r="K288" t="s">
        <v>312</v>
      </c>
      <c r="L288" t="s">
        <v>3</v>
      </c>
      <c r="M288" t="s">
        <v>8</v>
      </c>
    </row>
    <row r="289" spans="1:13" x14ac:dyDescent="0.25">
      <c r="A289" t="s">
        <v>276</v>
      </c>
      <c r="B289" t="s">
        <v>329</v>
      </c>
      <c r="C289" t="s">
        <v>3</v>
      </c>
      <c r="D289" s="2">
        <v>4100000</v>
      </c>
      <c r="E289" s="2">
        <v>3895730.85</v>
      </c>
      <c r="F289" s="2">
        <v>204269.15</v>
      </c>
      <c r="G289" s="3">
        <v>2</v>
      </c>
      <c r="H289" t="s">
        <v>3</v>
      </c>
      <c r="I289" t="s">
        <v>330</v>
      </c>
      <c r="J289" t="s">
        <v>311</v>
      </c>
      <c r="K289" t="s">
        <v>312</v>
      </c>
      <c r="L289" t="s">
        <v>3</v>
      </c>
      <c r="M289" t="s">
        <v>8</v>
      </c>
    </row>
    <row r="290" spans="1:13" x14ac:dyDescent="0.25">
      <c r="A290" t="s">
        <v>276</v>
      </c>
      <c r="B290" t="s">
        <v>341</v>
      </c>
      <c r="C290" t="s">
        <v>3</v>
      </c>
      <c r="D290" s="2">
        <v>100000</v>
      </c>
      <c r="E290" s="2">
        <v>98572.92</v>
      </c>
      <c r="F290" s="2">
        <v>1427.08</v>
      </c>
      <c r="G290" s="3">
        <v>2</v>
      </c>
      <c r="H290" t="s">
        <v>3</v>
      </c>
      <c r="I290" t="s">
        <v>342</v>
      </c>
      <c r="J290" t="s">
        <v>311</v>
      </c>
      <c r="K290" t="s">
        <v>312</v>
      </c>
      <c r="L290" t="s">
        <v>3</v>
      </c>
      <c r="M290" t="s">
        <v>8</v>
      </c>
    </row>
    <row r="291" spans="1:13" x14ac:dyDescent="0.25">
      <c r="A291" t="s">
        <v>276</v>
      </c>
      <c r="B291" t="s">
        <v>110</v>
      </c>
      <c r="C291" t="s">
        <v>3</v>
      </c>
      <c r="D291" s="2">
        <v>115000</v>
      </c>
      <c r="E291" s="2">
        <v>111786.8</v>
      </c>
      <c r="F291" s="2">
        <v>3213.2</v>
      </c>
      <c r="G291" s="3">
        <v>2</v>
      </c>
      <c r="H291" t="s">
        <v>3</v>
      </c>
      <c r="I291" t="s">
        <v>112</v>
      </c>
      <c r="J291" t="s">
        <v>311</v>
      </c>
      <c r="K291" t="s">
        <v>312</v>
      </c>
      <c r="L291" t="s">
        <v>3</v>
      </c>
      <c r="M291" t="s">
        <v>8</v>
      </c>
    </row>
    <row r="292" spans="1:13" x14ac:dyDescent="0.25">
      <c r="A292" t="s">
        <v>276</v>
      </c>
      <c r="B292" t="s">
        <v>119</v>
      </c>
      <c r="C292" t="s">
        <v>3</v>
      </c>
      <c r="D292" s="2">
        <v>31500</v>
      </c>
      <c r="E292" s="2">
        <v>22772.799999999999</v>
      </c>
      <c r="F292" s="2">
        <v>8727.2000000000007</v>
      </c>
      <c r="G292" s="3">
        <v>2</v>
      </c>
      <c r="H292" t="s">
        <v>3</v>
      </c>
      <c r="I292" t="s">
        <v>121</v>
      </c>
      <c r="J292" t="s">
        <v>311</v>
      </c>
      <c r="K292" t="s">
        <v>312</v>
      </c>
      <c r="L292" t="s">
        <v>3</v>
      </c>
      <c r="M292" t="s">
        <v>8</v>
      </c>
    </row>
    <row r="293" spans="1:13" x14ac:dyDescent="0.25">
      <c r="A293" t="s">
        <v>276</v>
      </c>
      <c r="B293" t="s">
        <v>127</v>
      </c>
      <c r="C293" t="s">
        <v>3</v>
      </c>
      <c r="D293" s="2">
        <v>300000</v>
      </c>
      <c r="E293" s="2">
        <v>245792.35</v>
      </c>
      <c r="F293" s="2">
        <v>54207.65</v>
      </c>
      <c r="G293" s="3">
        <v>2</v>
      </c>
      <c r="H293" t="s">
        <v>3</v>
      </c>
      <c r="I293" t="s">
        <v>128</v>
      </c>
      <c r="J293" t="s">
        <v>311</v>
      </c>
      <c r="K293" t="s">
        <v>312</v>
      </c>
      <c r="L293" t="s">
        <v>3</v>
      </c>
      <c r="M293" t="s">
        <v>8</v>
      </c>
    </row>
    <row r="294" spans="1:13" x14ac:dyDescent="0.25">
      <c r="A294" t="s">
        <v>276</v>
      </c>
      <c r="B294" t="s">
        <v>135</v>
      </c>
      <c r="C294" t="s">
        <v>3</v>
      </c>
      <c r="D294" s="2">
        <v>366000</v>
      </c>
      <c r="E294" s="2">
        <v>356345.2</v>
      </c>
      <c r="F294" s="2">
        <v>9654.7999999999993</v>
      </c>
      <c r="G294" s="3">
        <v>2</v>
      </c>
      <c r="H294" t="s">
        <v>3</v>
      </c>
      <c r="I294" t="s">
        <v>137</v>
      </c>
      <c r="J294" t="s">
        <v>311</v>
      </c>
      <c r="K294" t="s">
        <v>312</v>
      </c>
      <c r="L294" t="s">
        <v>3</v>
      </c>
      <c r="M294" t="s">
        <v>8</v>
      </c>
    </row>
    <row r="295" spans="1:13" x14ac:dyDescent="0.25">
      <c r="A295" t="s">
        <v>276</v>
      </c>
      <c r="B295" t="s">
        <v>143</v>
      </c>
      <c r="C295" t="s">
        <v>3</v>
      </c>
      <c r="D295" s="2">
        <v>991000</v>
      </c>
      <c r="E295" s="2">
        <v>974262.88</v>
      </c>
      <c r="F295" s="2">
        <v>16737.12</v>
      </c>
      <c r="G295" s="3">
        <v>2</v>
      </c>
      <c r="H295" t="s">
        <v>3</v>
      </c>
      <c r="I295" t="s">
        <v>145</v>
      </c>
      <c r="J295" t="s">
        <v>311</v>
      </c>
      <c r="K295" t="s">
        <v>312</v>
      </c>
      <c r="L295" t="s">
        <v>3</v>
      </c>
      <c r="M295" t="s">
        <v>8</v>
      </c>
    </row>
    <row r="296" spans="1:13" x14ac:dyDescent="0.25">
      <c r="A296" t="s">
        <v>276</v>
      </c>
      <c r="B296" t="s">
        <v>151</v>
      </c>
      <c r="C296" t="s">
        <v>3</v>
      </c>
      <c r="D296" s="2">
        <v>1318000</v>
      </c>
      <c r="E296" s="2">
        <v>1306661.67</v>
      </c>
      <c r="F296" s="2">
        <v>11338.33</v>
      </c>
      <c r="G296" s="3">
        <v>2</v>
      </c>
      <c r="H296" t="s">
        <v>3</v>
      </c>
      <c r="I296" t="s">
        <v>153</v>
      </c>
      <c r="J296" t="s">
        <v>311</v>
      </c>
      <c r="K296" t="s">
        <v>312</v>
      </c>
      <c r="L296" t="s">
        <v>3</v>
      </c>
      <c r="M296" t="s">
        <v>8</v>
      </c>
    </row>
    <row r="297" spans="1:13" x14ac:dyDescent="0.25">
      <c r="A297" t="s">
        <v>276</v>
      </c>
      <c r="B297" t="s">
        <v>159</v>
      </c>
      <c r="C297" t="s">
        <v>3</v>
      </c>
      <c r="D297" s="2">
        <v>888500</v>
      </c>
      <c r="E297" s="2">
        <v>873537.04</v>
      </c>
      <c r="F297" s="2">
        <v>14962.96</v>
      </c>
      <c r="G297" s="3">
        <v>2</v>
      </c>
      <c r="H297" t="s">
        <v>3</v>
      </c>
      <c r="I297" t="s">
        <v>161</v>
      </c>
      <c r="J297" t="s">
        <v>311</v>
      </c>
      <c r="K297" t="s">
        <v>312</v>
      </c>
      <c r="L297" t="s">
        <v>3</v>
      </c>
      <c r="M297" t="s">
        <v>8</v>
      </c>
    </row>
    <row r="298" spans="1:13" x14ac:dyDescent="0.25">
      <c r="A298" t="s">
        <v>276</v>
      </c>
      <c r="B298" t="s">
        <v>170</v>
      </c>
      <c r="C298" t="s">
        <v>3</v>
      </c>
      <c r="D298" s="2">
        <v>281500</v>
      </c>
      <c r="E298" s="2">
        <v>232696.95</v>
      </c>
      <c r="F298" s="2">
        <v>48803.05</v>
      </c>
      <c r="G298" s="3">
        <v>2</v>
      </c>
      <c r="H298" t="s">
        <v>3</v>
      </c>
      <c r="I298" t="s">
        <v>172</v>
      </c>
      <c r="J298" t="s">
        <v>311</v>
      </c>
      <c r="K298" t="s">
        <v>312</v>
      </c>
      <c r="L298" t="s">
        <v>3</v>
      </c>
      <c r="M298" t="s">
        <v>8</v>
      </c>
    </row>
    <row r="299" spans="1:13" x14ac:dyDescent="0.25">
      <c r="A299" t="s">
        <v>276</v>
      </c>
      <c r="B299" t="s">
        <v>179</v>
      </c>
      <c r="C299" t="s">
        <v>3</v>
      </c>
      <c r="D299" s="2">
        <v>22000</v>
      </c>
      <c r="E299" s="2">
        <v>14460</v>
      </c>
      <c r="F299" s="2">
        <v>7540</v>
      </c>
      <c r="G299" s="3">
        <v>2</v>
      </c>
      <c r="H299" t="s">
        <v>3</v>
      </c>
      <c r="I299" t="s">
        <v>181</v>
      </c>
      <c r="J299" t="s">
        <v>311</v>
      </c>
      <c r="K299" t="s">
        <v>312</v>
      </c>
      <c r="L299" t="s">
        <v>3</v>
      </c>
      <c r="M299" t="s">
        <v>8</v>
      </c>
    </row>
    <row r="300" spans="1:13" x14ac:dyDescent="0.25">
      <c r="A300" t="s">
        <v>276</v>
      </c>
      <c r="B300" t="s">
        <v>189</v>
      </c>
      <c r="C300" t="s">
        <v>3</v>
      </c>
      <c r="D300" s="2">
        <v>469000</v>
      </c>
      <c r="E300" s="2">
        <v>455584.78</v>
      </c>
      <c r="F300" s="2">
        <v>13415.22</v>
      </c>
      <c r="G300" s="3">
        <v>2</v>
      </c>
      <c r="H300" t="s">
        <v>3</v>
      </c>
      <c r="I300" t="s">
        <v>191</v>
      </c>
      <c r="J300" t="s">
        <v>311</v>
      </c>
      <c r="K300" t="s">
        <v>312</v>
      </c>
      <c r="L300" t="s">
        <v>3</v>
      </c>
      <c r="M300" t="s">
        <v>8</v>
      </c>
    </row>
    <row r="301" spans="1:13" x14ac:dyDescent="0.25">
      <c r="A301" t="s">
        <v>276</v>
      </c>
      <c r="B301" t="s">
        <v>198</v>
      </c>
      <c r="C301" t="s">
        <v>3</v>
      </c>
      <c r="D301" s="2">
        <v>413500</v>
      </c>
      <c r="E301" s="2">
        <v>378121</v>
      </c>
      <c r="F301" s="2">
        <v>35379</v>
      </c>
      <c r="G301" s="3">
        <v>2</v>
      </c>
      <c r="H301" t="s">
        <v>3</v>
      </c>
      <c r="I301" t="s">
        <v>200</v>
      </c>
      <c r="J301" t="s">
        <v>311</v>
      </c>
      <c r="K301" t="s">
        <v>312</v>
      </c>
      <c r="L301" t="s">
        <v>3</v>
      </c>
      <c r="M301" t="s">
        <v>8</v>
      </c>
    </row>
    <row r="302" spans="1:13" x14ac:dyDescent="0.25">
      <c r="A302" t="s">
        <v>276</v>
      </c>
      <c r="B302" t="s">
        <v>206</v>
      </c>
      <c r="C302" t="s">
        <v>3</v>
      </c>
      <c r="D302" s="2">
        <v>311500</v>
      </c>
      <c r="E302" s="2">
        <v>304879.5</v>
      </c>
      <c r="F302" s="2">
        <v>6620.5</v>
      </c>
      <c r="G302" s="3">
        <v>2</v>
      </c>
      <c r="H302" t="s">
        <v>3</v>
      </c>
      <c r="I302" t="s">
        <v>208</v>
      </c>
      <c r="J302" t="s">
        <v>311</v>
      </c>
      <c r="K302" t="s">
        <v>312</v>
      </c>
      <c r="L302" t="s">
        <v>3</v>
      </c>
      <c r="M302" t="s">
        <v>8</v>
      </c>
    </row>
    <row r="303" spans="1:13" x14ac:dyDescent="0.25">
      <c r="A303" t="s">
        <v>276</v>
      </c>
      <c r="B303" t="s">
        <v>214</v>
      </c>
      <c r="C303" t="s">
        <v>3</v>
      </c>
      <c r="D303" s="2">
        <v>26000</v>
      </c>
      <c r="E303" s="2">
        <v>22858.52</v>
      </c>
      <c r="F303" s="2">
        <v>3141.48</v>
      </c>
      <c r="G303" s="3">
        <v>2</v>
      </c>
      <c r="H303" t="s">
        <v>3</v>
      </c>
      <c r="I303" t="s">
        <v>216</v>
      </c>
      <c r="J303" t="s">
        <v>311</v>
      </c>
      <c r="K303" t="s">
        <v>312</v>
      </c>
      <c r="L303" t="s">
        <v>3</v>
      </c>
      <c r="M303" t="s">
        <v>8</v>
      </c>
    </row>
    <row r="304" spans="1:13" x14ac:dyDescent="0.25">
      <c r="A304" t="s">
        <v>276</v>
      </c>
      <c r="B304" t="s">
        <v>226</v>
      </c>
      <c r="C304" t="s">
        <v>3</v>
      </c>
      <c r="D304" s="2">
        <v>220000</v>
      </c>
      <c r="E304" s="2">
        <v>216190.6</v>
      </c>
      <c r="F304" s="2">
        <v>3809.4</v>
      </c>
      <c r="G304" s="3">
        <v>2</v>
      </c>
      <c r="H304" t="s">
        <v>3</v>
      </c>
      <c r="I304" t="s">
        <v>228</v>
      </c>
      <c r="J304" t="s">
        <v>311</v>
      </c>
      <c r="K304" t="s">
        <v>312</v>
      </c>
      <c r="L304" t="s">
        <v>3</v>
      </c>
      <c r="M304" t="s">
        <v>8</v>
      </c>
    </row>
    <row r="305" spans="1:13" x14ac:dyDescent="0.25">
      <c r="A305" t="s">
        <v>276</v>
      </c>
      <c r="B305" t="s">
        <v>234</v>
      </c>
      <c r="C305" t="s">
        <v>3</v>
      </c>
      <c r="D305" s="2">
        <v>227500</v>
      </c>
      <c r="E305" s="2">
        <v>66112</v>
      </c>
      <c r="F305" s="2">
        <v>161388</v>
      </c>
      <c r="G305" s="3">
        <v>2</v>
      </c>
      <c r="H305" t="s">
        <v>3</v>
      </c>
      <c r="I305" t="s">
        <v>236</v>
      </c>
      <c r="J305" t="s">
        <v>311</v>
      </c>
      <c r="K305" t="s">
        <v>312</v>
      </c>
      <c r="L305" t="s">
        <v>3</v>
      </c>
      <c r="M305" t="s">
        <v>8</v>
      </c>
    </row>
    <row r="306" spans="1:13" x14ac:dyDescent="0.25">
      <c r="A306" t="s">
        <v>276</v>
      </c>
      <c r="B306" t="s">
        <v>241</v>
      </c>
      <c r="C306" t="s">
        <v>3</v>
      </c>
      <c r="D306" s="2">
        <v>103600</v>
      </c>
      <c r="E306" s="2">
        <v>99905.2</v>
      </c>
      <c r="F306" s="2">
        <v>3694.8</v>
      </c>
      <c r="G306" s="3">
        <v>2</v>
      </c>
      <c r="H306" t="s">
        <v>3</v>
      </c>
      <c r="I306" t="s">
        <v>243</v>
      </c>
      <c r="J306" t="s">
        <v>311</v>
      </c>
      <c r="K306" t="s">
        <v>312</v>
      </c>
      <c r="L306" t="s">
        <v>3</v>
      </c>
      <c r="M306" t="s">
        <v>8</v>
      </c>
    </row>
    <row r="307" spans="1:13" x14ac:dyDescent="0.25">
      <c r="A307" t="s">
        <v>276</v>
      </c>
      <c r="B307" t="s">
        <v>248</v>
      </c>
      <c r="C307" t="s">
        <v>3</v>
      </c>
      <c r="D307" s="2">
        <v>804000</v>
      </c>
      <c r="E307" s="2">
        <v>649700.36</v>
      </c>
      <c r="F307" s="2">
        <v>154299.64000000001</v>
      </c>
      <c r="G307" s="3">
        <v>2</v>
      </c>
      <c r="H307" t="s">
        <v>3</v>
      </c>
      <c r="I307" t="s">
        <v>250</v>
      </c>
      <c r="J307" t="s">
        <v>311</v>
      </c>
      <c r="K307" t="s">
        <v>312</v>
      </c>
      <c r="L307" t="s">
        <v>3</v>
      </c>
      <c r="M307" t="s">
        <v>8</v>
      </c>
    </row>
    <row r="308" spans="1:13" x14ac:dyDescent="0.25">
      <c r="A308" t="s">
        <v>276</v>
      </c>
      <c r="B308" t="s">
        <v>259</v>
      </c>
      <c r="C308" t="s">
        <v>3</v>
      </c>
      <c r="D308" s="2">
        <v>222000</v>
      </c>
      <c r="E308" s="2">
        <v>193022.66</v>
      </c>
      <c r="F308" s="2">
        <v>28977.34</v>
      </c>
      <c r="G308" s="3">
        <v>2</v>
      </c>
      <c r="H308" t="s">
        <v>3</v>
      </c>
      <c r="I308" t="s">
        <v>261</v>
      </c>
      <c r="J308" t="s">
        <v>311</v>
      </c>
      <c r="K308" t="s">
        <v>312</v>
      </c>
      <c r="L308" t="s">
        <v>3</v>
      </c>
      <c r="M308" t="s">
        <v>8</v>
      </c>
    </row>
    <row r="309" spans="1:13" x14ac:dyDescent="0.25">
      <c r="A309" t="s">
        <v>276</v>
      </c>
      <c r="B309" t="s">
        <v>268</v>
      </c>
      <c r="C309" t="s">
        <v>3</v>
      </c>
      <c r="D309" s="2">
        <v>142000</v>
      </c>
      <c r="E309" s="2">
        <v>133739.78</v>
      </c>
      <c r="F309" s="2">
        <v>8260.2199999999993</v>
      </c>
      <c r="G309" s="3">
        <v>2</v>
      </c>
      <c r="H309" t="s">
        <v>3</v>
      </c>
      <c r="I309" t="s">
        <v>270</v>
      </c>
      <c r="J309" t="s">
        <v>311</v>
      </c>
      <c r="K309" t="s">
        <v>312</v>
      </c>
      <c r="L309" t="s">
        <v>3</v>
      </c>
      <c r="M309" t="s">
        <v>8</v>
      </c>
    </row>
    <row r="310" spans="1:13" x14ac:dyDescent="0.25">
      <c r="A310" t="s">
        <v>276</v>
      </c>
      <c r="B310" t="s">
        <v>277</v>
      </c>
      <c r="C310" t="s">
        <v>3</v>
      </c>
      <c r="D310" s="2">
        <v>100</v>
      </c>
      <c r="E310" s="2">
        <v>88.71</v>
      </c>
      <c r="F310" s="2">
        <v>11.29</v>
      </c>
      <c r="G310" s="3">
        <v>2</v>
      </c>
      <c r="H310" t="s">
        <v>3</v>
      </c>
      <c r="I310" t="s">
        <v>278</v>
      </c>
      <c r="J310" t="s">
        <v>283</v>
      </c>
      <c r="K310" t="s">
        <v>284</v>
      </c>
      <c r="L310" t="s">
        <v>3</v>
      </c>
      <c r="M310" t="s">
        <v>8</v>
      </c>
    </row>
    <row r="311" spans="1:13" x14ac:dyDescent="0.25">
      <c r="A311" t="s">
        <v>276</v>
      </c>
      <c r="B311" t="s">
        <v>295</v>
      </c>
      <c r="C311" t="s">
        <v>3</v>
      </c>
      <c r="D311" s="2">
        <v>229900</v>
      </c>
      <c r="E311" s="2">
        <v>94201.41</v>
      </c>
      <c r="F311" s="2">
        <v>135698.59</v>
      </c>
      <c r="G311" s="3">
        <v>2</v>
      </c>
      <c r="H311" t="s">
        <v>3</v>
      </c>
      <c r="I311" t="s">
        <v>296</v>
      </c>
      <c r="J311" t="s">
        <v>283</v>
      </c>
      <c r="K311" t="s">
        <v>284</v>
      </c>
      <c r="L311" t="s">
        <v>3</v>
      </c>
      <c r="M311" t="s">
        <v>8</v>
      </c>
    </row>
    <row r="312" spans="1:13" x14ac:dyDescent="0.25">
      <c r="A312" t="s">
        <v>276</v>
      </c>
      <c r="B312" t="s">
        <v>110</v>
      </c>
      <c r="C312" t="s">
        <v>3</v>
      </c>
      <c r="D312" s="2">
        <v>10500</v>
      </c>
      <c r="E312" s="2">
        <v>6326.62</v>
      </c>
      <c r="F312" s="2">
        <v>4173.38</v>
      </c>
      <c r="G312" s="3">
        <v>2</v>
      </c>
      <c r="H312" t="s">
        <v>3</v>
      </c>
      <c r="I312" t="s">
        <v>112</v>
      </c>
      <c r="J312" t="s">
        <v>283</v>
      </c>
      <c r="K312" t="s">
        <v>284</v>
      </c>
      <c r="L312" t="s">
        <v>3</v>
      </c>
      <c r="M312" t="s">
        <v>8</v>
      </c>
    </row>
    <row r="313" spans="1:13" x14ac:dyDescent="0.25">
      <c r="A313" t="s">
        <v>276</v>
      </c>
      <c r="B313" t="s">
        <v>119</v>
      </c>
      <c r="C313" t="s">
        <v>3</v>
      </c>
      <c r="D313" s="2">
        <v>22500</v>
      </c>
      <c r="E313" s="2">
        <v>15103.76</v>
      </c>
      <c r="F313" s="2">
        <v>7396.24</v>
      </c>
      <c r="G313" s="3">
        <v>2</v>
      </c>
      <c r="H313" t="s">
        <v>3</v>
      </c>
      <c r="I313" t="s">
        <v>121</v>
      </c>
      <c r="J313" t="s">
        <v>283</v>
      </c>
      <c r="K313" t="s">
        <v>284</v>
      </c>
      <c r="L313" t="s">
        <v>3</v>
      </c>
      <c r="M313" t="s">
        <v>8</v>
      </c>
    </row>
    <row r="314" spans="1:13" x14ac:dyDescent="0.25">
      <c r="A314" t="s">
        <v>276</v>
      </c>
      <c r="B314" t="s">
        <v>127</v>
      </c>
      <c r="C314" t="s">
        <v>3</v>
      </c>
      <c r="D314" s="2">
        <v>25000</v>
      </c>
      <c r="E314" s="2">
        <v>13025.59</v>
      </c>
      <c r="F314" s="2">
        <v>11974.41</v>
      </c>
      <c r="G314" s="3">
        <v>2</v>
      </c>
      <c r="H314" t="s">
        <v>3</v>
      </c>
      <c r="I314" t="s">
        <v>128</v>
      </c>
      <c r="J314" t="s">
        <v>283</v>
      </c>
      <c r="K314" t="s">
        <v>284</v>
      </c>
      <c r="L314" t="s">
        <v>3</v>
      </c>
      <c r="M314" t="s">
        <v>8</v>
      </c>
    </row>
    <row r="315" spans="1:13" x14ac:dyDescent="0.25">
      <c r="A315" t="s">
        <v>276</v>
      </c>
      <c r="B315" t="s">
        <v>135</v>
      </c>
      <c r="C315" t="s">
        <v>3</v>
      </c>
      <c r="D315" s="2">
        <v>25000</v>
      </c>
      <c r="E315" s="2">
        <v>12159.88</v>
      </c>
      <c r="F315" s="2">
        <v>12840.12</v>
      </c>
      <c r="G315" s="3">
        <v>2</v>
      </c>
      <c r="H315" t="s">
        <v>3</v>
      </c>
      <c r="I315" t="s">
        <v>137</v>
      </c>
      <c r="J315" t="s">
        <v>283</v>
      </c>
      <c r="K315" t="s">
        <v>284</v>
      </c>
      <c r="L315" t="s">
        <v>3</v>
      </c>
      <c r="M315" t="s">
        <v>8</v>
      </c>
    </row>
    <row r="316" spans="1:13" x14ac:dyDescent="0.25">
      <c r="A316" t="s">
        <v>276</v>
      </c>
      <c r="B316" t="s">
        <v>143</v>
      </c>
      <c r="C316" t="s">
        <v>3</v>
      </c>
      <c r="D316" s="2">
        <v>21000</v>
      </c>
      <c r="E316" s="2">
        <v>13923.28</v>
      </c>
      <c r="F316" s="2">
        <v>7076.72</v>
      </c>
      <c r="G316" s="3">
        <v>2</v>
      </c>
      <c r="H316" t="s">
        <v>3</v>
      </c>
      <c r="I316" t="s">
        <v>145</v>
      </c>
      <c r="J316" t="s">
        <v>283</v>
      </c>
      <c r="K316" t="s">
        <v>284</v>
      </c>
      <c r="L316" t="s">
        <v>3</v>
      </c>
      <c r="M316" t="s">
        <v>8</v>
      </c>
    </row>
    <row r="317" spans="1:13" x14ac:dyDescent="0.25">
      <c r="A317" t="s">
        <v>276</v>
      </c>
      <c r="B317" t="s">
        <v>151</v>
      </c>
      <c r="C317" t="s">
        <v>3</v>
      </c>
      <c r="D317" s="2">
        <v>22000</v>
      </c>
      <c r="E317" s="2">
        <v>12692.07</v>
      </c>
      <c r="F317" s="2">
        <v>9307.93</v>
      </c>
      <c r="G317" s="3">
        <v>2</v>
      </c>
      <c r="H317" t="s">
        <v>3</v>
      </c>
      <c r="I317" t="s">
        <v>153</v>
      </c>
      <c r="J317" t="s">
        <v>283</v>
      </c>
      <c r="K317" t="s">
        <v>284</v>
      </c>
      <c r="L317" t="s">
        <v>3</v>
      </c>
      <c r="M317" t="s">
        <v>8</v>
      </c>
    </row>
    <row r="318" spans="1:13" x14ac:dyDescent="0.25">
      <c r="A318" t="s">
        <v>276</v>
      </c>
      <c r="B318" t="s">
        <v>159</v>
      </c>
      <c r="C318" t="s">
        <v>3</v>
      </c>
      <c r="D318" s="2">
        <v>18000</v>
      </c>
      <c r="E318" s="2">
        <v>12184.58</v>
      </c>
      <c r="F318" s="2">
        <v>5815.42</v>
      </c>
      <c r="G318" s="3">
        <v>2</v>
      </c>
      <c r="H318" t="s">
        <v>3</v>
      </c>
      <c r="I318" t="s">
        <v>161</v>
      </c>
      <c r="J318" t="s">
        <v>283</v>
      </c>
      <c r="K318" t="s">
        <v>284</v>
      </c>
      <c r="L318" t="s">
        <v>3</v>
      </c>
      <c r="M318" t="s">
        <v>8</v>
      </c>
    </row>
    <row r="319" spans="1:13" x14ac:dyDescent="0.25">
      <c r="A319" t="s">
        <v>276</v>
      </c>
      <c r="B319" t="s">
        <v>170</v>
      </c>
      <c r="C319" t="s">
        <v>3</v>
      </c>
      <c r="D319" s="2">
        <v>15000</v>
      </c>
      <c r="E319" s="2">
        <v>7969.57</v>
      </c>
      <c r="F319" s="2">
        <v>7030.43</v>
      </c>
      <c r="G319" s="3">
        <v>2</v>
      </c>
      <c r="H319" t="s">
        <v>3</v>
      </c>
      <c r="I319" t="s">
        <v>172</v>
      </c>
      <c r="J319" t="s">
        <v>283</v>
      </c>
      <c r="K319" t="s">
        <v>284</v>
      </c>
      <c r="L319" t="s">
        <v>3</v>
      </c>
      <c r="M319" t="s">
        <v>8</v>
      </c>
    </row>
    <row r="320" spans="1:13" x14ac:dyDescent="0.25">
      <c r="A320" t="s">
        <v>276</v>
      </c>
      <c r="B320" t="s">
        <v>179</v>
      </c>
      <c r="C320" t="s">
        <v>3</v>
      </c>
      <c r="D320" s="2">
        <v>31000</v>
      </c>
      <c r="E320" s="2">
        <v>19226.810000000001</v>
      </c>
      <c r="F320" s="2">
        <v>11773.19</v>
      </c>
      <c r="G320" s="3">
        <v>2</v>
      </c>
      <c r="H320" t="s">
        <v>3</v>
      </c>
      <c r="I320" t="s">
        <v>181</v>
      </c>
      <c r="J320" t="s">
        <v>283</v>
      </c>
      <c r="K320" t="s">
        <v>284</v>
      </c>
      <c r="L320" t="s">
        <v>3</v>
      </c>
      <c r="M320" t="s">
        <v>8</v>
      </c>
    </row>
    <row r="321" spans="1:13" x14ac:dyDescent="0.25">
      <c r="A321" t="s">
        <v>276</v>
      </c>
      <c r="B321" t="s">
        <v>189</v>
      </c>
      <c r="C321" t="s">
        <v>3</v>
      </c>
      <c r="D321" s="2">
        <v>26000</v>
      </c>
      <c r="E321" s="2">
        <v>13856.17</v>
      </c>
      <c r="F321" s="2">
        <v>12143.83</v>
      </c>
      <c r="G321" s="3">
        <v>2</v>
      </c>
      <c r="H321" t="s">
        <v>3</v>
      </c>
      <c r="I321" t="s">
        <v>191</v>
      </c>
      <c r="J321" t="s">
        <v>283</v>
      </c>
      <c r="K321" t="s">
        <v>284</v>
      </c>
      <c r="L321" t="s">
        <v>3</v>
      </c>
      <c r="M321" t="s">
        <v>8</v>
      </c>
    </row>
    <row r="322" spans="1:13" x14ac:dyDescent="0.25">
      <c r="A322" t="s">
        <v>276</v>
      </c>
      <c r="B322" t="s">
        <v>198</v>
      </c>
      <c r="C322" t="s">
        <v>3</v>
      </c>
      <c r="D322" s="2">
        <v>22000</v>
      </c>
      <c r="E322" s="2">
        <v>16821.11</v>
      </c>
      <c r="F322" s="2">
        <v>5178.8900000000003</v>
      </c>
      <c r="G322" s="3">
        <v>2</v>
      </c>
      <c r="H322" t="s">
        <v>3</v>
      </c>
      <c r="I322" t="s">
        <v>200</v>
      </c>
      <c r="J322" t="s">
        <v>283</v>
      </c>
      <c r="K322" t="s">
        <v>284</v>
      </c>
      <c r="L322" t="s">
        <v>3</v>
      </c>
      <c r="M322" t="s">
        <v>8</v>
      </c>
    </row>
    <row r="323" spans="1:13" x14ac:dyDescent="0.25">
      <c r="A323" t="s">
        <v>276</v>
      </c>
      <c r="B323" t="s">
        <v>206</v>
      </c>
      <c r="C323" t="s">
        <v>3</v>
      </c>
      <c r="D323" s="2">
        <v>20000</v>
      </c>
      <c r="E323" s="2">
        <v>10144.1</v>
      </c>
      <c r="F323" s="2">
        <v>9855.9</v>
      </c>
      <c r="G323" s="3">
        <v>2</v>
      </c>
      <c r="H323" t="s">
        <v>3</v>
      </c>
      <c r="I323" t="s">
        <v>208</v>
      </c>
      <c r="J323" t="s">
        <v>283</v>
      </c>
      <c r="K323" t="s">
        <v>284</v>
      </c>
      <c r="L323" t="s">
        <v>3</v>
      </c>
      <c r="M323" t="s">
        <v>8</v>
      </c>
    </row>
    <row r="324" spans="1:13" x14ac:dyDescent="0.25">
      <c r="A324" t="s">
        <v>276</v>
      </c>
      <c r="B324" t="s">
        <v>214</v>
      </c>
      <c r="C324" t="s">
        <v>3</v>
      </c>
      <c r="D324" s="2">
        <v>28000</v>
      </c>
      <c r="E324" s="2">
        <v>16835.88</v>
      </c>
      <c r="F324" s="2">
        <v>11164.12</v>
      </c>
      <c r="G324" s="3">
        <v>2</v>
      </c>
      <c r="H324" t="s">
        <v>3</v>
      </c>
      <c r="I324" t="s">
        <v>216</v>
      </c>
      <c r="J324" t="s">
        <v>283</v>
      </c>
      <c r="K324" t="s">
        <v>284</v>
      </c>
      <c r="L324" t="s">
        <v>3</v>
      </c>
      <c r="M324" t="s">
        <v>8</v>
      </c>
    </row>
    <row r="325" spans="1:13" x14ac:dyDescent="0.25">
      <c r="A325" t="s">
        <v>276</v>
      </c>
      <c r="B325" t="s">
        <v>226</v>
      </c>
      <c r="C325" t="s">
        <v>3</v>
      </c>
      <c r="D325" s="2">
        <v>14000</v>
      </c>
      <c r="E325" s="2">
        <v>6358</v>
      </c>
      <c r="F325" s="2">
        <v>7642</v>
      </c>
      <c r="G325" s="3">
        <v>2</v>
      </c>
      <c r="H325" t="s">
        <v>3</v>
      </c>
      <c r="I325" t="s">
        <v>228</v>
      </c>
      <c r="J325" t="s">
        <v>283</v>
      </c>
      <c r="K325" t="s">
        <v>284</v>
      </c>
      <c r="L325" t="s">
        <v>3</v>
      </c>
      <c r="M325" t="s">
        <v>8</v>
      </c>
    </row>
    <row r="326" spans="1:13" x14ac:dyDescent="0.25">
      <c r="A326" t="s">
        <v>276</v>
      </c>
      <c r="B326" t="s">
        <v>234</v>
      </c>
      <c r="C326" t="s">
        <v>3</v>
      </c>
      <c r="D326" s="2">
        <v>17000</v>
      </c>
      <c r="E326" s="2">
        <v>6669.5</v>
      </c>
      <c r="F326" s="2">
        <v>10330.5</v>
      </c>
      <c r="G326" s="3">
        <v>2</v>
      </c>
      <c r="H326" t="s">
        <v>3</v>
      </c>
      <c r="I326" t="s">
        <v>236</v>
      </c>
      <c r="J326" t="s">
        <v>283</v>
      </c>
      <c r="K326" t="s">
        <v>284</v>
      </c>
      <c r="L326" t="s">
        <v>3</v>
      </c>
      <c r="M326" t="s">
        <v>8</v>
      </c>
    </row>
    <row r="327" spans="1:13" x14ac:dyDescent="0.25">
      <c r="A327" t="s">
        <v>276</v>
      </c>
      <c r="B327" t="s">
        <v>241</v>
      </c>
      <c r="C327" t="s">
        <v>3</v>
      </c>
      <c r="D327" s="2">
        <v>19000</v>
      </c>
      <c r="E327" s="2">
        <v>5338.34</v>
      </c>
      <c r="F327" s="2">
        <v>13661.66</v>
      </c>
      <c r="G327" s="3">
        <v>2</v>
      </c>
      <c r="H327" t="s">
        <v>3</v>
      </c>
      <c r="I327" t="s">
        <v>243</v>
      </c>
      <c r="J327" t="s">
        <v>283</v>
      </c>
      <c r="K327" t="s">
        <v>284</v>
      </c>
      <c r="L327" t="s">
        <v>3</v>
      </c>
      <c r="M327" t="s">
        <v>8</v>
      </c>
    </row>
    <row r="328" spans="1:13" x14ac:dyDescent="0.25">
      <c r="A328" t="s">
        <v>276</v>
      </c>
      <c r="B328" t="s">
        <v>248</v>
      </c>
      <c r="C328" t="s">
        <v>3</v>
      </c>
      <c r="D328" s="2">
        <v>30000</v>
      </c>
      <c r="E328" s="2">
        <v>13979.85</v>
      </c>
      <c r="F328" s="2">
        <v>16020.15</v>
      </c>
      <c r="G328" s="3">
        <v>2</v>
      </c>
      <c r="H328" t="s">
        <v>3</v>
      </c>
      <c r="I328" t="s">
        <v>250</v>
      </c>
      <c r="J328" t="s">
        <v>283</v>
      </c>
      <c r="K328" t="s">
        <v>284</v>
      </c>
      <c r="L328" t="s">
        <v>3</v>
      </c>
      <c r="M328" t="s">
        <v>8</v>
      </c>
    </row>
    <row r="329" spans="1:13" x14ac:dyDescent="0.25">
      <c r="A329" t="s">
        <v>276</v>
      </c>
      <c r="B329" t="s">
        <v>259</v>
      </c>
      <c r="C329" t="s">
        <v>3</v>
      </c>
      <c r="D329" s="2">
        <v>12000</v>
      </c>
      <c r="E329" s="2">
        <v>5326.99</v>
      </c>
      <c r="F329" s="2">
        <v>6673.01</v>
      </c>
      <c r="G329" s="3">
        <v>2</v>
      </c>
      <c r="H329" t="s">
        <v>3</v>
      </c>
      <c r="I329" t="s">
        <v>261</v>
      </c>
      <c r="J329" t="s">
        <v>283</v>
      </c>
      <c r="K329" t="s">
        <v>284</v>
      </c>
      <c r="L329" t="s">
        <v>3</v>
      </c>
      <c r="M329" t="s">
        <v>8</v>
      </c>
    </row>
    <row r="330" spans="1:13" x14ac:dyDescent="0.25">
      <c r="A330" t="s">
        <v>276</v>
      </c>
      <c r="B330" t="s">
        <v>268</v>
      </c>
      <c r="C330" t="s">
        <v>3</v>
      </c>
      <c r="D330" s="2">
        <v>12000</v>
      </c>
      <c r="E330" s="2">
        <v>6529.79</v>
      </c>
      <c r="F330" s="2">
        <v>5470.21</v>
      </c>
      <c r="G330" s="3">
        <v>2</v>
      </c>
      <c r="H330" t="s">
        <v>3</v>
      </c>
      <c r="I330" t="s">
        <v>270</v>
      </c>
      <c r="J330" t="s">
        <v>283</v>
      </c>
      <c r="K330" t="s">
        <v>284</v>
      </c>
      <c r="L330" t="s">
        <v>3</v>
      </c>
      <c r="M330" t="s">
        <v>8</v>
      </c>
    </row>
    <row r="331" spans="1:13" x14ac:dyDescent="0.25">
      <c r="A331" t="s">
        <v>276</v>
      </c>
      <c r="B331" t="s">
        <v>295</v>
      </c>
      <c r="C331" t="s">
        <v>3</v>
      </c>
      <c r="D331" s="2">
        <v>818100</v>
      </c>
      <c r="E331" s="2">
        <v>793635.47</v>
      </c>
      <c r="F331" s="2">
        <v>24464.53</v>
      </c>
      <c r="G331" s="3">
        <v>2</v>
      </c>
      <c r="H331" t="s">
        <v>3</v>
      </c>
      <c r="I331" t="s">
        <v>296</v>
      </c>
      <c r="J331" t="s">
        <v>313</v>
      </c>
      <c r="K331" t="s">
        <v>314</v>
      </c>
      <c r="L331" t="s">
        <v>3</v>
      </c>
      <c r="M331" t="s">
        <v>8</v>
      </c>
    </row>
    <row r="332" spans="1:13" x14ac:dyDescent="0.25">
      <c r="A332" t="s">
        <v>276</v>
      </c>
      <c r="B332" t="s">
        <v>341</v>
      </c>
      <c r="C332" t="s">
        <v>3</v>
      </c>
      <c r="D332" s="2">
        <v>12000</v>
      </c>
      <c r="E332" s="2">
        <v>1140.8900000000001</v>
      </c>
      <c r="F332" s="2">
        <v>10859.11</v>
      </c>
      <c r="G332" s="3">
        <v>2</v>
      </c>
      <c r="H332" t="s">
        <v>3</v>
      </c>
      <c r="I332" t="s">
        <v>342</v>
      </c>
      <c r="J332" t="s">
        <v>313</v>
      </c>
      <c r="K332" t="s">
        <v>314</v>
      </c>
      <c r="L332" t="s">
        <v>3</v>
      </c>
      <c r="M332" t="s">
        <v>8</v>
      </c>
    </row>
    <row r="333" spans="1:13" x14ac:dyDescent="0.25">
      <c r="A333" t="s">
        <v>276</v>
      </c>
      <c r="B333" t="s">
        <v>9</v>
      </c>
      <c r="C333" t="s">
        <v>3</v>
      </c>
      <c r="D333" s="2">
        <v>6000</v>
      </c>
      <c r="E333" s="2">
        <v>0</v>
      </c>
      <c r="F333" s="2">
        <v>6000</v>
      </c>
      <c r="G333" s="3">
        <v>1</v>
      </c>
      <c r="H333" t="s">
        <v>3</v>
      </c>
      <c r="I333" t="s">
        <v>11</v>
      </c>
      <c r="J333" t="s">
        <v>313</v>
      </c>
      <c r="K333" t="s">
        <v>314</v>
      </c>
      <c r="L333" t="s">
        <v>3</v>
      </c>
      <c r="M333" t="s">
        <v>8</v>
      </c>
    </row>
    <row r="334" spans="1:13" x14ac:dyDescent="0.25">
      <c r="A334" t="s">
        <v>276</v>
      </c>
      <c r="B334" t="s">
        <v>13</v>
      </c>
      <c r="C334" t="s">
        <v>3</v>
      </c>
      <c r="D334" s="2">
        <v>522000</v>
      </c>
      <c r="E334" s="2">
        <v>361725.65</v>
      </c>
      <c r="F334" s="2">
        <v>160274.35</v>
      </c>
      <c r="G334" s="3">
        <v>2</v>
      </c>
      <c r="H334" t="s">
        <v>3</v>
      </c>
      <c r="I334" t="s">
        <v>15</v>
      </c>
      <c r="J334" t="s">
        <v>313</v>
      </c>
      <c r="K334" t="s">
        <v>314</v>
      </c>
      <c r="L334" t="s">
        <v>3</v>
      </c>
      <c r="M334" t="s">
        <v>8</v>
      </c>
    </row>
    <row r="335" spans="1:13" x14ac:dyDescent="0.25">
      <c r="A335" t="s">
        <v>276</v>
      </c>
      <c r="B335" t="s">
        <v>77</v>
      </c>
      <c r="C335" t="s">
        <v>3</v>
      </c>
      <c r="D335" s="2">
        <v>800</v>
      </c>
      <c r="E335" s="2">
        <v>705</v>
      </c>
      <c r="F335" s="2">
        <v>95</v>
      </c>
      <c r="G335" s="3">
        <v>2</v>
      </c>
      <c r="H335" t="s">
        <v>3</v>
      </c>
      <c r="I335" t="s">
        <v>79</v>
      </c>
      <c r="J335" t="s">
        <v>313</v>
      </c>
      <c r="K335" t="s">
        <v>314</v>
      </c>
      <c r="L335" t="s">
        <v>3</v>
      </c>
      <c r="M335" t="s">
        <v>8</v>
      </c>
    </row>
    <row r="336" spans="1:13" x14ac:dyDescent="0.25">
      <c r="A336" t="s">
        <v>276</v>
      </c>
      <c r="B336" t="s">
        <v>110</v>
      </c>
      <c r="C336" t="s">
        <v>3</v>
      </c>
      <c r="D336" s="2">
        <v>47000</v>
      </c>
      <c r="E336" s="2">
        <v>34960.75</v>
      </c>
      <c r="F336" s="2">
        <v>12039.25</v>
      </c>
      <c r="G336" s="3">
        <v>2</v>
      </c>
      <c r="H336" t="s">
        <v>3</v>
      </c>
      <c r="I336" t="s">
        <v>112</v>
      </c>
      <c r="J336" t="s">
        <v>313</v>
      </c>
      <c r="K336" t="s">
        <v>314</v>
      </c>
      <c r="L336" t="s">
        <v>3</v>
      </c>
      <c r="M336" t="s">
        <v>8</v>
      </c>
    </row>
    <row r="337" spans="1:13" x14ac:dyDescent="0.25">
      <c r="A337" t="s">
        <v>276</v>
      </c>
      <c r="B337" t="s">
        <v>119</v>
      </c>
      <c r="C337" t="s">
        <v>3</v>
      </c>
      <c r="D337" s="2">
        <v>62000</v>
      </c>
      <c r="E337" s="2">
        <v>58094.05</v>
      </c>
      <c r="F337" s="2">
        <v>3905.95</v>
      </c>
      <c r="G337" s="3">
        <v>2</v>
      </c>
      <c r="H337" t="s">
        <v>3</v>
      </c>
      <c r="I337" t="s">
        <v>121</v>
      </c>
      <c r="J337" t="s">
        <v>313</v>
      </c>
      <c r="K337" t="s">
        <v>314</v>
      </c>
      <c r="L337" t="s">
        <v>3</v>
      </c>
      <c r="M337" t="s">
        <v>8</v>
      </c>
    </row>
    <row r="338" spans="1:13" x14ac:dyDescent="0.25">
      <c r="A338" t="s">
        <v>276</v>
      </c>
      <c r="B338" t="s">
        <v>127</v>
      </c>
      <c r="C338" t="s">
        <v>3</v>
      </c>
      <c r="D338" s="2">
        <v>52000</v>
      </c>
      <c r="E338" s="2">
        <v>38895.040000000001</v>
      </c>
      <c r="F338" s="2">
        <v>13104.96</v>
      </c>
      <c r="G338" s="3">
        <v>2</v>
      </c>
      <c r="H338" t="s">
        <v>3</v>
      </c>
      <c r="I338" t="s">
        <v>128</v>
      </c>
      <c r="J338" t="s">
        <v>313</v>
      </c>
      <c r="K338" t="s">
        <v>314</v>
      </c>
      <c r="L338" t="s">
        <v>3</v>
      </c>
      <c r="M338" t="s">
        <v>8</v>
      </c>
    </row>
    <row r="339" spans="1:13" x14ac:dyDescent="0.25">
      <c r="A339" t="s">
        <v>276</v>
      </c>
      <c r="B339" t="s">
        <v>135</v>
      </c>
      <c r="C339" t="s">
        <v>3</v>
      </c>
      <c r="D339" s="2">
        <v>152000</v>
      </c>
      <c r="E339" s="2">
        <v>126851.55</v>
      </c>
      <c r="F339" s="2">
        <v>25148.45</v>
      </c>
      <c r="G339" s="3">
        <v>2</v>
      </c>
      <c r="H339" t="s">
        <v>3</v>
      </c>
      <c r="I339" t="s">
        <v>137</v>
      </c>
      <c r="J339" t="s">
        <v>313</v>
      </c>
      <c r="K339" t="s">
        <v>314</v>
      </c>
      <c r="L339" t="s">
        <v>3</v>
      </c>
      <c r="M339" t="s">
        <v>8</v>
      </c>
    </row>
    <row r="340" spans="1:13" x14ac:dyDescent="0.25">
      <c r="A340" t="s">
        <v>276</v>
      </c>
      <c r="B340" t="s">
        <v>143</v>
      </c>
      <c r="C340" t="s">
        <v>3</v>
      </c>
      <c r="D340" s="2">
        <v>82500</v>
      </c>
      <c r="E340" s="2">
        <v>56185.7</v>
      </c>
      <c r="F340" s="2">
        <v>26314.3</v>
      </c>
      <c r="G340" s="3">
        <v>2</v>
      </c>
      <c r="H340" t="s">
        <v>3</v>
      </c>
      <c r="I340" t="s">
        <v>145</v>
      </c>
      <c r="J340" t="s">
        <v>313</v>
      </c>
      <c r="K340" t="s">
        <v>314</v>
      </c>
      <c r="L340" t="s">
        <v>3</v>
      </c>
      <c r="M340" t="s">
        <v>8</v>
      </c>
    </row>
    <row r="341" spans="1:13" x14ac:dyDescent="0.25">
      <c r="A341" t="s">
        <v>276</v>
      </c>
      <c r="B341" t="s">
        <v>151</v>
      </c>
      <c r="C341" t="s">
        <v>3</v>
      </c>
      <c r="D341" s="2">
        <v>83500</v>
      </c>
      <c r="E341" s="2">
        <v>56321.63</v>
      </c>
      <c r="F341" s="2">
        <v>27178.37</v>
      </c>
      <c r="G341" s="3">
        <v>2</v>
      </c>
      <c r="H341" t="s">
        <v>3</v>
      </c>
      <c r="I341" t="s">
        <v>153</v>
      </c>
      <c r="J341" t="s">
        <v>313</v>
      </c>
      <c r="K341" t="s">
        <v>314</v>
      </c>
      <c r="L341" t="s">
        <v>3</v>
      </c>
      <c r="M341" t="s">
        <v>8</v>
      </c>
    </row>
    <row r="342" spans="1:13" x14ac:dyDescent="0.25">
      <c r="A342" t="s">
        <v>276</v>
      </c>
      <c r="B342" t="s">
        <v>159</v>
      </c>
      <c r="C342" t="s">
        <v>3</v>
      </c>
      <c r="D342" s="2">
        <v>95100</v>
      </c>
      <c r="E342" s="2">
        <v>65134.32</v>
      </c>
      <c r="F342" s="2">
        <v>29965.68</v>
      </c>
      <c r="G342" s="3">
        <v>2</v>
      </c>
      <c r="H342" t="s">
        <v>3</v>
      </c>
      <c r="I342" t="s">
        <v>161</v>
      </c>
      <c r="J342" t="s">
        <v>313</v>
      </c>
      <c r="K342" t="s">
        <v>314</v>
      </c>
      <c r="L342" t="s">
        <v>3</v>
      </c>
      <c r="M342" t="s">
        <v>8</v>
      </c>
    </row>
    <row r="343" spans="1:13" x14ac:dyDescent="0.25">
      <c r="A343" t="s">
        <v>276</v>
      </c>
      <c r="B343" t="s">
        <v>170</v>
      </c>
      <c r="C343" t="s">
        <v>3</v>
      </c>
      <c r="D343" s="2">
        <v>67000</v>
      </c>
      <c r="E343" s="2">
        <v>54983.76</v>
      </c>
      <c r="F343" s="2">
        <v>12016.24</v>
      </c>
      <c r="G343" s="3">
        <v>2</v>
      </c>
      <c r="H343" t="s">
        <v>3</v>
      </c>
      <c r="I343" t="s">
        <v>172</v>
      </c>
      <c r="J343" t="s">
        <v>313</v>
      </c>
      <c r="K343" t="s">
        <v>314</v>
      </c>
      <c r="L343" t="s">
        <v>3</v>
      </c>
      <c r="M343" t="s">
        <v>8</v>
      </c>
    </row>
    <row r="344" spans="1:13" x14ac:dyDescent="0.25">
      <c r="A344" t="s">
        <v>276</v>
      </c>
      <c r="B344" t="s">
        <v>179</v>
      </c>
      <c r="C344" t="s">
        <v>3</v>
      </c>
      <c r="D344" s="2">
        <v>97000</v>
      </c>
      <c r="E344" s="2">
        <v>76285.62</v>
      </c>
      <c r="F344" s="2">
        <v>20714.38</v>
      </c>
      <c r="G344" s="3">
        <v>2</v>
      </c>
      <c r="H344" t="s">
        <v>3</v>
      </c>
      <c r="I344" t="s">
        <v>181</v>
      </c>
      <c r="J344" t="s">
        <v>313</v>
      </c>
      <c r="K344" t="s">
        <v>314</v>
      </c>
      <c r="L344" t="s">
        <v>3</v>
      </c>
      <c r="M344" t="s">
        <v>8</v>
      </c>
    </row>
    <row r="345" spans="1:13" x14ac:dyDescent="0.25">
      <c r="A345" t="s">
        <v>276</v>
      </c>
      <c r="B345" t="s">
        <v>189</v>
      </c>
      <c r="C345" t="s">
        <v>3</v>
      </c>
      <c r="D345" s="2">
        <v>57000</v>
      </c>
      <c r="E345" s="2">
        <v>50761.1</v>
      </c>
      <c r="F345" s="2">
        <v>6238.9</v>
      </c>
      <c r="G345" s="3">
        <v>2</v>
      </c>
      <c r="H345" t="s">
        <v>3</v>
      </c>
      <c r="I345" t="s">
        <v>191</v>
      </c>
      <c r="J345" t="s">
        <v>313</v>
      </c>
      <c r="K345" t="s">
        <v>314</v>
      </c>
      <c r="L345" t="s">
        <v>3</v>
      </c>
      <c r="M345" t="s">
        <v>8</v>
      </c>
    </row>
    <row r="346" spans="1:13" x14ac:dyDescent="0.25">
      <c r="A346" t="s">
        <v>276</v>
      </c>
      <c r="B346" t="s">
        <v>198</v>
      </c>
      <c r="C346" t="s">
        <v>3</v>
      </c>
      <c r="D346" s="2">
        <v>87000</v>
      </c>
      <c r="E346" s="2">
        <v>69825.990000000005</v>
      </c>
      <c r="F346" s="2">
        <v>17174.009999999998</v>
      </c>
      <c r="G346" s="3">
        <v>2</v>
      </c>
      <c r="H346" t="s">
        <v>3</v>
      </c>
      <c r="I346" t="s">
        <v>200</v>
      </c>
      <c r="J346" t="s">
        <v>313</v>
      </c>
      <c r="K346" t="s">
        <v>314</v>
      </c>
      <c r="L346" t="s">
        <v>3</v>
      </c>
      <c r="M346" t="s">
        <v>8</v>
      </c>
    </row>
    <row r="347" spans="1:13" x14ac:dyDescent="0.25">
      <c r="A347" t="s">
        <v>276</v>
      </c>
      <c r="B347" t="s">
        <v>206</v>
      </c>
      <c r="C347" t="s">
        <v>3</v>
      </c>
      <c r="D347" s="2">
        <v>57000</v>
      </c>
      <c r="E347" s="2">
        <v>31790.22</v>
      </c>
      <c r="F347" s="2">
        <v>25209.78</v>
      </c>
      <c r="G347" s="3">
        <v>2</v>
      </c>
      <c r="H347" t="s">
        <v>3</v>
      </c>
      <c r="I347" t="s">
        <v>208</v>
      </c>
      <c r="J347" t="s">
        <v>313</v>
      </c>
      <c r="K347" t="s">
        <v>314</v>
      </c>
      <c r="L347" t="s">
        <v>3</v>
      </c>
      <c r="M347" t="s">
        <v>8</v>
      </c>
    </row>
    <row r="348" spans="1:13" x14ac:dyDescent="0.25">
      <c r="A348" t="s">
        <v>276</v>
      </c>
      <c r="B348" t="s">
        <v>214</v>
      </c>
      <c r="C348" t="s">
        <v>3</v>
      </c>
      <c r="D348" s="2">
        <v>82000</v>
      </c>
      <c r="E348" s="2">
        <v>79980.2</v>
      </c>
      <c r="F348" s="2">
        <v>2019.8</v>
      </c>
      <c r="G348" s="3">
        <v>2</v>
      </c>
      <c r="H348" t="s">
        <v>3</v>
      </c>
      <c r="I348" t="s">
        <v>216</v>
      </c>
      <c r="J348" t="s">
        <v>313</v>
      </c>
      <c r="K348" t="s">
        <v>314</v>
      </c>
      <c r="L348" t="s">
        <v>3</v>
      </c>
      <c r="M348" t="s">
        <v>8</v>
      </c>
    </row>
    <row r="349" spans="1:13" x14ac:dyDescent="0.25">
      <c r="A349" t="s">
        <v>276</v>
      </c>
      <c r="B349" t="s">
        <v>226</v>
      </c>
      <c r="C349" t="s">
        <v>3</v>
      </c>
      <c r="D349" s="2">
        <v>47000</v>
      </c>
      <c r="E349" s="2">
        <v>33738.36</v>
      </c>
      <c r="F349" s="2">
        <v>13261.64</v>
      </c>
      <c r="G349" s="3">
        <v>2</v>
      </c>
      <c r="H349" t="s">
        <v>3</v>
      </c>
      <c r="I349" t="s">
        <v>228</v>
      </c>
      <c r="J349" t="s">
        <v>313</v>
      </c>
      <c r="K349" t="s">
        <v>314</v>
      </c>
      <c r="L349" t="s">
        <v>3</v>
      </c>
      <c r="M349" t="s">
        <v>8</v>
      </c>
    </row>
    <row r="350" spans="1:13" x14ac:dyDescent="0.25">
      <c r="A350" t="s">
        <v>276</v>
      </c>
      <c r="B350" t="s">
        <v>234</v>
      </c>
      <c r="C350" t="s">
        <v>3</v>
      </c>
      <c r="D350" s="2">
        <v>47000</v>
      </c>
      <c r="E350" s="2">
        <v>7921.75</v>
      </c>
      <c r="F350" s="2">
        <v>39078.25</v>
      </c>
      <c r="G350" s="3">
        <v>2</v>
      </c>
      <c r="H350" t="s">
        <v>3</v>
      </c>
      <c r="I350" t="s">
        <v>236</v>
      </c>
      <c r="J350" t="s">
        <v>313</v>
      </c>
      <c r="K350" t="s">
        <v>314</v>
      </c>
      <c r="L350" t="s">
        <v>3</v>
      </c>
      <c r="M350" t="s">
        <v>8</v>
      </c>
    </row>
    <row r="351" spans="1:13" x14ac:dyDescent="0.25">
      <c r="A351" t="s">
        <v>276</v>
      </c>
      <c r="B351" t="s">
        <v>241</v>
      </c>
      <c r="C351" t="s">
        <v>3</v>
      </c>
      <c r="D351" s="2">
        <v>52000</v>
      </c>
      <c r="E351" s="2">
        <v>38867</v>
      </c>
      <c r="F351" s="2">
        <v>13133</v>
      </c>
      <c r="G351" s="3">
        <v>2</v>
      </c>
      <c r="H351" t="s">
        <v>3</v>
      </c>
      <c r="I351" t="s">
        <v>243</v>
      </c>
      <c r="J351" t="s">
        <v>313</v>
      </c>
      <c r="K351" t="s">
        <v>314</v>
      </c>
      <c r="L351" t="s">
        <v>3</v>
      </c>
      <c r="M351" t="s">
        <v>8</v>
      </c>
    </row>
    <row r="352" spans="1:13" x14ac:dyDescent="0.25">
      <c r="A352" t="s">
        <v>276</v>
      </c>
      <c r="B352" t="s">
        <v>248</v>
      </c>
      <c r="C352" t="s">
        <v>3</v>
      </c>
      <c r="D352" s="2">
        <v>92000</v>
      </c>
      <c r="E352" s="2">
        <v>79125.149999999994</v>
      </c>
      <c r="F352" s="2">
        <v>12874.85</v>
      </c>
      <c r="G352" s="3">
        <v>2</v>
      </c>
      <c r="H352" t="s">
        <v>3</v>
      </c>
      <c r="I352" t="s">
        <v>250</v>
      </c>
      <c r="J352" t="s">
        <v>313</v>
      </c>
      <c r="K352" t="s">
        <v>314</v>
      </c>
      <c r="L352" t="s">
        <v>3</v>
      </c>
      <c r="M352" t="s">
        <v>8</v>
      </c>
    </row>
    <row r="353" spans="1:13" x14ac:dyDescent="0.25">
      <c r="A353" t="s">
        <v>276</v>
      </c>
      <c r="B353" t="s">
        <v>259</v>
      </c>
      <c r="C353" t="s">
        <v>3</v>
      </c>
      <c r="D353" s="2">
        <v>42000</v>
      </c>
      <c r="E353" s="2">
        <v>23510.74</v>
      </c>
      <c r="F353" s="2">
        <v>18489.259999999998</v>
      </c>
      <c r="G353" s="3">
        <v>2</v>
      </c>
      <c r="H353" t="s">
        <v>3</v>
      </c>
      <c r="I353" t="s">
        <v>261</v>
      </c>
      <c r="J353" t="s">
        <v>313</v>
      </c>
      <c r="K353" t="s">
        <v>314</v>
      </c>
      <c r="L353" t="s">
        <v>3</v>
      </c>
      <c r="M353" t="s">
        <v>8</v>
      </c>
    </row>
    <row r="354" spans="1:13" x14ac:dyDescent="0.25">
      <c r="A354" t="s">
        <v>276</v>
      </c>
      <c r="B354" t="s">
        <v>268</v>
      </c>
      <c r="C354" t="s">
        <v>3</v>
      </c>
      <c r="D354" s="2">
        <v>47000</v>
      </c>
      <c r="E354" s="2">
        <v>38743.32</v>
      </c>
      <c r="F354" s="2">
        <v>8256.68</v>
      </c>
      <c r="G354" s="3">
        <v>2</v>
      </c>
      <c r="H354" t="s">
        <v>3</v>
      </c>
      <c r="I354" t="s">
        <v>270</v>
      </c>
      <c r="J354" t="s">
        <v>313</v>
      </c>
      <c r="K354" t="s">
        <v>314</v>
      </c>
      <c r="L354" t="s">
        <v>3</v>
      </c>
      <c r="M354" t="s">
        <v>8</v>
      </c>
    </row>
    <row r="355" spans="1:13" x14ac:dyDescent="0.25">
      <c r="A355" t="s">
        <v>276</v>
      </c>
      <c r="B355" t="s">
        <v>329</v>
      </c>
      <c r="C355" t="s">
        <v>3</v>
      </c>
      <c r="D355" s="2">
        <v>100000</v>
      </c>
      <c r="E355" s="2">
        <v>0</v>
      </c>
      <c r="F355" s="2">
        <v>100000</v>
      </c>
      <c r="G355" s="3">
        <v>1</v>
      </c>
      <c r="H355" t="s">
        <v>3</v>
      </c>
      <c r="I355" t="s">
        <v>330</v>
      </c>
      <c r="J355" t="s">
        <v>331</v>
      </c>
      <c r="K355" t="s">
        <v>332</v>
      </c>
      <c r="L355" t="s">
        <v>3</v>
      </c>
      <c r="M355" t="s">
        <v>8</v>
      </c>
    </row>
    <row r="356" spans="1:13" x14ac:dyDescent="0.25">
      <c r="A356" t="s">
        <v>276</v>
      </c>
      <c r="B356" t="s">
        <v>341</v>
      </c>
      <c r="C356" t="s">
        <v>3</v>
      </c>
      <c r="D356" s="2">
        <v>1317200</v>
      </c>
      <c r="E356" s="2">
        <v>0</v>
      </c>
      <c r="F356" s="2">
        <v>1317200</v>
      </c>
      <c r="G356" s="3">
        <v>1</v>
      </c>
      <c r="H356" t="s">
        <v>3</v>
      </c>
      <c r="I356" t="s">
        <v>342</v>
      </c>
      <c r="J356" t="s">
        <v>331</v>
      </c>
      <c r="K356" t="s">
        <v>332</v>
      </c>
      <c r="L356" t="s">
        <v>3</v>
      </c>
      <c r="M356" t="s">
        <v>8</v>
      </c>
    </row>
    <row r="357" spans="1:13" x14ac:dyDescent="0.25">
      <c r="A357" t="s">
        <v>276</v>
      </c>
      <c r="B357" t="s">
        <v>110</v>
      </c>
      <c r="C357" t="s">
        <v>3</v>
      </c>
      <c r="D357" s="2">
        <v>10100</v>
      </c>
      <c r="E357" s="2">
        <v>0</v>
      </c>
      <c r="F357" s="2">
        <v>10100</v>
      </c>
      <c r="G357" s="3">
        <v>1</v>
      </c>
      <c r="H357" t="s">
        <v>3</v>
      </c>
      <c r="I357" t="s">
        <v>112</v>
      </c>
      <c r="J357" t="s">
        <v>331</v>
      </c>
      <c r="K357" t="s">
        <v>332</v>
      </c>
      <c r="L357" t="s">
        <v>3</v>
      </c>
      <c r="M357" t="s">
        <v>8</v>
      </c>
    </row>
    <row r="358" spans="1:13" x14ac:dyDescent="0.25">
      <c r="A358" t="s">
        <v>276</v>
      </c>
      <c r="B358" t="s">
        <v>119</v>
      </c>
      <c r="C358" t="s">
        <v>3</v>
      </c>
      <c r="D358" s="2">
        <v>10000</v>
      </c>
      <c r="E358" s="2">
        <v>0</v>
      </c>
      <c r="F358" s="2">
        <v>10000</v>
      </c>
      <c r="G358" s="3">
        <v>1</v>
      </c>
      <c r="H358" t="s">
        <v>3</v>
      </c>
      <c r="I358" t="s">
        <v>121</v>
      </c>
      <c r="J358" t="s">
        <v>331</v>
      </c>
      <c r="K358" t="s">
        <v>332</v>
      </c>
      <c r="L358" t="s">
        <v>3</v>
      </c>
      <c r="M358" t="s">
        <v>8</v>
      </c>
    </row>
    <row r="359" spans="1:13" x14ac:dyDescent="0.25">
      <c r="A359" t="s">
        <v>276</v>
      </c>
      <c r="B359" t="s">
        <v>127</v>
      </c>
      <c r="C359" t="s">
        <v>3</v>
      </c>
      <c r="D359" s="2">
        <v>10000</v>
      </c>
      <c r="E359" s="2">
        <v>0</v>
      </c>
      <c r="F359" s="2">
        <v>10000</v>
      </c>
      <c r="G359" s="3">
        <v>1</v>
      </c>
      <c r="H359" t="s">
        <v>3</v>
      </c>
      <c r="I359" t="s">
        <v>128</v>
      </c>
      <c r="J359" t="s">
        <v>331</v>
      </c>
      <c r="K359" t="s">
        <v>332</v>
      </c>
      <c r="L359" t="s">
        <v>3</v>
      </c>
      <c r="M359" t="s">
        <v>8</v>
      </c>
    </row>
    <row r="360" spans="1:13" x14ac:dyDescent="0.25">
      <c r="A360" t="s">
        <v>276</v>
      </c>
      <c r="B360" t="s">
        <v>135</v>
      </c>
      <c r="C360" t="s">
        <v>3</v>
      </c>
      <c r="D360" s="2">
        <v>33000</v>
      </c>
      <c r="E360" s="2">
        <v>0</v>
      </c>
      <c r="F360" s="2">
        <v>33000</v>
      </c>
      <c r="G360" s="3">
        <v>1</v>
      </c>
      <c r="H360" t="s">
        <v>3</v>
      </c>
      <c r="I360" t="s">
        <v>137</v>
      </c>
      <c r="J360" t="s">
        <v>331</v>
      </c>
      <c r="K360" t="s">
        <v>332</v>
      </c>
      <c r="L360" t="s">
        <v>3</v>
      </c>
      <c r="M360" t="s">
        <v>8</v>
      </c>
    </row>
    <row r="361" spans="1:13" x14ac:dyDescent="0.25">
      <c r="A361" t="s">
        <v>276</v>
      </c>
      <c r="B361" t="s">
        <v>143</v>
      </c>
      <c r="C361" t="s">
        <v>3</v>
      </c>
      <c r="D361" s="2">
        <v>18000</v>
      </c>
      <c r="E361" s="2">
        <v>0</v>
      </c>
      <c r="F361" s="2">
        <v>18000</v>
      </c>
      <c r="G361" s="3">
        <v>1</v>
      </c>
      <c r="H361" t="s">
        <v>3</v>
      </c>
      <c r="I361" t="s">
        <v>145</v>
      </c>
      <c r="J361" t="s">
        <v>331</v>
      </c>
      <c r="K361" t="s">
        <v>332</v>
      </c>
      <c r="L361" t="s">
        <v>3</v>
      </c>
      <c r="M361" t="s">
        <v>8</v>
      </c>
    </row>
    <row r="362" spans="1:13" x14ac:dyDescent="0.25">
      <c r="A362" t="s">
        <v>276</v>
      </c>
      <c r="B362" t="s">
        <v>151</v>
      </c>
      <c r="C362" t="s">
        <v>3</v>
      </c>
      <c r="D362" s="2">
        <v>11300</v>
      </c>
      <c r="E362" s="2">
        <v>0</v>
      </c>
      <c r="F362" s="2">
        <v>11300</v>
      </c>
      <c r="G362" s="3">
        <v>1</v>
      </c>
      <c r="H362" t="s">
        <v>3</v>
      </c>
      <c r="I362" t="s">
        <v>153</v>
      </c>
      <c r="J362" t="s">
        <v>331</v>
      </c>
      <c r="K362" t="s">
        <v>332</v>
      </c>
      <c r="L362" t="s">
        <v>3</v>
      </c>
      <c r="M362" t="s">
        <v>8</v>
      </c>
    </row>
    <row r="363" spans="1:13" x14ac:dyDescent="0.25">
      <c r="A363" t="s">
        <v>276</v>
      </c>
      <c r="B363" t="s">
        <v>159</v>
      </c>
      <c r="C363" t="s">
        <v>3</v>
      </c>
      <c r="D363" s="2">
        <v>10000</v>
      </c>
      <c r="E363" s="2">
        <v>0</v>
      </c>
      <c r="F363" s="2">
        <v>10000</v>
      </c>
      <c r="G363" s="3">
        <v>1</v>
      </c>
      <c r="H363" t="s">
        <v>3</v>
      </c>
      <c r="I363" t="s">
        <v>161</v>
      </c>
      <c r="J363" t="s">
        <v>331</v>
      </c>
      <c r="K363" t="s">
        <v>332</v>
      </c>
      <c r="L363" t="s">
        <v>3</v>
      </c>
      <c r="M363" t="s">
        <v>8</v>
      </c>
    </row>
    <row r="364" spans="1:13" x14ac:dyDescent="0.25">
      <c r="A364" t="s">
        <v>276</v>
      </c>
      <c r="B364" t="s">
        <v>170</v>
      </c>
      <c r="C364" t="s">
        <v>3</v>
      </c>
      <c r="D364" s="2">
        <v>10000</v>
      </c>
      <c r="E364" s="2">
        <v>0</v>
      </c>
      <c r="F364" s="2">
        <v>10000</v>
      </c>
      <c r="G364" s="3">
        <v>1</v>
      </c>
      <c r="H364" t="s">
        <v>3</v>
      </c>
      <c r="I364" t="s">
        <v>172</v>
      </c>
      <c r="J364" t="s">
        <v>331</v>
      </c>
      <c r="K364" t="s">
        <v>332</v>
      </c>
      <c r="L364" t="s">
        <v>3</v>
      </c>
      <c r="M364" t="s">
        <v>8</v>
      </c>
    </row>
    <row r="365" spans="1:13" x14ac:dyDescent="0.25">
      <c r="A365" t="s">
        <v>276</v>
      </c>
      <c r="B365" t="s">
        <v>179</v>
      </c>
      <c r="C365" t="s">
        <v>3</v>
      </c>
      <c r="D365" s="2">
        <v>11000</v>
      </c>
      <c r="E365" s="2">
        <v>0</v>
      </c>
      <c r="F365" s="2">
        <v>11000</v>
      </c>
      <c r="G365" s="3">
        <v>1</v>
      </c>
      <c r="H365" t="s">
        <v>3</v>
      </c>
      <c r="I365" t="s">
        <v>181</v>
      </c>
      <c r="J365" t="s">
        <v>331</v>
      </c>
      <c r="K365" t="s">
        <v>332</v>
      </c>
      <c r="L365" t="s">
        <v>3</v>
      </c>
      <c r="M365" t="s">
        <v>8</v>
      </c>
    </row>
    <row r="366" spans="1:13" x14ac:dyDescent="0.25">
      <c r="A366" t="s">
        <v>276</v>
      </c>
      <c r="B366" t="s">
        <v>189</v>
      </c>
      <c r="C366" t="s">
        <v>3</v>
      </c>
      <c r="D366" s="2">
        <v>10000</v>
      </c>
      <c r="E366" s="2">
        <v>0</v>
      </c>
      <c r="F366" s="2">
        <v>10000</v>
      </c>
      <c r="G366" s="3">
        <v>1</v>
      </c>
      <c r="H366" t="s">
        <v>3</v>
      </c>
      <c r="I366" t="s">
        <v>191</v>
      </c>
      <c r="J366" t="s">
        <v>331</v>
      </c>
      <c r="K366" t="s">
        <v>332</v>
      </c>
      <c r="L366" t="s">
        <v>3</v>
      </c>
      <c r="M366" t="s">
        <v>8</v>
      </c>
    </row>
    <row r="367" spans="1:13" x14ac:dyDescent="0.25">
      <c r="A367" t="s">
        <v>276</v>
      </c>
      <c r="B367" t="s">
        <v>198</v>
      </c>
      <c r="C367" t="s">
        <v>3</v>
      </c>
      <c r="D367" s="2">
        <v>10000</v>
      </c>
      <c r="E367" s="2">
        <v>1400</v>
      </c>
      <c r="F367" s="2">
        <v>8600</v>
      </c>
      <c r="G367" s="3">
        <v>2</v>
      </c>
      <c r="H367" t="s">
        <v>3</v>
      </c>
      <c r="I367" t="s">
        <v>200</v>
      </c>
      <c r="J367" t="s">
        <v>331</v>
      </c>
      <c r="K367" t="s">
        <v>332</v>
      </c>
      <c r="L367" t="s">
        <v>3</v>
      </c>
      <c r="M367" t="s">
        <v>8</v>
      </c>
    </row>
    <row r="368" spans="1:13" x14ac:dyDescent="0.25">
      <c r="A368" t="s">
        <v>276</v>
      </c>
      <c r="B368" t="s">
        <v>206</v>
      </c>
      <c r="C368" t="s">
        <v>3</v>
      </c>
      <c r="D368" s="2">
        <v>10000</v>
      </c>
      <c r="E368" s="2">
        <v>0</v>
      </c>
      <c r="F368" s="2">
        <v>10000</v>
      </c>
      <c r="G368" s="3">
        <v>1</v>
      </c>
      <c r="H368" t="s">
        <v>3</v>
      </c>
      <c r="I368" t="s">
        <v>208</v>
      </c>
      <c r="J368" t="s">
        <v>331</v>
      </c>
      <c r="K368" t="s">
        <v>332</v>
      </c>
      <c r="L368" t="s">
        <v>3</v>
      </c>
      <c r="M368" t="s">
        <v>8</v>
      </c>
    </row>
    <row r="369" spans="1:13" x14ac:dyDescent="0.25">
      <c r="A369" t="s">
        <v>276</v>
      </c>
      <c r="B369" t="s">
        <v>214</v>
      </c>
      <c r="C369" t="s">
        <v>3</v>
      </c>
      <c r="D369" s="2">
        <v>42400</v>
      </c>
      <c r="E369" s="2">
        <v>0</v>
      </c>
      <c r="F369" s="2">
        <v>42400</v>
      </c>
      <c r="G369" s="3">
        <v>1</v>
      </c>
      <c r="H369" t="s">
        <v>3</v>
      </c>
      <c r="I369" t="s">
        <v>216</v>
      </c>
      <c r="J369" t="s">
        <v>331</v>
      </c>
      <c r="K369" t="s">
        <v>332</v>
      </c>
      <c r="L369" t="s">
        <v>3</v>
      </c>
      <c r="M369" t="s">
        <v>8</v>
      </c>
    </row>
    <row r="370" spans="1:13" x14ac:dyDescent="0.25">
      <c r="A370" t="s">
        <v>276</v>
      </c>
      <c r="B370" t="s">
        <v>226</v>
      </c>
      <c r="C370" t="s">
        <v>3</v>
      </c>
      <c r="D370" s="2">
        <v>10000</v>
      </c>
      <c r="E370" s="2">
        <v>0</v>
      </c>
      <c r="F370" s="2">
        <v>10000</v>
      </c>
      <c r="G370" s="3">
        <v>1</v>
      </c>
      <c r="H370" t="s">
        <v>3</v>
      </c>
      <c r="I370" t="s">
        <v>228</v>
      </c>
      <c r="J370" t="s">
        <v>331</v>
      </c>
      <c r="K370" t="s">
        <v>332</v>
      </c>
      <c r="L370" t="s">
        <v>3</v>
      </c>
      <c r="M370" t="s">
        <v>8</v>
      </c>
    </row>
    <row r="371" spans="1:13" x14ac:dyDescent="0.25">
      <c r="A371" t="s">
        <v>276</v>
      </c>
      <c r="B371" t="s">
        <v>234</v>
      </c>
      <c r="C371" t="s">
        <v>3</v>
      </c>
      <c r="D371" s="2">
        <v>10000</v>
      </c>
      <c r="E371" s="2">
        <v>0</v>
      </c>
      <c r="F371" s="2">
        <v>10000</v>
      </c>
      <c r="G371" s="3">
        <v>1</v>
      </c>
      <c r="H371" t="s">
        <v>3</v>
      </c>
      <c r="I371" t="s">
        <v>236</v>
      </c>
      <c r="J371" t="s">
        <v>331</v>
      </c>
      <c r="K371" t="s">
        <v>332</v>
      </c>
      <c r="L371" t="s">
        <v>3</v>
      </c>
      <c r="M371" t="s">
        <v>8</v>
      </c>
    </row>
    <row r="372" spans="1:13" x14ac:dyDescent="0.25">
      <c r="A372" t="s">
        <v>276</v>
      </c>
      <c r="B372" t="s">
        <v>241</v>
      </c>
      <c r="C372" t="s">
        <v>3</v>
      </c>
      <c r="D372" s="2">
        <v>10000</v>
      </c>
      <c r="E372" s="2">
        <v>0</v>
      </c>
      <c r="F372" s="2">
        <v>10000</v>
      </c>
      <c r="G372" s="3">
        <v>2</v>
      </c>
      <c r="H372" t="s">
        <v>3</v>
      </c>
      <c r="I372" t="s">
        <v>243</v>
      </c>
      <c r="J372" t="s">
        <v>331</v>
      </c>
      <c r="K372" t="s">
        <v>332</v>
      </c>
      <c r="L372" t="s">
        <v>3</v>
      </c>
      <c r="M372" t="s">
        <v>8</v>
      </c>
    </row>
    <row r="373" spans="1:13" x14ac:dyDescent="0.25">
      <c r="A373" t="s">
        <v>276</v>
      </c>
      <c r="B373" t="s">
        <v>248</v>
      </c>
      <c r="C373" t="s">
        <v>3</v>
      </c>
      <c r="D373" s="2">
        <v>10000</v>
      </c>
      <c r="E373" s="2">
        <v>0</v>
      </c>
      <c r="F373" s="2">
        <v>10000</v>
      </c>
      <c r="G373" s="3">
        <v>1</v>
      </c>
      <c r="H373" t="s">
        <v>3</v>
      </c>
      <c r="I373" t="s">
        <v>250</v>
      </c>
      <c r="J373" t="s">
        <v>331</v>
      </c>
      <c r="K373" t="s">
        <v>332</v>
      </c>
      <c r="L373" t="s">
        <v>3</v>
      </c>
      <c r="M373" t="s">
        <v>8</v>
      </c>
    </row>
    <row r="374" spans="1:13" x14ac:dyDescent="0.25">
      <c r="A374" t="s">
        <v>276</v>
      </c>
      <c r="B374" t="s">
        <v>259</v>
      </c>
      <c r="C374" t="s">
        <v>3</v>
      </c>
      <c r="D374" s="2">
        <v>10000</v>
      </c>
      <c r="E374" s="2">
        <v>0</v>
      </c>
      <c r="F374" s="2">
        <v>10000</v>
      </c>
      <c r="G374" s="3">
        <v>1</v>
      </c>
      <c r="H374" t="s">
        <v>3</v>
      </c>
      <c r="I374" t="s">
        <v>261</v>
      </c>
      <c r="J374" t="s">
        <v>331</v>
      </c>
      <c r="K374" t="s">
        <v>332</v>
      </c>
      <c r="L374" t="s">
        <v>3</v>
      </c>
      <c r="M374" t="s">
        <v>8</v>
      </c>
    </row>
    <row r="375" spans="1:13" x14ac:dyDescent="0.25">
      <c r="A375" t="s">
        <v>276</v>
      </c>
      <c r="B375" t="s">
        <v>268</v>
      </c>
      <c r="C375" t="s">
        <v>3</v>
      </c>
      <c r="D375" s="2">
        <v>10000</v>
      </c>
      <c r="E375" s="2">
        <v>0</v>
      </c>
      <c r="F375" s="2">
        <v>10000</v>
      </c>
      <c r="G375" s="3">
        <v>1</v>
      </c>
      <c r="H375" t="s">
        <v>3</v>
      </c>
      <c r="I375" t="s">
        <v>270</v>
      </c>
      <c r="J375" t="s">
        <v>331</v>
      </c>
      <c r="K375" t="s">
        <v>332</v>
      </c>
      <c r="L375" t="s">
        <v>3</v>
      </c>
      <c r="M375" t="s">
        <v>8</v>
      </c>
    </row>
    <row r="376" spans="1:13" x14ac:dyDescent="0.25">
      <c r="A376" t="s">
        <v>276</v>
      </c>
      <c r="B376" t="s">
        <v>295</v>
      </c>
      <c r="C376" t="s">
        <v>3</v>
      </c>
      <c r="D376" s="2">
        <v>2197000</v>
      </c>
      <c r="E376" s="2">
        <v>1914336.1</v>
      </c>
      <c r="F376" s="2">
        <v>282663.90000000002</v>
      </c>
      <c r="G376" s="3">
        <v>2</v>
      </c>
      <c r="H376" t="s">
        <v>3</v>
      </c>
      <c r="I376" t="s">
        <v>296</v>
      </c>
      <c r="J376" t="s">
        <v>315</v>
      </c>
      <c r="K376" t="s">
        <v>316</v>
      </c>
      <c r="L376" t="s">
        <v>3</v>
      </c>
      <c r="M376" t="s">
        <v>8</v>
      </c>
    </row>
    <row r="377" spans="1:13" x14ac:dyDescent="0.25">
      <c r="A377" t="s">
        <v>276</v>
      </c>
      <c r="B377" t="s">
        <v>329</v>
      </c>
      <c r="C377" t="s">
        <v>3</v>
      </c>
      <c r="D377" s="2">
        <v>3616500</v>
      </c>
      <c r="E377" s="2">
        <v>2784379.02</v>
      </c>
      <c r="F377" s="2">
        <v>832120.98</v>
      </c>
      <c r="G377" s="3">
        <v>2</v>
      </c>
      <c r="H377" t="s">
        <v>3</v>
      </c>
      <c r="I377" t="s">
        <v>330</v>
      </c>
      <c r="J377" t="s">
        <v>315</v>
      </c>
      <c r="K377" t="s">
        <v>316</v>
      </c>
      <c r="L377" t="s">
        <v>3</v>
      </c>
      <c r="M377" t="s">
        <v>8</v>
      </c>
    </row>
    <row r="378" spans="1:13" x14ac:dyDescent="0.25">
      <c r="A378" t="s">
        <v>276</v>
      </c>
      <c r="B378" t="s">
        <v>341</v>
      </c>
      <c r="C378" t="s">
        <v>3</v>
      </c>
      <c r="D378" s="2">
        <v>5563500</v>
      </c>
      <c r="E378" s="2">
        <v>1513761.57</v>
      </c>
      <c r="F378" s="2">
        <v>4049738.43</v>
      </c>
      <c r="G378" s="3">
        <v>2</v>
      </c>
      <c r="H378" t="s">
        <v>3</v>
      </c>
      <c r="I378" t="s">
        <v>342</v>
      </c>
      <c r="J378" t="s">
        <v>315</v>
      </c>
      <c r="K378" t="s">
        <v>316</v>
      </c>
      <c r="L378" t="s">
        <v>3</v>
      </c>
      <c r="M378" t="s">
        <v>8</v>
      </c>
    </row>
    <row r="379" spans="1:13" x14ac:dyDescent="0.25">
      <c r="A379" t="s">
        <v>276</v>
      </c>
      <c r="B379" t="s">
        <v>13</v>
      </c>
      <c r="C379" t="s">
        <v>3</v>
      </c>
      <c r="D379" s="2">
        <v>20000</v>
      </c>
      <c r="E379" s="2">
        <v>735.5</v>
      </c>
      <c r="F379" s="2">
        <v>19264.5</v>
      </c>
      <c r="G379" s="3">
        <v>2</v>
      </c>
      <c r="H379" t="s">
        <v>3</v>
      </c>
      <c r="I379" t="s">
        <v>15</v>
      </c>
      <c r="J379" t="s">
        <v>315</v>
      </c>
      <c r="K379" t="s">
        <v>316</v>
      </c>
      <c r="L379" t="s">
        <v>3</v>
      </c>
      <c r="M379" t="s">
        <v>8</v>
      </c>
    </row>
    <row r="380" spans="1:13" x14ac:dyDescent="0.25">
      <c r="A380" t="s">
        <v>276</v>
      </c>
      <c r="B380" t="s">
        <v>110</v>
      </c>
      <c r="C380" t="s">
        <v>3</v>
      </c>
      <c r="D380" s="2">
        <v>89000</v>
      </c>
      <c r="E380" s="2">
        <v>79173.37</v>
      </c>
      <c r="F380" s="2">
        <v>9826.6299999999992</v>
      </c>
      <c r="G380" s="3">
        <v>2</v>
      </c>
      <c r="H380" t="s">
        <v>3</v>
      </c>
      <c r="I380" t="s">
        <v>112</v>
      </c>
      <c r="J380" t="s">
        <v>315</v>
      </c>
      <c r="K380" t="s">
        <v>316</v>
      </c>
      <c r="L380" t="s">
        <v>3</v>
      </c>
      <c r="M380" t="s">
        <v>8</v>
      </c>
    </row>
    <row r="381" spans="1:13" x14ac:dyDescent="0.25">
      <c r="A381" t="s">
        <v>276</v>
      </c>
      <c r="B381" t="s">
        <v>119</v>
      </c>
      <c r="C381" t="s">
        <v>3</v>
      </c>
      <c r="D381" s="2">
        <v>160000</v>
      </c>
      <c r="E381" s="2">
        <v>128727.64</v>
      </c>
      <c r="F381" s="2">
        <v>31272.36</v>
      </c>
      <c r="G381" s="3">
        <v>2</v>
      </c>
      <c r="H381" t="s">
        <v>3</v>
      </c>
      <c r="I381" t="s">
        <v>121</v>
      </c>
      <c r="J381" t="s">
        <v>315</v>
      </c>
      <c r="K381" t="s">
        <v>316</v>
      </c>
      <c r="L381" t="s">
        <v>3</v>
      </c>
      <c r="M381" t="s">
        <v>8</v>
      </c>
    </row>
    <row r="382" spans="1:13" x14ac:dyDescent="0.25">
      <c r="A382" t="s">
        <v>276</v>
      </c>
      <c r="B382" t="s">
        <v>127</v>
      </c>
      <c r="C382" t="s">
        <v>3</v>
      </c>
      <c r="D382" s="2">
        <v>78000</v>
      </c>
      <c r="E382" s="2">
        <v>46555.72</v>
      </c>
      <c r="F382" s="2">
        <v>31444.28</v>
      </c>
      <c r="G382" s="3">
        <v>2</v>
      </c>
      <c r="H382" t="s">
        <v>3</v>
      </c>
      <c r="I382" t="s">
        <v>128</v>
      </c>
      <c r="J382" t="s">
        <v>315</v>
      </c>
      <c r="K382" t="s">
        <v>316</v>
      </c>
      <c r="L382" t="s">
        <v>3</v>
      </c>
      <c r="M382" t="s">
        <v>8</v>
      </c>
    </row>
    <row r="383" spans="1:13" x14ac:dyDescent="0.25">
      <c r="A383" t="s">
        <v>276</v>
      </c>
      <c r="B383" t="s">
        <v>135</v>
      </c>
      <c r="C383" t="s">
        <v>3</v>
      </c>
      <c r="D383" s="2">
        <v>60000</v>
      </c>
      <c r="E383" s="2">
        <v>47238.85</v>
      </c>
      <c r="F383" s="2">
        <v>12761.15</v>
      </c>
      <c r="G383" s="3">
        <v>2</v>
      </c>
      <c r="H383" t="s">
        <v>3</v>
      </c>
      <c r="I383" t="s">
        <v>137</v>
      </c>
      <c r="J383" t="s">
        <v>315</v>
      </c>
      <c r="K383" t="s">
        <v>316</v>
      </c>
      <c r="L383" t="s">
        <v>3</v>
      </c>
      <c r="M383" t="s">
        <v>8</v>
      </c>
    </row>
    <row r="384" spans="1:13" x14ac:dyDescent="0.25">
      <c r="A384" t="s">
        <v>276</v>
      </c>
      <c r="B384" t="s">
        <v>143</v>
      </c>
      <c r="C384" t="s">
        <v>3</v>
      </c>
      <c r="D384" s="2">
        <v>130000</v>
      </c>
      <c r="E384" s="2">
        <v>96271.2</v>
      </c>
      <c r="F384" s="2">
        <v>33728.800000000003</v>
      </c>
      <c r="G384" s="3">
        <v>2</v>
      </c>
      <c r="H384" t="s">
        <v>3</v>
      </c>
      <c r="I384" t="s">
        <v>145</v>
      </c>
      <c r="J384" t="s">
        <v>315</v>
      </c>
      <c r="K384" t="s">
        <v>316</v>
      </c>
      <c r="L384" t="s">
        <v>3</v>
      </c>
      <c r="M384" t="s">
        <v>8</v>
      </c>
    </row>
    <row r="385" spans="1:13" x14ac:dyDescent="0.25">
      <c r="A385" t="s">
        <v>276</v>
      </c>
      <c r="B385" t="s">
        <v>151</v>
      </c>
      <c r="C385" t="s">
        <v>3</v>
      </c>
      <c r="D385" s="2">
        <v>180000</v>
      </c>
      <c r="E385" s="2">
        <v>171301.9</v>
      </c>
      <c r="F385" s="2">
        <v>8698.1</v>
      </c>
      <c r="G385" s="3">
        <v>2</v>
      </c>
      <c r="H385" t="s">
        <v>3</v>
      </c>
      <c r="I385" t="s">
        <v>153</v>
      </c>
      <c r="J385" t="s">
        <v>315</v>
      </c>
      <c r="K385" t="s">
        <v>316</v>
      </c>
      <c r="L385" t="s">
        <v>3</v>
      </c>
      <c r="M385" t="s">
        <v>8</v>
      </c>
    </row>
    <row r="386" spans="1:13" x14ac:dyDescent="0.25">
      <c r="A386" t="s">
        <v>276</v>
      </c>
      <c r="B386" t="s">
        <v>159</v>
      </c>
      <c r="C386" t="s">
        <v>3</v>
      </c>
      <c r="D386" s="2">
        <v>160000</v>
      </c>
      <c r="E386" s="2">
        <v>147750.01999999999</v>
      </c>
      <c r="F386" s="2">
        <v>12249.98</v>
      </c>
      <c r="G386" s="3">
        <v>2</v>
      </c>
      <c r="H386" t="s">
        <v>3</v>
      </c>
      <c r="I386" t="s">
        <v>161</v>
      </c>
      <c r="J386" t="s">
        <v>315</v>
      </c>
      <c r="K386" t="s">
        <v>316</v>
      </c>
      <c r="L386" t="s">
        <v>3</v>
      </c>
      <c r="M386" t="s">
        <v>8</v>
      </c>
    </row>
    <row r="387" spans="1:13" x14ac:dyDescent="0.25">
      <c r="A387" t="s">
        <v>276</v>
      </c>
      <c r="B387" t="s">
        <v>170</v>
      </c>
      <c r="C387" t="s">
        <v>3</v>
      </c>
      <c r="D387" s="2">
        <v>150000</v>
      </c>
      <c r="E387" s="2">
        <v>120642.25</v>
      </c>
      <c r="F387" s="2">
        <v>29357.75</v>
      </c>
      <c r="G387" s="3">
        <v>2</v>
      </c>
      <c r="H387" t="s">
        <v>3</v>
      </c>
      <c r="I387" t="s">
        <v>172</v>
      </c>
      <c r="J387" t="s">
        <v>315</v>
      </c>
      <c r="K387" t="s">
        <v>316</v>
      </c>
      <c r="L387" t="s">
        <v>3</v>
      </c>
      <c r="M387" t="s">
        <v>8</v>
      </c>
    </row>
    <row r="388" spans="1:13" x14ac:dyDescent="0.25">
      <c r="A388" t="s">
        <v>276</v>
      </c>
      <c r="B388" t="s">
        <v>179</v>
      </c>
      <c r="C388" t="s">
        <v>3</v>
      </c>
      <c r="D388" s="2">
        <v>470000</v>
      </c>
      <c r="E388" s="2">
        <v>214658.09</v>
      </c>
      <c r="F388" s="2">
        <v>255341.91</v>
      </c>
      <c r="G388" s="3">
        <v>2</v>
      </c>
      <c r="H388" t="s">
        <v>3</v>
      </c>
      <c r="I388" t="s">
        <v>181</v>
      </c>
      <c r="J388" t="s">
        <v>315</v>
      </c>
      <c r="K388" t="s">
        <v>316</v>
      </c>
      <c r="L388" t="s">
        <v>3</v>
      </c>
      <c r="M388" t="s">
        <v>8</v>
      </c>
    </row>
    <row r="389" spans="1:13" x14ac:dyDescent="0.25">
      <c r="A389" t="s">
        <v>276</v>
      </c>
      <c r="B389" t="s">
        <v>189</v>
      </c>
      <c r="C389" t="s">
        <v>3</v>
      </c>
      <c r="D389" s="2">
        <v>126000</v>
      </c>
      <c r="E389" s="2">
        <v>98085.19</v>
      </c>
      <c r="F389" s="2">
        <v>27914.81</v>
      </c>
      <c r="G389" s="3">
        <v>2</v>
      </c>
      <c r="H389" t="s">
        <v>3</v>
      </c>
      <c r="I389" t="s">
        <v>191</v>
      </c>
      <c r="J389" t="s">
        <v>315</v>
      </c>
      <c r="K389" t="s">
        <v>316</v>
      </c>
      <c r="L389" t="s">
        <v>3</v>
      </c>
      <c r="M389" t="s">
        <v>8</v>
      </c>
    </row>
    <row r="390" spans="1:13" x14ac:dyDescent="0.25">
      <c r="A390" t="s">
        <v>276</v>
      </c>
      <c r="B390" t="s">
        <v>198</v>
      </c>
      <c r="C390" t="s">
        <v>3</v>
      </c>
      <c r="D390" s="2">
        <v>65000</v>
      </c>
      <c r="E390" s="2">
        <v>21810.17</v>
      </c>
      <c r="F390" s="2">
        <v>43189.83</v>
      </c>
      <c r="G390" s="3">
        <v>2</v>
      </c>
      <c r="H390" t="s">
        <v>3</v>
      </c>
      <c r="I390" t="s">
        <v>200</v>
      </c>
      <c r="J390" t="s">
        <v>315</v>
      </c>
      <c r="K390" t="s">
        <v>316</v>
      </c>
      <c r="L390" t="s">
        <v>3</v>
      </c>
      <c r="M390" t="s">
        <v>8</v>
      </c>
    </row>
    <row r="391" spans="1:13" x14ac:dyDescent="0.25">
      <c r="A391" t="s">
        <v>276</v>
      </c>
      <c r="B391" t="s">
        <v>206</v>
      </c>
      <c r="C391" t="s">
        <v>3</v>
      </c>
      <c r="D391" s="2">
        <v>80000</v>
      </c>
      <c r="E391" s="2">
        <v>38409.9</v>
      </c>
      <c r="F391" s="2">
        <v>41590.1</v>
      </c>
      <c r="G391" s="3">
        <v>2</v>
      </c>
      <c r="H391" t="s">
        <v>3</v>
      </c>
      <c r="I391" t="s">
        <v>208</v>
      </c>
      <c r="J391" t="s">
        <v>315</v>
      </c>
      <c r="K391" t="s">
        <v>316</v>
      </c>
      <c r="L391" t="s">
        <v>3</v>
      </c>
      <c r="M391" t="s">
        <v>8</v>
      </c>
    </row>
    <row r="392" spans="1:13" x14ac:dyDescent="0.25">
      <c r="A392" t="s">
        <v>276</v>
      </c>
      <c r="B392" t="s">
        <v>214</v>
      </c>
      <c r="C392" t="s">
        <v>3</v>
      </c>
      <c r="D392" s="2">
        <v>542000</v>
      </c>
      <c r="E392" s="2">
        <v>235999.1</v>
      </c>
      <c r="F392" s="2">
        <v>306000.90000000002</v>
      </c>
      <c r="G392" s="3">
        <v>2</v>
      </c>
      <c r="H392" t="s">
        <v>3</v>
      </c>
      <c r="I392" t="s">
        <v>216</v>
      </c>
      <c r="J392" t="s">
        <v>315</v>
      </c>
      <c r="K392" t="s">
        <v>316</v>
      </c>
      <c r="L392" t="s">
        <v>3</v>
      </c>
      <c r="M392" t="s">
        <v>8</v>
      </c>
    </row>
    <row r="393" spans="1:13" x14ac:dyDescent="0.25">
      <c r="A393" t="s">
        <v>276</v>
      </c>
      <c r="B393" t="s">
        <v>226</v>
      </c>
      <c r="C393" t="s">
        <v>3</v>
      </c>
      <c r="D393" s="2">
        <v>100000</v>
      </c>
      <c r="E393" s="2">
        <v>83942.1</v>
      </c>
      <c r="F393" s="2">
        <v>16057.9</v>
      </c>
      <c r="G393" s="3">
        <v>2</v>
      </c>
      <c r="H393" t="s">
        <v>3</v>
      </c>
      <c r="I393" t="s">
        <v>228</v>
      </c>
      <c r="J393" t="s">
        <v>315</v>
      </c>
      <c r="K393" t="s">
        <v>316</v>
      </c>
      <c r="L393" t="s">
        <v>3</v>
      </c>
      <c r="M393" t="s">
        <v>8</v>
      </c>
    </row>
    <row r="394" spans="1:13" x14ac:dyDescent="0.25">
      <c r="A394" t="s">
        <v>276</v>
      </c>
      <c r="B394" t="s">
        <v>234</v>
      </c>
      <c r="C394" t="s">
        <v>3</v>
      </c>
      <c r="D394" s="2">
        <v>100000</v>
      </c>
      <c r="E394" s="2">
        <v>46109.93</v>
      </c>
      <c r="F394" s="2">
        <v>53890.07</v>
      </c>
      <c r="G394" s="3">
        <v>2</v>
      </c>
      <c r="H394" t="s">
        <v>3</v>
      </c>
      <c r="I394" t="s">
        <v>236</v>
      </c>
      <c r="J394" t="s">
        <v>315</v>
      </c>
      <c r="K394" t="s">
        <v>316</v>
      </c>
      <c r="L394" t="s">
        <v>3</v>
      </c>
      <c r="M394" t="s">
        <v>8</v>
      </c>
    </row>
    <row r="395" spans="1:13" x14ac:dyDescent="0.25">
      <c r="A395" t="s">
        <v>276</v>
      </c>
      <c r="B395" t="s">
        <v>241</v>
      </c>
      <c r="C395" t="s">
        <v>3</v>
      </c>
      <c r="D395" s="2">
        <v>80000</v>
      </c>
      <c r="E395" s="2">
        <v>67853.259999999995</v>
      </c>
      <c r="F395" s="2">
        <v>12146.74</v>
      </c>
      <c r="G395" s="3">
        <v>2</v>
      </c>
      <c r="H395" t="s">
        <v>3</v>
      </c>
      <c r="I395" t="s">
        <v>243</v>
      </c>
      <c r="J395" t="s">
        <v>315</v>
      </c>
      <c r="K395" t="s">
        <v>316</v>
      </c>
      <c r="L395" t="s">
        <v>3</v>
      </c>
      <c r="M395" t="s">
        <v>8</v>
      </c>
    </row>
    <row r="396" spans="1:13" x14ac:dyDescent="0.25">
      <c r="A396" t="s">
        <v>276</v>
      </c>
      <c r="B396" t="s">
        <v>248</v>
      </c>
      <c r="C396" t="s">
        <v>3</v>
      </c>
      <c r="D396" s="2">
        <v>180000</v>
      </c>
      <c r="E396" s="2">
        <v>143132.5</v>
      </c>
      <c r="F396" s="2">
        <v>36867.5</v>
      </c>
      <c r="G396" s="3">
        <v>2</v>
      </c>
      <c r="H396" t="s">
        <v>3</v>
      </c>
      <c r="I396" t="s">
        <v>250</v>
      </c>
      <c r="J396" t="s">
        <v>315</v>
      </c>
      <c r="K396" t="s">
        <v>316</v>
      </c>
      <c r="L396" t="s">
        <v>3</v>
      </c>
      <c r="M396" t="s">
        <v>8</v>
      </c>
    </row>
    <row r="397" spans="1:13" x14ac:dyDescent="0.25">
      <c r="A397" t="s">
        <v>276</v>
      </c>
      <c r="B397" t="s">
        <v>259</v>
      </c>
      <c r="C397" t="s">
        <v>3</v>
      </c>
      <c r="D397" s="2">
        <v>68000</v>
      </c>
      <c r="E397" s="2">
        <v>40461.4</v>
      </c>
      <c r="F397" s="2">
        <v>27538.6</v>
      </c>
      <c r="G397" s="3">
        <v>2</v>
      </c>
      <c r="H397" t="s">
        <v>3</v>
      </c>
      <c r="I397" t="s">
        <v>261</v>
      </c>
      <c r="J397" t="s">
        <v>315</v>
      </c>
      <c r="K397" t="s">
        <v>316</v>
      </c>
      <c r="L397" t="s">
        <v>3</v>
      </c>
      <c r="M397" t="s">
        <v>8</v>
      </c>
    </row>
    <row r="398" spans="1:13" x14ac:dyDescent="0.25">
      <c r="A398" t="s">
        <v>276</v>
      </c>
      <c r="B398" t="s">
        <v>268</v>
      </c>
      <c r="C398" t="s">
        <v>3</v>
      </c>
      <c r="D398" s="2">
        <v>85000</v>
      </c>
      <c r="E398" s="2">
        <v>53529.65</v>
      </c>
      <c r="F398" s="2">
        <v>31470.35</v>
      </c>
      <c r="G398" s="3">
        <v>2</v>
      </c>
      <c r="H398" t="s">
        <v>3</v>
      </c>
      <c r="I398" t="s">
        <v>270</v>
      </c>
      <c r="J398" t="s">
        <v>315</v>
      </c>
      <c r="K398" t="s">
        <v>316</v>
      </c>
      <c r="L398" t="s">
        <v>3</v>
      </c>
      <c r="M398" t="s">
        <v>8</v>
      </c>
    </row>
    <row r="399" spans="1:13" x14ac:dyDescent="0.25">
      <c r="A399" t="s">
        <v>276</v>
      </c>
      <c r="B399" t="s">
        <v>295</v>
      </c>
      <c r="C399" t="s">
        <v>3</v>
      </c>
      <c r="D399" s="2">
        <v>205000</v>
      </c>
      <c r="E399" s="2">
        <v>5780.11</v>
      </c>
      <c r="F399" s="2">
        <v>199219.89</v>
      </c>
      <c r="G399" s="3">
        <v>2</v>
      </c>
      <c r="H399" t="s">
        <v>3</v>
      </c>
      <c r="I399" t="s">
        <v>296</v>
      </c>
      <c r="J399" t="s">
        <v>307</v>
      </c>
      <c r="K399" t="s">
        <v>308</v>
      </c>
      <c r="L399" t="s">
        <v>3</v>
      </c>
      <c r="M399" t="s">
        <v>8</v>
      </c>
    </row>
    <row r="400" spans="1:13" x14ac:dyDescent="0.25">
      <c r="A400" t="s">
        <v>276</v>
      </c>
      <c r="B400" t="s">
        <v>214</v>
      </c>
      <c r="C400" t="s">
        <v>3</v>
      </c>
      <c r="D400" s="2">
        <v>45000</v>
      </c>
      <c r="E400" s="2">
        <v>16252</v>
      </c>
      <c r="F400" s="2">
        <v>28748</v>
      </c>
      <c r="G400" s="3">
        <v>2</v>
      </c>
      <c r="H400" t="s">
        <v>3</v>
      </c>
      <c r="I400" t="s">
        <v>216</v>
      </c>
      <c r="J400" t="s">
        <v>307</v>
      </c>
      <c r="K400" t="s">
        <v>308</v>
      </c>
      <c r="L400" t="s">
        <v>3</v>
      </c>
      <c r="M400" t="s">
        <v>8</v>
      </c>
    </row>
    <row r="401" spans="1:13" x14ac:dyDescent="0.25">
      <c r="A401" t="s">
        <v>276</v>
      </c>
      <c r="B401" t="s">
        <v>277</v>
      </c>
      <c r="C401" t="s">
        <v>3</v>
      </c>
      <c r="D401" s="56">
        <v>50200</v>
      </c>
      <c r="E401" s="2">
        <v>3819.45</v>
      </c>
      <c r="F401" s="2">
        <v>46380.55</v>
      </c>
      <c r="G401" s="3">
        <v>2</v>
      </c>
      <c r="H401" t="s">
        <v>3</v>
      </c>
      <c r="I401" t="s">
        <v>278</v>
      </c>
      <c r="J401" t="s">
        <v>285</v>
      </c>
      <c r="K401" t="s">
        <v>286</v>
      </c>
      <c r="L401" t="s">
        <v>3</v>
      </c>
      <c r="M401" t="s">
        <v>8</v>
      </c>
    </row>
    <row r="402" spans="1:13" x14ac:dyDescent="0.25">
      <c r="A402" t="s">
        <v>276</v>
      </c>
      <c r="B402" t="s">
        <v>1</v>
      </c>
      <c r="C402" t="s">
        <v>3</v>
      </c>
      <c r="D402" s="56">
        <v>923200</v>
      </c>
      <c r="E402" s="2">
        <v>686172.36</v>
      </c>
      <c r="F402" s="2">
        <v>237027.64</v>
      </c>
      <c r="G402" s="3">
        <v>2</v>
      </c>
      <c r="H402" t="s">
        <v>3</v>
      </c>
      <c r="I402" t="s">
        <v>4</v>
      </c>
      <c r="J402" t="s">
        <v>285</v>
      </c>
      <c r="K402" t="s">
        <v>286</v>
      </c>
      <c r="L402" t="s">
        <v>3</v>
      </c>
      <c r="M402" t="s">
        <v>8</v>
      </c>
    </row>
    <row r="403" spans="1:13" x14ac:dyDescent="0.25">
      <c r="A403" t="s">
        <v>276</v>
      </c>
      <c r="B403" t="s">
        <v>293</v>
      </c>
      <c r="C403" t="s">
        <v>3</v>
      </c>
      <c r="D403" s="56">
        <v>530300</v>
      </c>
      <c r="E403" s="2">
        <v>184609.79</v>
      </c>
      <c r="F403" s="2">
        <v>345690.21</v>
      </c>
      <c r="G403" s="3">
        <v>2</v>
      </c>
      <c r="H403" t="s">
        <v>3</v>
      </c>
      <c r="I403" t="s">
        <v>294</v>
      </c>
      <c r="J403" t="s">
        <v>285</v>
      </c>
      <c r="K403" t="s">
        <v>286</v>
      </c>
      <c r="L403" t="s">
        <v>3</v>
      </c>
      <c r="M403" t="s">
        <v>8</v>
      </c>
    </row>
    <row r="404" spans="1:13" x14ac:dyDescent="0.25">
      <c r="A404" t="s">
        <v>276</v>
      </c>
      <c r="B404" t="s">
        <v>295</v>
      </c>
      <c r="C404" t="s">
        <v>3</v>
      </c>
      <c r="D404" s="56">
        <v>4117400</v>
      </c>
      <c r="E404" s="2">
        <v>3470764.01</v>
      </c>
      <c r="F404" s="2">
        <v>646635.99</v>
      </c>
      <c r="G404" s="3">
        <v>2</v>
      </c>
      <c r="H404" t="s">
        <v>3</v>
      </c>
      <c r="I404" t="s">
        <v>296</v>
      </c>
      <c r="J404" t="s">
        <v>285</v>
      </c>
      <c r="K404" t="s">
        <v>286</v>
      </c>
      <c r="L404" t="s">
        <v>3</v>
      </c>
      <c r="M404" t="s">
        <v>8</v>
      </c>
    </row>
    <row r="405" spans="1:13" x14ac:dyDescent="0.25">
      <c r="A405" t="s">
        <v>276</v>
      </c>
      <c r="B405" t="s">
        <v>329</v>
      </c>
      <c r="C405" t="s">
        <v>3</v>
      </c>
      <c r="D405" s="56">
        <v>1385000</v>
      </c>
      <c r="E405" s="2">
        <v>1313071.44</v>
      </c>
      <c r="F405" s="2">
        <v>71928.56</v>
      </c>
      <c r="G405" s="3">
        <v>2</v>
      </c>
      <c r="H405" t="s">
        <v>3</v>
      </c>
      <c r="I405" t="s">
        <v>330</v>
      </c>
      <c r="J405" t="s">
        <v>285</v>
      </c>
      <c r="K405" t="s">
        <v>286</v>
      </c>
      <c r="L405" t="s">
        <v>3</v>
      </c>
      <c r="M405" t="s">
        <v>8</v>
      </c>
    </row>
    <row r="406" spans="1:13" x14ac:dyDescent="0.25">
      <c r="A406" t="s">
        <v>276</v>
      </c>
      <c r="B406" t="s">
        <v>333</v>
      </c>
      <c r="C406" t="s">
        <v>3</v>
      </c>
      <c r="D406" s="56">
        <v>1272000</v>
      </c>
      <c r="E406" s="2">
        <v>19338</v>
      </c>
      <c r="F406" s="2">
        <v>1252662</v>
      </c>
      <c r="G406" s="3">
        <v>2</v>
      </c>
      <c r="H406" t="s">
        <v>3</v>
      </c>
      <c r="I406" t="s">
        <v>334</v>
      </c>
      <c r="J406" t="s">
        <v>285</v>
      </c>
      <c r="K406" t="s">
        <v>286</v>
      </c>
      <c r="L406" t="s">
        <v>3</v>
      </c>
      <c r="M406" t="s">
        <v>8</v>
      </c>
    </row>
    <row r="407" spans="1:13" x14ac:dyDescent="0.25">
      <c r="A407" t="s">
        <v>276</v>
      </c>
      <c r="B407" t="s">
        <v>341</v>
      </c>
      <c r="C407" t="s">
        <v>3</v>
      </c>
      <c r="D407" s="56">
        <v>208000</v>
      </c>
      <c r="E407" s="2">
        <v>125850</v>
      </c>
      <c r="F407" s="2">
        <v>82150</v>
      </c>
      <c r="G407" s="3">
        <v>2</v>
      </c>
      <c r="H407" t="s">
        <v>3</v>
      </c>
      <c r="I407" t="s">
        <v>342</v>
      </c>
      <c r="J407" t="s">
        <v>285</v>
      </c>
      <c r="K407" t="s">
        <v>286</v>
      </c>
      <c r="L407" t="s">
        <v>3</v>
      </c>
      <c r="M407" t="s">
        <v>8</v>
      </c>
    </row>
    <row r="408" spans="1:13" x14ac:dyDescent="0.25">
      <c r="A408" t="s">
        <v>276</v>
      </c>
      <c r="B408" t="s">
        <v>9</v>
      </c>
      <c r="C408" t="s">
        <v>3</v>
      </c>
      <c r="D408" s="56">
        <v>48200</v>
      </c>
      <c r="E408" s="2">
        <v>39222.65</v>
      </c>
      <c r="F408" s="2">
        <v>8977.35</v>
      </c>
      <c r="G408" s="3">
        <v>2</v>
      </c>
      <c r="H408" t="s">
        <v>3</v>
      </c>
      <c r="I408" t="s">
        <v>11</v>
      </c>
      <c r="J408" t="s">
        <v>285</v>
      </c>
      <c r="K408" t="s">
        <v>286</v>
      </c>
      <c r="L408" t="s">
        <v>3</v>
      </c>
      <c r="M408" t="s">
        <v>8</v>
      </c>
    </row>
    <row r="409" spans="1:13" x14ac:dyDescent="0.25">
      <c r="A409" t="s">
        <v>276</v>
      </c>
      <c r="B409" t="s">
        <v>13</v>
      </c>
      <c r="C409" t="s">
        <v>3</v>
      </c>
      <c r="D409" s="56">
        <v>22500</v>
      </c>
      <c r="E409" s="2">
        <v>9750</v>
      </c>
      <c r="F409" s="2">
        <v>12750</v>
      </c>
      <c r="G409" s="3">
        <v>2</v>
      </c>
      <c r="H409" t="s">
        <v>3</v>
      </c>
      <c r="I409" t="s">
        <v>15</v>
      </c>
      <c r="J409" t="s">
        <v>285</v>
      </c>
      <c r="K409" t="s">
        <v>286</v>
      </c>
      <c r="L409" t="s">
        <v>3</v>
      </c>
      <c r="M409" t="s">
        <v>8</v>
      </c>
    </row>
    <row r="410" spans="1:13" x14ac:dyDescent="0.25">
      <c r="A410" t="s">
        <v>276</v>
      </c>
      <c r="B410" t="s">
        <v>19</v>
      </c>
      <c r="C410" t="s">
        <v>3</v>
      </c>
      <c r="D410" s="56">
        <v>8400</v>
      </c>
      <c r="E410" s="2">
        <v>7150</v>
      </c>
      <c r="F410" s="2">
        <v>1250</v>
      </c>
      <c r="G410" s="3">
        <v>2</v>
      </c>
      <c r="H410" t="s">
        <v>3</v>
      </c>
      <c r="I410" t="s">
        <v>21</v>
      </c>
      <c r="J410" t="s">
        <v>285</v>
      </c>
      <c r="K410" t="s">
        <v>286</v>
      </c>
      <c r="L410" t="s">
        <v>3</v>
      </c>
      <c r="M410" t="s">
        <v>8</v>
      </c>
    </row>
    <row r="411" spans="1:13" x14ac:dyDescent="0.25">
      <c r="A411" t="s">
        <v>276</v>
      </c>
      <c r="B411" t="s">
        <v>31</v>
      </c>
      <c r="C411" t="s">
        <v>3</v>
      </c>
      <c r="D411" s="56">
        <v>23200</v>
      </c>
      <c r="E411" s="2">
        <v>19575.68</v>
      </c>
      <c r="F411" s="2">
        <v>3624.32</v>
      </c>
      <c r="G411" s="3">
        <v>2</v>
      </c>
      <c r="H411" t="s">
        <v>3</v>
      </c>
      <c r="I411" t="s">
        <v>33</v>
      </c>
      <c r="J411" t="s">
        <v>285</v>
      </c>
      <c r="K411" t="s">
        <v>286</v>
      </c>
      <c r="L411" t="s">
        <v>3</v>
      </c>
      <c r="M411" t="s">
        <v>8</v>
      </c>
    </row>
    <row r="412" spans="1:13" x14ac:dyDescent="0.25">
      <c r="A412" t="s">
        <v>276</v>
      </c>
      <c r="B412" t="s">
        <v>50</v>
      </c>
      <c r="C412" t="s">
        <v>3</v>
      </c>
      <c r="D412" s="56">
        <v>75600</v>
      </c>
      <c r="E412" s="2">
        <v>31250.2</v>
      </c>
      <c r="F412" s="2">
        <v>44349.8</v>
      </c>
      <c r="G412" s="3">
        <v>2</v>
      </c>
      <c r="H412" t="s">
        <v>3</v>
      </c>
      <c r="I412" t="s">
        <v>52</v>
      </c>
      <c r="J412" t="s">
        <v>285</v>
      </c>
      <c r="K412" t="s">
        <v>286</v>
      </c>
      <c r="L412" t="s">
        <v>3</v>
      </c>
      <c r="M412" t="s">
        <v>8</v>
      </c>
    </row>
    <row r="413" spans="1:13" x14ac:dyDescent="0.25">
      <c r="A413" t="s">
        <v>276</v>
      </c>
      <c r="B413" t="s">
        <v>58</v>
      </c>
      <c r="C413" t="s">
        <v>3</v>
      </c>
      <c r="D413" s="56">
        <v>40000</v>
      </c>
      <c r="E413" s="2">
        <v>21475</v>
      </c>
      <c r="F413" s="2">
        <v>18525</v>
      </c>
      <c r="G413" s="3">
        <v>2</v>
      </c>
      <c r="H413" t="s">
        <v>3</v>
      </c>
      <c r="I413" t="s">
        <v>60</v>
      </c>
      <c r="J413" t="s">
        <v>285</v>
      </c>
      <c r="K413" t="s">
        <v>286</v>
      </c>
      <c r="L413" t="s">
        <v>3</v>
      </c>
      <c r="M413" t="s">
        <v>8</v>
      </c>
    </row>
    <row r="414" spans="1:13" x14ac:dyDescent="0.25">
      <c r="A414" t="s">
        <v>276</v>
      </c>
      <c r="B414" t="s">
        <v>77</v>
      </c>
      <c r="C414" t="s">
        <v>3</v>
      </c>
      <c r="D414" s="56">
        <v>597000</v>
      </c>
      <c r="E414" s="2">
        <v>35478.28</v>
      </c>
      <c r="F414" s="2">
        <v>561521.72</v>
      </c>
      <c r="G414" s="3">
        <v>2</v>
      </c>
      <c r="H414" t="s">
        <v>3</v>
      </c>
      <c r="I414" t="s">
        <v>79</v>
      </c>
      <c r="J414" t="s">
        <v>285</v>
      </c>
      <c r="K414" t="s">
        <v>286</v>
      </c>
      <c r="L414" t="s">
        <v>3</v>
      </c>
      <c r="M414" t="s">
        <v>8</v>
      </c>
    </row>
    <row r="415" spans="1:13" x14ac:dyDescent="0.25">
      <c r="A415" t="s">
        <v>276</v>
      </c>
      <c r="B415" t="s">
        <v>94</v>
      </c>
      <c r="C415" t="s">
        <v>3</v>
      </c>
      <c r="D415" s="56">
        <v>60000</v>
      </c>
      <c r="E415" s="2">
        <v>19980</v>
      </c>
      <c r="F415" s="2">
        <v>40020</v>
      </c>
      <c r="G415" s="3">
        <v>2</v>
      </c>
      <c r="H415" t="s">
        <v>3</v>
      </c>
      <c r="I415" t="s">
        <v>96</v>
      </c>
      <c r="J415" t="s">
        <v>285</v>
      </c>
      <c r="K415" t="s">
        <v>286</v>
      </c>
      <c r="L415" t="s">
        <v>3</v>
      </c>
      <c r="M415" t="s">
        <v>8</v>
      </c>
    </row>
    <row r="416" spans="1:13" x14ac:dyDescent="0.25">
      <c r="A416" t="s">
        <v>276</v>
      </c>
      <c r="B416" t="s">
        <v>101</v>
      </c>
      <c r="C416" t="s">
        <v>3</v>
      </c>
      <c r="D416" s="56">
        <v>17000</v>
      </c>
      <c r="E416" s="2">
        <v>0</v>
      </c>
      <c r="F416" s="2">
        <v>17000</v>
      </c>
      <c r="G416" s="3">
        <v>1</v>
      </c>
      <c r="H416" t="s">
        <v>3</v>
      </c>
      <c r="I416" t="s">
        <v>103</v>
      </c>
      <c r="J416" t="s">
        <v>285</v>
      </c>
      <c r="K416" t="s">
        <v>286</v>
      </c>
      <c r="L416" t="s">
        <v>3</v>
      </c>
      <c r="M416" t="s">
        <v>8</v>
      </c>
    </row>
    <row r="417" spans="1:13" x14ac:dyDescent="0.25">
      <c r="A417" t="s">
        <v>276</v>
      </c>
      <c r="B417" t="s">
        <v>110</v>
      </c>
      <c r="C417" t="s">
        <v>3</v>
      </c>
      <c r="D417" s="56">
        <v>183300</v>
      </c>
      <c r="E417" s="2">
        <v>120261.65</v>
      </c>
      <c r="F417" s="2">
        <v>63038.35</v>
      </c>
      <c r="G417" s="3">
        <v>2</v>
      </c>
      <c r="H417" t="s">
        <v>3</v>
      </c>
      <c r="I417" t="s">
        <v>112</v>
      </c>
      <c r="J417" t="s">
        <v>285</v>
      </c>
      <c r="K417" t="s">
        <v>286</v>
      </c>
      <c r="L417" t="s">
        <v>3</v>
      </c>
      <c r="M417" t="s">
        <v>8</v>
      </c>
    </row>
    <row r="418" spans="1:13" x14ac:dyDescent="0.25">
      <c r="A418" t="s">
        <v>276</v>
      </c>
      <c r="B418" t="s">
        <v>119</v>
      </c>
      <c r="C418" t="s">
        <v>3</v>
      </c>
      <c r="D418" s="56">
        <v>307300</v>
      </c>
      <c r="E418" s="2">
        <v>218350.98</v>
      </c>
      <c r="F418" s="2">
        <v>88949.02</v>
      </c>
      <c r="G418" s="3">
        <v>2</v>
      </c>
      <c r="H418" t="s">
        <v>3</v>
      </c>
      <c r="I418" t="s">
        <v>121</v>
      </c>
      <c r="J418" t="s">
        <v>285</v>
      </c>
      <c r="K418" t="s">
        <v>286</v>
      </c>
      <c r="L418" t="s">
        <v>3</v>
      </c>
      <c r="M418" t="s">
        <v>8</v>
      </c>
    </row>
    <row r="419" spans="1:13" x14ac:dyDescent="0.25">
      <c r="A419" t="s">
        <v>276</v>
      </c>
      <c r="B419" t="s">
        <v>127</v>
      </c>
      <c r="C419" t="s">
        <v>3</v>
      </c>
      <c r="D419" s="56">
        <v>279300</v>
      </c>
      <c r="E419" s="2">
        <v>132553.89000000001</v>
      </c>
      <c r="F419" s="2">
        <v>146746.10999999999</v>
      </c>
      <c r="G419" s="3">
        <v>2</v>
      </c>
      <c r="H419" t="s">
        <v>3</v>
      </c>
      <c r="I419" t="s">
        <v>128</v>
      </c>
      <c r="J419" t="s">
        <v>285</v>
      </c>
      <c r="K419" t="s">
        <v>286</v>
      </c>
      <c r="L419" t="s">
        <v>3</v>
      </c>
      <c r="M419" t="s">
        <v>8</v>
      </c>
    </row>
    <row r="420" spans="1:13" x14ac:dyDescent="0.25">
      <c r="A420" t="s">
        <v>276</v>
      </c>
      <c r="B420" t="s">
        <v>135</v>
      </c>
      <c r="C420" t="s">
        <v>3</v>
      </c>
      <c r="D420" s="56">
        <v>205300</v>
      </c>
      <c r="E420" s="2">
        <v>108983.43</v>
      </c>
      <c r="F420" s="2">
        <v>96316.57</v>
      </c>
      <c r="G420" s="3">
        <v>2</v>
      </c>
      <c r="H420" t="s">
        <v>3</v>
      </c>
      <c r="I420" t="s">
        <v>137</v>
      </c>
      <c r="J420" t="s">
        <v>285</v>
      </c>
      <c r="K420" t="s">
        <v>286</v>
      </c>
      <c r="L420" t="s">
        <v>3</v>
      </c>
      <c r="M420" t="s">
        <v>8</v>
      </c>
    </row>
    <row r="421" spans="1:13" x14ac:dyDescent="0.25">
      <c r="A421" t="s">
        <v>276</v>
      </c>
      <c r="B421" t="s">
        <v>143</v>
      </c>
      <c r="C421" t="s">
        <v>3</v>
      </c>
      <c r="D421" s="56">
        <v>292400</v>
      </c>
      <c r="E421" s="2">
        <v>139871.07</v>
      </c>
      <c r="F421" s="2">
        <v>152528.93</v>
      </c>
      <c r="G421" s="3">
        <v>2</v>
      </c>
      <c r="H421" t="s">
        <v>3</v>
      </c>
      <c r="I421" t="s">
        <v>145</v>
      </c>
      <c r="J421" t="s">
        <v>285</v>
      </c>
      <c r="K421" t="s">
        <v>286</v>
      </c>
      <c r="L421" t="s">
        <v>3</v>
      </c>
      <c r="M421" t="s">
        <v>8</v>
      </c>
    </row>
    <row r="422" spans="1:13" x14ac:dyDescent="0.25">
      <c r="A422" t="s">
        <v>276</v>
      </c>
      <c r="B422" t="s">
        <v>151</v>
      </c>
      <c r="C422" t="s">
        <v>3</v>
      </c>
      <c r="D422" s="56">
        <v>323400</v>
      </c>
      <c r="E422" s="2">
        <v>132438.60999999999</v>
      </c>
      <c r="F422" s="2">
        <v>190961.39</v>
      </c>
      <c r="G422" s="3">
        <v>2</v>
      </c>
      <c r="H422" t="s">
        <v>3</v>
      </c>
      <c r="I422" t="s">
        <v>153</v>
      </c>
      <c r="J422" t="s">
        <v>285</v>
      </c>
      <c r="K422" t="s">
        <v>286</v>
      </c>
      <c r="L422" t="s">
        <v>3</v>
      </c>
      <c r="M422" t="s">
        <v>8</v>
      </c>
    </row>
    <row r="423" spans="1:13" x14ac:dyDescent="0.25">
      <c r="A423" t="s">
        <v>276</v>
      </c>
      <c r="B423" t="s">
        <v>159</v>
      </c>
      <c r="C423" t="s">
        <v>3</v>
      </c>
      <c r="D423" s="56">
        <v>304300</v>
      </c>
      <c r="E423" s="2">
        <v>189667.35</v>
      </c>
      <c r="F423" s="2">
        <v>114632.65</v>
      </c>
      <c r="G423" s="3">
        <v>2</v>
      </c>
      <c r="H423" t="s">
        <v>3</v>
      </c>
      <c r="I423" t="s">
        <v>161</v>
      </c>
      <c r="J423" t="s">
        <v>285</v>
      </c>
      <c r="K423" t="s">
        <v>286</v>
      </c>
      <c r="L423" t="s">
        <v>3</v>
      </c>
      <c r="M423" t="s">
        <v>8</v>
      </c>
    </row>
    <row r="424" spans="1:13" x14ac:dyDescent="0.25">
      <c r="A424" t="s">
        <v>276</v>
      </c>
      <c r="B424" t="s">
        <v>170</v>
      </c>
      <c r="C424" t="s">
        <v>3</v>
      </c>
      <c r="D424" s="56">
        <v>336300</v>
      </c>
      <c r="E424" s="2">
        <v>224256.58</v>
      </c>
      <c r="F424" s="2">
        <v>112043.42</v>
      </c>
      <c r="G424" s="3">
        <v>2</v>
      </c>
      <c r="H424" t="s">
        <v>3</v>
      </c>
      <c r="I424" t="s">
        <v>172</v>
      </c>
      <c r="J424" t="s">
        <v>285</v>
      </c>
      <c r="K424" t="s">
        <v>286</v>
      </c>
      <c r="L424" t="s">
        <v>3</v>
      </c>
      <c r="M424" t="s">
        <v>8</v>
      </c>
    </row>
    <row r="425" spans="1:13" x14ac:dyDescent="0.25">
      <c r="A425" t="s">
        <v>276</v>
      </c>
      <c r="B425" t="s">
        <v>179</v>
      </c>
      <c r="C425" t="s">
        <v>3</v>
      </c>
      <c r="D425" s="56">
        <v>651300</v>
      </c>
      <c r="E425" s="2">
        <v>247019.65</v>
      </c>
      <c r="F425" s="2">
        <v>404280.35</v>
      </c>
      <c r="G425" s="3">
        <v>2</v>
      </c>
      <c r="H425" t="s">
        <v>3</v>
      </c>
      <c r="I425" t="s">
        <v>181</v>
      </c>
      <c r="J425" t="s">
        <v>285</v>
      </c>
      <c r="K425" t="s">
        <v>286</v>
      </c>
      <c r="L425" t="s">
        <v>3</v>
      </c>
      <c r="M425" t="s">
        <v>8</v>
      </c>
    </row>
    <row r="426" spans="1:13" x14ac:dyDescent="0.25">
      <c r="A426" t="s">
        <v>276</v>
      </c>
      <c r="B426" t="s">
        <v>189</v>
      </c>
      <c r="C426" t="s">
        <v>3</v>
      </c>
      <c r="D426" s="56">
        <v>375300</v>
      </c>
      <c r="E426" s="2">
        <v>208032.87</v>
      </c>
      <c r="F426" s="2">
        <v>167267.13</v>
      </c>
      <c r="G426" s="3">
        <v>2</v>
      </c>
      <c r="H426" t="s">
        <v>3</v>
      </c>
      <c r="I426" t="s">
        <v>191</v>
      </c>
      <c r="J426" t="s">
        <v>285</v>
      </c>
      <c r="K426" t="s">
        <v>286</v>
      </c>
      <c r="L426" t="s">
        <v>3</v>
      </c>
      <c r="M426" t="s">
        <v>8</v>
      </c>
    </row>
    <row r="427" spans="1:13" x14ac:dyDescent="0.25">
      <c r="A427" t="s">
        <v>276</v>
      </c>
      <c r="B427" t="s">
        <v>198</v>
      </c>
      <c r="C427" t="s">
        <v>3</v>
      </c>
      <c r="D427" s="56">
        <v>284200</v>
      </c>
      <c r="E427" s="2">
        <v>118275.07</v>
      </c>
      <c r="F427" s="2">
        <v>165924.93</v>
      </c>
      <c r="G427" s="3">
        <v>2</v>
      </c>
      <c r="H427" t="s">
        <v>3</v>
      </c>
      <c r="I427" t="s">
        <v>200</v>
      </c>
      <c r="J427" t="s">
        <v>285</v>
      </c>
      <c r="K427" t="s">
        <v>286</v>
      </c>
      <c r="L427" t="s">
        <v>3</v>
      </c>
      <c r="M427" t="s">
        <v>8</v>
      </c>
    </row>
    <row r="428" spans="1:13" x14ac:dyDescent="0.25">
      <c r="A428" t="s">
        <v>276</v>
      </c>
      <c r="B428" t="s">
        <v>206</v>
      </c>
      <c r="C428" t="s">
        <v>3</v>
      </c>
      <c r="D428" s="56">
        <v>289300</v>
      </c>
      <c r="E428" s="2">
        <v>142108.57</v>
      </c>
      <c r="F428" s="2">
        <v>147191.43</v>
      </c>
      <c r="G428" s="3">
        <v>2</v>
      </c>
      <c r="H428" t="s">
        <v>3</v>
      </c>
      <c r="I428" t="s">
        <v>208</v>
      </c>
      <c r="J428" t="s">
        <v>285</v>
      </c>
      <c r="K428" t="s">
        <v>286</v>
      </c>
      <c r="L428" t="s">
        <v>3</v>
      </c>
      <c r="M428" t="s">
        <v>8</v>
      </c>
    </row>
    <row r="429" spans="1:13" x14ac:dyDescent="0.25">
      <c r="A429" t="s">
        <v>276</v>
      </c>
      <c r="B429" t="s">
        <v>214</v>
      </c>
      <c r="C429" t="s">
        <v>3</v>
      </c>
      <c r="D429" s="56">
        <v>622400</v>
      </c>
      <c r="E429" s="2">
        <v>217768.04</v>
      </c>
      <c r="F429" s="2">
        <v>404631.96</v>
      </c>
      <c r="G429" s="3">
        <v>2</v>
      </c>
      <c r="H429" t="s">
        <v>3</v>
      </c>
      <c r="I429" t="s">
        <v>216</v>
      </c>
      <c r="J429" t="s">
        <v>285</v>
      </c>
      <c r="K429" t="s">
        <v>286</v>
      </c>
      <c r="L429" t="s">
        <v>3</v>
      </c>
      <c r="M429" t="s">
        <v>8</v>
      </c>
    </row>
    <row r="430" spans="1:13" x14ac:dyDescent="0.25">
      <c r="A430" t="s">
        <v>276</v>
      </c>
      <c r="B430" t="s">
        <v>226</v>
      </c>
      <c r="C430" t="s">
        <v>3</v>
      </c>
      <c r="D430" s="56">
        <v>178300</v>
      </c>
      <c r="E430" s="2">
        <v>130535.55</v>
      </c>
      <c r="F430" s="2">
        <v>47764.45</v>
      </c>
      <c r="G430" s="3">
        <v>2</v>
      </c>
      <c r="H430" t="s">
        <v>3</v>
      </c>
      <c r="I430" t="s">
        <v>228</v>
      </c>
      <c r="J430" t="s">
        <v>285</v>
      </c>
      <c r="K430" t="s">
        <v>286</v>
      </c>
      <c r="L430" t="s">
        <v>3</v>
      </c>
      <c r="M430" t="s">
        <v>8</v>
      </c>
    </row>
    <row r="431" spans="1:13" x14ac:dyDescent="0.25">
      <c r="A431" t="s">
        <v>276</v>
      </c>
      <c r="B431" t="s">
        <v>234</v>
      </c>
      <c r="C431" t="s">
        <v>3</v>
      </c>
      <c r="D431" s="56">
        <v>172800</v>
      </c>
      <c r="E431" s="2">
        <v>130898.57</v>
      </c>
      <c r="F431" s="2">
        <v>41901.43</v>
      </c>
      <c r="G431" s="3">
        <v>2</v>
      </c>
      <c r="H431" t="s">
        <v>3</v>
      </c>
      <c r="I431" t="s">
        <v>236</v>
      </c>
      <c r="J431" t="s">
        <v>285</v>
      </c>
      <c r="K431" t="s">
        <v>286</v>
      </c>
      <c r="L431" t="s">
        <v>3</v>
      </c>
      <c r="M431" t="s">
        <v>8</v>
      </c>
    </row>
    <row r="432" spans="1:13" x14ac:dyDescent="0.25">
      <c r="A432" t="s">
        <v>276</v>
      </c>
      <c r="B432" t="s">
        <v>241</v>
      </c>
      <c r="C432" t="s">
        <v>3</v>
      </c>
      <c r="D432" s="56">
        <v>166800</v>
      </c>
      <c r="E432" s="2">
        <v>105230.78</v>
      </c>
      <c r="F432" s="2">
        <v>61569.22</v>
      </c>
      <c r="G432" s="3">
        <v>2</v>
      </c>
      <c r="H432" t="s">
        <v>3</v>
      </c>
      <c r="I432" t="s">
        <v>243</v>
      </c>
      <c r="J432" t="s">
        <v>285</v>
      </c>
      <c r="K432" t="s">
        <v>286</v>
      </c>
      <c r="L432" t="s">
        <v>3</v>
      </c>
      <c r="M432" t="s">
        <v>8</v>
      </c>
    </row>
    <row r="433" spans="1:13" x14ac:dyDescent="0.25">
      <c r="A433" t="s">
        <v>276</v>
      </c>
      <c r="B433" t="s">
        <v>248</v>
      </c>
      <c r="C433" t="s">
        <v>3</v>
      </c>
      <c r="D433" s="56">
        <v>450300</v>
      </c>
      <c r="E433" s="2">
        <v>257407.88</v>
      </c>
      <c r="F433" s="2">
        <v>192892.12</v>
      </c>
      <c r="G433" s="3">
        <v>2</v>
      </c>
      <c r="H433" t="s">
        <v>3</v>
      </c>
      <c r="I433" t="s">
        <v>250</v>
      </c>
      <c r="J433" t="s">
        <v>285</v>
      </c>
      <c r="K433" t="s">
        <v>286</v>
      </c>
      <c r="L433" t="s">
        <v>3</v>
      </c>
      <c r="M433" t="s">
        <v>8</v>
      </c>
    </row>
    <row r="434" spans="1:13" x14ac:dyDescent="0.25">
      <c r="A434" t="s">
        <v>276</v>
      </c>
      <c r="B434" t="s">
        <v>259</v>
      </c>
      <c r="C434" t="s">
        <v>3</v>
      </c>
      <c r="D434" s="56">
        <v>191300</v>
      </c>
      <c r="E434" s="2">
        <v>126176.55</v>
      </c>
      <c r="F434" s="2">
        <v>65123.45</v>
      </c>
      <c r="G434" s="3">
        <v>2</v>
      </c>
      <c r="H434" t="s">
        <v>3</v>
      </c>
      <c r="I434" t="s">
        <v>261</v>
      </c>
      <c r="J434" t="s">
        <v>285</v>
      </c>
      <c r="K434" t="s">
        <v>286</v>
      </c>
      <c r="L434" t="s">
        <v>3</v>
      </c>
      <c r="M434" t="s">
        <v>8</v>
      </c>
    </row>
    <row r="435" spans="1:13" x14ac:dyDescent="0.25">
      <c r="A435" t="s">
        <v>276</v>
      </c>
      <c r="B435" t="s">
        <v>268</v>
      </c>
      <c r="C435" t="s">
        <v>3</v>
      </c>
      <c r="D435" s="56">
        <v>185300</v>
      </c>
      <c r="E435" s="2">
        <v>125986.2</v>
      </c>
      <c r="F435" s="2">
        <v>59313.8</v>
      </c>
      <c r="G435" s="3">
        <v>2</v>
      </c>
      <c r="H435" t="s">
        <v>3</v>
      </c>
      <c r="I435" t="s">
        <v>270</v>
      </c>
      <c r="J435" t="s">
        <v>285</v>
      </c>
      <c r="K435" t="s">
        <v>286</v>
      </c>
      <c r="L435" t="s">
        <v>3</v>
      </c>
      <c r="M435" t="s">
        <v>8</v>
      </c>
    </row>
    <row r="436" spans="1:13" x14ac:dyDescent="0.25">
      <c r="A436" t="s">
        <v>276</v>
      </c>
      <c r="B436" t="s">
        <v>277</v>
      </c>
      <c r="C436" t="s">
        <v>3</v>
      </c>
      <c r="D436" s="56">
        <v>0</v>
      </c>
      <c r="E436" s="2">
        <v>-1270</v>
      </c>
      <c r="F436" s="2">
        <v>1270</v>
      </c>
      <c r="G436" s="3">
        <v>1</v>
      </c>
      <c r="H436" t="s">
        <v>3</v>
      </c>
      <c r="I436" t="s">
        <v>278</v>
      </c>
      <c r="J436" t="s">
        <v>289</v>
      </c>
      <c r="K436" t="s">
        <v>290</v>
      </c>
      <c r="L436" t="s">
        <v>3</v>
      </c>
      <c r="M436" t="s">
        <v>8</v>
      </c>
    </row>
    <row r="437" spans="1:13" x14ac:dyDescent="0.25">
      <c r="A437" t="s">
        <v>276</v>
      </c>
      <c r="B437" t="s">
        <v>1</v>
      </c>
      <c r="C437" t="s">
        <v>3</v>
      </c>
      <c r="D437" s="56">
        <v>0</v>
      </c>
      <c r="E437" s="2">
        <v>-220</v>
      </c>
      <c r="F437" s="2">
        <v>220</v>
      </c>
      <c r="G437" s="3">
        <v>1</v>
      </c>
      <c r="H437" t="s">
        <v>3</v>
      </c>
      <c r="I437" t="s">
        <v>4</v>
      </c>
      <c r="J437" t="s">
        <v>289</v>
      </c>
      <c r="K437" t="s">
        <v>290</v>
      </c>
      <c r="L437" t="s">
        <v>3</v>
      </c>
      <c r="M437" t="s">
        <v>8</v>
      </c>
    </row>
    <row r="438" spans="1:13" x14ac:dyDescent="0.25">
      <c r="A438" t="s">
        <v>276</v>
      </c>
      <c r="B438" t="s">
        <v>293</v>
      </c>
      <c r="C438" t="s">
        <v>3</v>
      </c>
      <c r="D438" s="56">
        <v>0</v>
      </c>
      <c r="E438" s="2">
        <v>-975</v>
      </c>
      <c r="F438" s="2">
        <v>975</v>
      </c>
      <c r="G438" s="3">
        <v>1</v>
      </c>
      <c r="H438" t="s">
        <v>3</v>
      </c>
      <c r="I438" t="s">
        <v>294</v>
      </c>
      <c r="J438" t="s">
        <v>289</v>
      </c>
      <c r="K438" t="s">
        <v>290</v>
      </c>
      <c r="L438" t="s">
        <v>3</v>
      </c>
      <c r="M438" t="s">
        <v>8</v>
      </c>
    </row>
    <row r="439" spans="1:13" x14ac:dyDescent="0.25">
      <c r="A439" t="s">
        <v>276</v>
      </c>
      <c r="B439" t="s">
        <v>295</v>
      </c>
      <c r="C439" t="s">
        <v>3</v>
      </c>
      <c r="D439" s="56">
        <v>5217900</v>
      </c>
      <c r="E439" s="2">
        <v>5155855.1900000004</v>
      </c>
      <c r="F439" s="2">
        <v>62044.81</v>
      </c>
      <c r="G439" s="3">
        <v>2</v>
      </c>
      <c r="H439" t="s">
        <v>3</v>
      </c>
      <c r="I439" t="s">
        <v>296</v>
      </c>
      <c r="J439" t="s">
        <v>289</v>
      </c>
      <c r="K439" t="s">
        <v>290</v>
      </c>
      <c r="L439" t="s">
        <v>3</v>
      </c>
      <c r="M439" t="s">
        <v>8</v>
      </c>
    </row>
    <row r="440" spans="1:13" x14ac:dyDescent="0.25">
      <c r="A440" t="s">
        <v>276</v>
      </c>
      <c r="B440" t="s">
        <v>329</v>
      </c>
      <c r="C440" t="s">
        <v>3</v>
      </c>
      <c r="D440" s="56">
        <v>0</v>
      </c>
      <c r="E440" s="2">
        <v>-970</v>
      </c>
      <c r="F440" s="2">
        <v>970</v>
      </c>
      <c r="G440" s="3">
        <v>1</v>
      </c>
      <c r="H440" t="s">
        <v>3</v>
      </c>
      <c r="I440" t="s">
        <v>330</v>
      </c>
      <c r="J440" t="s">
        <v>289</v>
      </c>
      <c r="K440" t="s">
        <v>290</v>
      </c>
      <c r="L440" t="s">
        <v>3</v>
      </c>
      <c r="M440" t="s">
        <v>8</v>
      </c>
    </row>
    <row r="441" spans="1:13" x14ac:dyDescent="0.25">
      <c r="A441" t="s">
        <v>276</v>
      </c>
      <c r="B441" t="s">
        <v>333</v>
      </c>
      <c r="C441" t="s">
        <v>3</v>
      </c>
      <c r="D441" s="56">
        <v>1100000</v>
      </c>
      <c r="E441" s="2">
        <v>-785</v>
      </c>
      <c r="F441" s="2">
        <v>1100785</v>
      </c>
      <c r="G441" s="3">
        <v>2</v>
      </c>
      <c r="H441" t="s">
        <v>3</v>
      </c>
      <c r="I441" t="s">
        <v>334</v>
      </c>
      <c r="J441" t="s">
        <v>289</v>
      </c>
      <c r="K441" t="s">
        <v>290</v>
      </c>
      <c r="L441" t="s">
        <v>3</v>
      </c>
      <c r="M441" t="s">
        <v>8</v>
      </c>
    </row>
    <row r="442" spans="1:13" x14ac:dyDescent="0.25">
      <c r="A442" t="s">
        <v>276</v>
      </c>
      <c r="B442" t="s">
        <v>341</v>
      </c>
      <c r="C442" t="s">
        <v>3</v>
      </c>
      <c r="D442" s="56">
        <v>200000</v>
      </c>
      <c r="E442" s="2">
        <v>109995.42</v>
      </c>
      <c r="F442" s="2">
        <v>90004.58</v>
      </c>
      <c r="G442" s="3">
        <v>2</v>
      </c>
      <c r="H442" t="s">
        <v>3</v>
      </c>
      <c r="I442" t="s">
        <v>342</v>
      </c>
      <c r="J442" t="s">
        <v>289</v>
      </c>
      <c r="K442" t="s">
        <v>290</v>
      </c>
      <c r="L442" t="s">
        <v>3</v>
      </c>
      <c r="M442" t="s">
        <v>8</v>
      </c>
    </row>
    <row r="443" spans="1:13" x14ac:dyDescent="0.25">
      <c r="A443" t="s">
        <v>276</v>
      </c>
      <c r="B443" t="s">
        <v>9</v>
      </c>
      <c r="C443" t="s">
        <v>3</v>
      </c>
      <c r="D443" s="56">
        <v>0</v>
      </c>
      <c r="E443" s="2">
        <v>-880</v>
      </c>
      <c r="F443" s="2">
        <v>880</v>
      </c>
      <c r="G443" s="3">
        <v>1</v>
      </c>
      <c r="H443" t="s">
        <v>3</v>
      </c>
      <c r="I443" t="s">
        <v>11</v>
      </c>
      <c r="J443" t="s">
        <v>289</v>
      </c>
      <c r="K443" t="s">
        <v>290</v>
      </c>
      <c r="L443" t="s">
        <v>3</v>
      </c>
      <c r="M443" t="s">
        <v>8</v>
      </c>
    </row>
    <row r="444" spans="1:13" x14ac:dyDescent="0.25">
      <c r="A444" t="s">
        <v>276</v>
      </c>
      <c r="B444" t="s">
        <v>13</v>
      </c>
      <c r="C444" t="s">
        <v>3</v>
      </c>
      <c r="D444" s="56">
        <v>0</v>
      </c>
      <c r="E444" s="2">
        <v>-855</v>
      </c>
      <c r="F444" s="2">
        <v>855</v>
      </c>
      <c r="G444" s="3">
        <v>1</v>
      </c>
      <c r="H444" t="s">
        <v>3</v>
      </c>
      <c r="I444" t="s">
        <v>15</v>
      </c>
      <c r="J444" t="s">
        <v>289</v>
      </c>
      <c r="K444" t="s">
        <v>290</v>
      </c>
      <c r="L444" t="s">
        <v>3</v>
      </c>
      <c r="M444" t="s">
        <v>8</v>
      </c>
    </row>
    <row r="445" spans="1:13" x14ac:dyDescent="0.25">
      <c r="A445" t="s">
        <v>276</v>
      </c>
      <c r="B445" t="s">
        <v>19</v>
      </c>
      <c r="C445" t="s">
        <v>3</v>
      </c>
      <c r="D445" s="56">
        <v>0</v>
      </c>
      <c r="E445" s="2">
        <v>-580</v>
      </c>
      <c r="F445" s="2">
        <v>580</v>
      </c>
      <c r="G445" s="3">
        <v>1</v>
      </c>
      <c r="H445" t="s">
        <v>3</v>
      </c>
      <c r="I445" t="s">
        <v>21</v>
      </c>
      <c r="J445" t="s">
        <v>289</v>
      </c>
      <c r="K445" t="s">
        <v>290</v>
      </c>
      <c r="L445" t="s">
        <v>3</v>
      </c>
      <c r="M445" t="s">
        <v>8</v>
      </c>
    </row>
    <row r="446" spans="1:13" x14ac:dyDescent="0.25">
      <c r="A446" t="s">
        <v>276</v>
      </c>
      <c r="B446" t="s">
        <v>31</v>
      </c>
      <c r="C446" t="s">
        <v>3</v>
      </c>
      <c r="D446" s="56">
        <v>0</v>
      </c>
      <c r="E446" s="2">
        <v>-990</v>
      </c>
      <c r="F446" s="2">
        <v>990</v>
      </c>
      <c r="G446" s="3">
        <v>1</v>
      </c>
      <c r="H446" t="s">
        <v>3</v>
      </c>
      <c r="I446" t="s">
        <v>33</v>
      </c>
      <c r="J446" t="s">
        <v>289</v>
      </c>
      <c r="K446" t="s">
        <v>290</v>
      </c>
      <c r="L446" t="s">
        <v>3</v>
      </c>
      <c r="M446" t="s">
        <v>8</v>
      </c>
    </row>
    <row r="447" spans="1:13" x14ac:dyDescent="0.25">
      <c r="A447" t="s">
        <v>276</v>
      </c>
      <c r="B447" t="s">
        <v>41</v>
      </c>
      <c r="C447" t="s">
        <v>3</v>
      </c>
      <c r="D447" s="56">
        <v>0</v>
      </c>
      <c r="E447" s="2">
        <v>-890</v>
      </c>
      <c r="F447" s="2">
        <v>890</v>
      </c>
      <c r="G447" s="3">
        <v>1</v>
      </c>
      <c r="H447" t="s">
        <v>3</v>
      </c>
      <c r="I447" t="s">
        <v>43</v>
      </c>
      <c r="J447" t="s">
        <v>289</v>
      </c>
      <c r="K447" t="s">
        <v>290</v>
      </c>
      <c r="L447" t="s">
        <v>3</v>
      </c>
      <c r="M447" t="s">
        <v>8</v>
      </c>
    </row>
    <row r="448" spans="1:13" x14ac:dyDescent="0.25">
      <c r="A448" t="s">
        <v>276</v>
      </c>
      <c r="B448" t="s">
        <v>50</v>
      </c>
      <c r="C448" t="s">
        <v>3</v>
      </c>
      <c r="D448" s="56">
        <v>0</v>
      </c>
      <c r="E448" s="2">
        <v>-1600</v>
      </c>
      <c r="F448" s="2">
        <v>1600</v>
      </c>
      <c r="G448" s="3">
        <v>1</v>
      </c>
      <c r="H448" t="s">
        <v>3</v>
      </c>
      <c r="I448" t="s">
        <v>52</v>
      </c>
      <c r="J448" t="s">
        <v>289</v>
      </c>
      <c r="K448" t="s">
        <v>290</v>
      </c>
      <c r="L448" t="s">
        <v>3</v>
      </c>
      <c r="M448" t="s">
        <v>8</v>
      </c>
    </row>
    <row r="449" spans="1:13" x14ac:dyDescent="0.25">
      <c r="A449" t="s">
        <v>276</v>
      </c>
      <c r="B449" t="s">
        <v>58</v>
      </c>
      <c r="C449" t="s">
        <v>3</v>
      </c>
      <c r="D449" s="56">
        <v>0</v>
      </c>
      <c r="E449" s="2">
        <v>-1045</v>
      </c>
      <c r="F449" s="2">
        <v>1045</v>
      </c>
      <c r="G449" s="3">
        <v>1</v>
      </c>
      <c r="H449" t="s">
        <v>3</v>
      </c>
      <c r="I449" t="s">
        <v>60</v>
      </c>
      <c r="J449" t="s">
        <v>289</v>
      </c>
      <c r="K449" t="s">
        <v>290</v>
      </c>
      <c r="L449" t="s">
        <v>3</v>
      </c>
      <c r="M449" t="s">
        <v>8</v>
      </c>
    </row>
    <row r="450" spans="1:13" x14ac:dyDescent="0.25">
      <c r="A450" t="s">
        <v>276</v>
      </c>
      <c r="B450" t="s">
        <v>77</v>
      </c>
      <c r="C450" t="s">
        <v>3</v>
      </c>
      <c r="D450" s="56">
        <v>0</v>
      </c>
      <c r="E450" s="2">
        <v>-330</v>
      </c>
      <c r="F450" s="2">
        <v>330</v>
      </c>
      <c r="G450" s="3">
        <v>1</v>
      </c>
      <c r="H450" t="s">
        <v>3</v>
      </c>
      <c r="I450" t="s">
        <v>79</v>
      </c>
      <c r="J450" t="s">
        <v>289</v>
      </c>
      <c r="K450" t="s">
        <v>290</v>
      </c>
      <c r="L450" t="s">
        <v>3</v>
      </c>
      <c r="M450" t="s">
        <v>8</v>
      </c>
    </row>
    <row r="451" spans="1:13" x14ac:dyDescent="0.25">
      <c r="A451" t="s">
        <v>276</v>
      </c>
      <c r="B451" t="s">
        <v>83</v>
      </c>
      <c r="C451" t="s">
        <v>3</v>
      </c>
      <c r="D451" s="56">
        <v>0</v>
      </c>
      <c r="E451" s="2">
        <v>-645</v>
      </c>
      <c r="F451" s="2">
        <v>645</v>
      </c>
      <c r="G451" s="3">
        <v>1</v>
      </c>
      <c r="H451" t="s">
        <v>3</v>
      </c>
      <c r="I451" t="s">
        <v>85</v>
      </c>
      <c r="J451" t="s">
        <v>289</v>
      </c>
      <c r="K451" t="s">
        <v>290</v>
      </c>
      <c r="L451" t="s">
        <v>3</v>
      </c>
      <c r="M451" t="s">
        <v>8</v>
      </c>
    </row>
    <row r="452" spans="1:13" x14ac:dyDescent="0.25">
      <c r="A452" t="s">
        <v>276</v>
      </c>
      <c r="B452" t="s">
        <v>94</v>
      </c>
      <c r="C452" t="s">
        <v>3</v>
      </c>
      <c r="D452" s="56">
        <v>0</v>
      </c>
      <c r="E452" s="2">
        <v>-870</v>
      </c>
      <c r="F452" s="2">
        <v>870</v>
      </c>
      <c r="G452" s="3">
        <v>1</v>
      </c>
      <c r="H452" t="s">
        <v>3</v>
      </c>
      <c r="I452" t="s">
        <v>96</v>
      </c>
      <c r="J452" t="s">
        <v>289</v>
      </c>
      <c r="K452" t="s">
        <v>290</v>
      </c>
      <c r="L452" t="s">
        <v>3</v>
      </c>
      <c r="M452" t="s">
        <v>8</v>
      </c>
    </row>
    <row r="453" spans="1:13" x14ac:dyDescent="0.25">
      <c r="A453" t="s">
        <v>276</v>
      </c>
      <c r="B453" t="s">
        <v>101</v>
      </c>
      <c r="C453" t="s">
        <v>3</v>
      </c>
      <c r="D453" s="56">
        <v>0</v>
      </c>
      <c r="E453" s="2">
        <v>-695</v>
      </c>
      <c r="F453" s="2">
        <v>695</v>
      </c>
      <c r="G453" s="3">
        <v>1</v>
      </c>
      <c r="H453" t="s">
        <v>3</v>
      </c>
      <c r="I453" t="s">
        <v>103</v>
      </c>
      <c r="J453" t="s">
        <v>289</v>
      </c>
      <c r="K453" t="s">
        <v>290</v>
      </c>
      <c r="L453" t="s">
        <v>3</v>
      </c>
      <c r="M453" t="s">
        <v>8</v>
      </c>
    </row>
    <row r="454" spans="1:13" x14ac:dyDescent="0.25">
      <c r="A454" t="s">
        <v>276</v>
      </c>
      <c r="B454" t="s">
        <v>110</v>
      </c>
      <c r="C454" t="s">
        <v>3</v>
      </c>
      <c r="D454" s="56">
        <v>7000</v>
      </c>
      <c r="E454" s="2">
        <v>5247.99</v>
      </c>
      <c r="F454" s="2">
        <v>1752.01</v>
      </c>
      <c r="G454" s="3">
        <v>2</v>
      </c>
      <c r="H454" t="s">
        <v>3</v>
      </c>
      <c r="I454" t="s">
        <v>112</v>
      </c>
      <c r="J454" t="s">
        <v>289</v>
      </c>
      <c r="K454" t="s">
        <v>290</v>
      </c>
      <c r="L454" t="s">
        <v>3</v>
      </c>
      <c r="M454" t="s">
        <v>8</v>
      </c>
    </row>
    <row r="455" spans="1:13" x14ac:dyDescent="0.25">
      <c r="A455" t="s">
        <v>276</v>
      </c>
      <c r="B455" t="s">
        <v>119</v>
      </c>
      <c r="C455" t="s">
        <v>3</v>
      </c>
      <c r="D455" s="56">
        <v>14000</v>
      </c>
      <c r="E455" s="2">
        <v>10565.94</v>
      </c>
      <c r="F455" s="2">
        <v>3434.06</v>
      </c>
      <c r="G455" s="3">
        <v>2</v>
      </c>
      <c r="H455" t="s">
        <v>3</v>
      </c>
      <c r="I455" t="s">
        <v>121</v>
      </c>
      <c r="J455" t="s">
        <v>289</v>
      </c>
      <c r="K455" t="s">
        <v>290</v>
      </c>
      <c r="L455" t="s">
        <v>3</v>
      </c>
      <c r="M455" t="s">
        <v>8</v>
      </c>
    </row>
    <row r="456" spans="1:13" x14ac:dyDescent="0.25">
      <c r="A456" t="s">
        <v>276</v>
      </c>
      <c r="B456" t="s">
        <v>127</v>
      </c>
      <c r="C456" t="s">
        <v>3</v>
      </c>
      <c r="D456" s="56">
        <v>9800</v>
      </c>
      <c r="E456" s="2">
        <v>7820.22</v>
      </c>
      <c r="F456" s="2">
        <v>1979.78</v>
      </c>
      <c r="G456" s="3">
        <v>2</v>
      </c>
      <c r="H456" t="s">
        <v>3</v>
      </c>
      <c r="I456" t="s">
        <v>128</v>
      </c>
      <c r="J456" t="s">
        <v>289</v>
      </c>
      <c r="K456" t="s">
        <v>290</v>
      </c>
      <c r="L456" t="s">
        <v>3</v>
      </c>
      <c r="M456" t="s">
        <v>8</v>
      </c>
    </row>
    <row r="457" spans="1:13" x14ac:dyDescent="0.25">
      <c r="A457" t="s">
        <v>276</v>
      </c>
      <c r="B457" t="s">
        <v>135</v>
      </c>
      <c r="C457" t="s">
        <v>3</v>
      </c>
      <c r="D457" s="56">
        <v>7000</v>
      </c>
      <c r="E457" s="2">
        <v>2749.49</v>
      </c>
      <c r="F457" s="2">
        <v>4250.51</v>
      </c>
      <c r="G457" s="3">
        <v>2</v>
      </c>
      <c r="H457" t="s">
        <v>3</v>
      </c>
      <c r="I457" t="s">
        <v>137</v>
      </c>
      <c r="J457" t="s">
        <v>289</v>
      </c>
      <c r="K457" t="s">
        <v>290</v>
      </c>
      <c r="L457" t="s">
        <v>3</v>
      </c>
      <c r="M457" t="s">
        <v>8</v>
      </c>
    </row>
    <row r="458" spans="1:13" x14ac:dyDescent="0.25">
      <c r="A458" t="s">
        <v>276</v>
      </c>
      <c r="B458" t="s">
        <v>143</v>
      </c>
      <c r="C458" t="s">
        <v>3</v>
      </c>
      <c r="D458" s="56">
        <v>8000</v>
      </c>
      <c r="E458" s="2">
        <v>4709.87</v>
      </c>
      <c r="F458" s="2">
        <v>3290.13</v>
      </c>
      <c r="G458" s="3">
        <v>2</v>
      </c>
      <c r="H458" t="s">
        <v>3</v>
      </c>
      <c r="I458" t="s">
        <v>145</v>
      </c>
      <c r="J458" t="s">
        <v>289</v>
      </c>
      <c r="K458" t="s">
        <v>290</v>
      </c>
      <c r="L458" t="s">
        <v>3</v>
      </c>
      <c r="M458" t="s">
        <v>8</v>
      </c>
    </row>
    <row r="459" spans="1:13" x14ac:dyDescent="0.25">
      <c r="A459" t="s">
        <v>276</v>
      </c>
      <c r="B459" t="s">
        <v>151</v>
      </c>
      <c r="C459" t="s">
        <v>3</v>
      </c>
      <c r="D459" s="56">
        <v>20000</v>
      </c>
      <c r="E459" s="2">
        <v>6312.96</v>
      </c>
      <c r="F459" s="2">
        <v>13687.04</v>
      </c>
      <c r="G459" s="3">
        <v>2</v>
      </c>
      <c r="H459" t="s">
        <v>3</v>
      </c>
      <c r="I459" t="s">
        <v>153</v>
      </c>
      <c r="J459" t="s">
        <v>289</v>
      </c>
      <c r="K459" t="s">
        <v>290</v>
      </c>
      <c r="L459" t="s">
        <v>3</v>
      </c>
      <c r="M459" t="s">
        <v>8</v>
      </c>
    </row>
    <row r="460" spans="1:13" x14ac:dyDescent="0.25">
      <c r="A460" t="s">
        <v>276</v>
      </c>
      <c r="B460" t="s">
        <v>159</v>
      </c>
      <c r="C460" t="s">
        <v>3</v>
      </c>
      <c r="D460" s="56">
        <v>9000</v>
      </c>
      <c r="E460" s="2">
        <v>7305.77</v>
      </c>
      <c r="F460" s="2">
        <v>1694.23</v>
      </c>
      <c r="G460" s="3">
        <v>2</v>
      </c>
      <c r="H460" t="s">
        <v>3</v>
      </c>
      <c r="I460" t="s">
        <v>161</v>
      </c>
      <c r="J460" t="s">
        <v>289</v>
      </c>
      <c r="K460" t="s">
        <v>290</v>
      </c>
      <c r="L460" t="s">
        <v>3</v>
      </c>
      <c r="M460" t="s">
        <v>8</v>
      </c>
    </row>
    <row r="461" spans="1:13" x14ac:dyDescent="0.25">
      <c r="A461" t="s">
        <v>276</v>
      </c>
      <c r="B461" t="s">
        <v>170</v>
      </c>
      <c r="C461" t="s">
        <v>3</v>
      </c>
      <c r="D461" s="56">
        <v>20000</v>
      </c>
      <c r="E461" s="2">
        <v>5659.81</v>
      </c>
      <c r="F461" s="2">
        <v>14340.19</v>
      </c>
      <c r="G461" s="3">
        <v>2</v>
      </c>
      <c r="H461" t="s">
        <v>3</v>
      </c>
      <c r="I461" t="s">
        <v>172</v>
      </c>
      <c r="J461" t="s">
        <v>289</v>
      </c>
      <c r="K461" t="s">
        <v>290</v>
      </c>
      <c r="L461" t="s">
        <v>3</v>
      </c>
      <c r="M461" t="s">
        <v>8</v>
      </c>
    </row>
    <row r="462" spans="1:13" x14ac:dyDescent="0.25">
      <c r="A462" t="s">
        <v>276</v>
      </c>
      <c r="B462" t="s">
        <v>179</v>
      </c>
      <c r="C462" t="s">
        <v>3</v>
      </c>
      <c r="D462" s="56">
        <v>25100</v>
      </c>
      <c r="E462" s="2">
        <v>8689.67</v>
      </c>
      <c r="F462" s="2">
        <v>16410.330000000002</v>
      </c>
      <c r="G462" s="3">
        <v>2</v>
      </c>
      <c r="H462" t="s">
        <v>3</v>
      </c>
      <c r="I462" t="s">
        <v>181</v>
      </c>
      <c r="J462" t="s">
        <v>289</v>
      </c>
      <c r="K462" t="s">
        <v>290</v>
      </c>
      <c r="L462" t="s">
        <v>3</v>
      </c>
      <c r="M462" t="s">
        <v>8</v>
      </c>
    </row>
    <row r="463" spans="1:13" x14ac:dyDescent="0.25">
      <c r="A463" t="s">
        <v>276</v>
      </c>
      <c r="B463" t="s">
        <v>189</v>
      </c>
      <c r="C463" t="s">
        <v>3</v>
      </c>
      <c r="D463" s="56">
        <v>10600</v>
      </c>
      <c r="E463" s="2">
        <v>8911.32</v>
      </c>
      <c r="F463" s="2">
        <v>1688.68</v>
      </c>
      <c r="G463" s="3">
        <v>2</v>
      </c>
      <c r="H463" t="s">
        <v>3</v>
      </c>
      <c r="I463" t="s">
        <v>191</v>
      </c>
      <c r="J463" t="s">
        <v>289</v>
      </c>
      <c r="K463" t="s">
        <v>290</v>
      </c>
      <c r="L463" t="s">
        <v>3</v>
      </c>
      <c r="M463" t="s">
        <v>8</v>
      </c>
    </row>
    <row r="464" spans="1:13" x14ac:dyDescent="0.25">
      <c r="A464" t="s">
        <v>276</v>
      </c>
      <c r="B464" t="s">
        <v>198</v>
      </c>
      <c r="C464" t="s">
        <v>3</v>
      </c>
      <c r="D464" s="56">
        <v>11000</v>
      </c>
      <c r="E464" s="2">
        <v>4110.84</v>
      </c>
      <c r="F464" s="2">
        <v>6889.16</v>
      </c>
      <c r="G464" s="3">
        <v>2</v>
      </c>
      <c r="H464" t="s">
        <v>3</v>
      </c>
      <c r="I464" t="s">
        <v>200</v>
      </c>
      <c r="J464" t="s">
        <v>289</v>
      </c>
      <c r="K464" t="s">
        <v>290</v>
      </c>
      <c r="L464" t="s">
        <v>3</v>
      </c>
      <c r="M464" t="s">
        <v>8</v>
      </c>
    </row>
    <row r="465" spans="1:13" x14ac:dyDescent="0.25">
      <c r="A465" t="s">
        <v>276</v>
      </c>
      <c r="B465" t="s">
        <v>206</v>
      </c>
      <c r="C465" t="s">
        <v>3</v>
      </c>
      <c r="D465" s="56">
        <v>8000</v>
      </c>
      <c r="E465" s="2">
        <v>6276.02</v>
      </c>
      <c r="F465" s="2">
        <v>1723.98</v>
      </c>
      <c r="G465" s="3">
        <v>2</v>
      </c>
      <c r="H465" t="s">
        <v>3</v>
      </c>
      <c r="I465" t="s">
        <v>208</v>
      </c>
      <c r="J465" t="s">
        <v>289</v>
      </c>
      <c r="K465" t="s">
        <v>290</v>
      </c>
      <c r="L465" t="s">
        <v>3</v>
      </c>
      <c r="M465" t="s">
        <v>8</v>
      </c>
    </row>
    <row r="466" spans="1:13" x14ac:dyDescent="0.25">
      <c r="A466" t="s">
        <v>276</v>
      </c>
      <c r="B466" t="s">
        <v>214</v>
      </c>
      <c r="C466" t="s">
        <v>3</v>
      </c>
      <c r="D466" s="56">
        <v>13700</v>
      </c>
      <c r="E466" s="2">
        <v>11547.52</v>
      </c>
      <c r="F466" s="2">
        <v>2152.48</v>
      </c>
      <c r="G466" s="3">
        <v>2</v>
      </c>
      <c r="H466" t="s">
        <v>3</v>
      </c>
      <c r="I466" t="s">
        <v>216</v>
      </c>
      <c r="J466" t="s">
        <v>289</v>
      </c>
      <c r="K466" t="s">
        <v>290</v>
      </c>
      <c r="L466" t="s">
        <v>3</v>
      </c>
      <c r="M466" t="s">
        <v>8</v>
      </c>
    </row>
    <row r="467" spans="1:13" x14ac:dyDescent="0.25">
      <c r="A467" t="s">
        <v>276</v>
      </c>
      <c r="B467" t="s">
        <v>226</v>
      </c>
      <c r="C467" t="s">
        <v>3</v>
      </c>
      <c r="D467" s="56">
        <v>9000</v>
      </c>
      <c r="E467" s="2">
        <v>3582.04</v>
      </c>
      <c r="F467" s="2">
        <v>5417.96</v>
      </c>
      <c r="G467" s="3">
        <v>2</v>
      </c>
      <c r="H467" t="s">
        <v>3</v>
      </c>
      <c r="I467" t="s">
        <v>228</v>
      </c>
      <c r="J467" t="s">
        <v>289</v>
      </c>
      <c r="K467" t="s">
        <v>290</v>
      </c>
      <c r="L467" t="s">
        <v>3</v>
      </c>
      <c r="M467" t="s">
        <v>8</v>
      </c>
    </row>
    <row r="468" spans="1:13" x14ac:dyDescent="0.25">
      <c r="A468" t="s">
        <v>276</v>
      </c>
      <c r="B468" t="s">
        <v>234</v>
      </c>
      <c r="C468" t="s">
        <v>3</v>
      </c>
      <c r="D468" s="56">
        <v>5000</v>
      </c>
      <c r="E468" s="2">
        <v>1009.88</v>
      </c>
      <c r="F468" s="2">
        <v>3990.12</v>
      </c>
      <c r="G468" s="3">
        <v>2</v>
      </c>
      <c r="H468" t="s">
        <v>3</v>
      </c>
      <c r="I468" t="s">
        <v>236</v>
      </c>
      <c r="J468" t="s">
        <v>289</v>
      </c>
      <c r="K468" t="s">
        <v>290</v>
      </c>
      <c r="L468" t="s">
        <v>3</v>
      </c>
      <c r="M468" t="s">
        <v>8</v>
      </c>
    </row>
    <row r="469" spans="1:13" x14ac:dyDescent="0.25">
      <c r="A469" t="s">
        <v>276</v>
      </c>
      <c r="B469" t="s">
        <v>241</v>
      </c>
      <c r="C469" t="s">
        <v>3</v>
      </c>
      <c r="D469" s="56">
        <v>8000</v>
      </c>
      <c r="E469" s="2">
        <v>1363.31</v>
      </c>
      <c r="F469" s="2">
        <v>6636.69</v>
      </c>
      <c r="G469" s="3">
        <v>2</v>
      </c>
      <c r="H469" t="s">
        <v>3</v>
      </c>
      <c r="I469" t="s">
        <v>243</v>
      </c>
      <c r="J469" t="s">
        <v>289</v>
      </c>
      <c r="K469" t="s">
        <v>290</v>
      </c>
      <c r="L469" t="s">
        <v>3</v>
      </c>
      <c r="M469" t="s">
        <v>8</v>
      </c>
    </row>
    <row r="470" spans="1:13" x14ac:dyDescent="0.25">
      <c r="A470" t="s">
        <v>276</v>
      </c>
      <c r="B470" t="s">
        <v>248</v>
      </c>
      <c r="C470" t="s">
        <v>3</v>
      </c>
      <c r="D470" s="56">
        <v>13000</v>
      </c>
      <c r="E470" s="2">
        <v>3452.59</v>
      </c>
      <c r="F470" s="2">
        <v>9547.41</v>
      </c>
      <c r="G470" s="3">
        <v>2</v>
      </c>
      <c r="H470" t="s">
        <v>3</v>
      </c>
      <c r="I470" t="s">
        <v>250</v>
      </c>
      <c r="J470" t="s">
        <v>289</v>
      </c>
      <c r="K470" t="s">
        <v>290</v>
      </c>
      <c r="L470" t="s">
        <v>3</v>
      </c>
      <c r="M470" t="s">
        <v>8</v>
      </c>
    </row>
    <row r="471" spans="1:13" x14ac:dyDescent="0.25">
      <c r="A471" t="s">
        <v>276</v>
      </c>
      <c r="B471" t="s">
        <v>259</v>
      </c>
      <c r="C471" t="s">
        <v>3</v>
      </c>
      <c r="D471" s="56">
        <v>5000</v>
      </c>
      <c r="E471" s="2">
        <v>2560.4499999999998</v>
      </c>
      <c r="F471" s="2">
        <v>2439.5500000000002</v>
      </c>
      <c r="G471" s="3">
        <v>2</v>
      </c>
      <c r="H471" t="s">
        <v>3</v>
      </c>
      <c r="I471" t="s">
        <v>261</v>
      </c>
      <c r="J471" t="s">
        <v>289</v>
      </c>
      <c r="K471" t="s">
        <v>290</v>
      </c>
      <c r="L471" t="s">
        <v>3</v>
      </c>
      <c r="M471" t="s">
        <v>8</v>
      </c>
    </row>
    <row r="472" spans="1:13" x14ac:dyDescent="0.25">
      <c r="A472" t="s">
        <v>276</v>
      </c>
      <c r="B472" t="s">
        <v>268</v>
      </c>
      <c r="C472" t="s">
        <v>3</v>
      </c>
      <c r="D472" s="56">
        <v>7000</v>
      </c>
      <c r="E472" s="2">
        <v>6267.28</v>
      </c>
      <c r="F472" s="2">
        <v>732.72</v>
      </c>
      <c r="G472" s="3">
        <v>2</v>
      </c>
      <c r="H472" t="s">
        <v>3</v>
      </c>
      <c r="I472" t="s">
        <v>270</v>
      </c>
      <c r="J472" t="s">
        <v>289</v>
      </c>
      <c r="K472" t="s">
        <v>290</v>
      </c>
      <c r="L472" t="s">
        <v>3</v>
      </c>
      <c r="M472" t="s">
        <v>8</v>
      </c>
    </row>
    <row r="473" spans="1:13" x14ac:dyDescent="0.25">
      <c r="A473" t="s">
        <v>276</v>
      </c>
      <c r="B473" t="s">
        <v>295</v>
      </c>
      <c r="C473" t="s">
        <v>3</v>
      </c>
      <c r="D473" s="56">
        <v>500</v>
      </c>
      <c r="E473" s="2">
        <v>102</v>
      </c>
      <c r="F473" s="2">
        <v>398</v>
      </c>
      <c r="G473" s="3">
        <v>2</v>
      </c>
      <c r="H473" t="s">
        <v>3</v>
      </c>
      <c r="I473" t="s">
        <v>296</v>
      </c>
      <c r="J473" t="s">
        <v>335</v>
      </c>
      <c r="K473" t="s">
        <v>336</v>
      </c>
      <c r="L473" t="s">
        <v>3</v>
      </c>
      <c r="M473" t="s">
        <v>8</v>
      </c>
    </row>
    <row r="474" spans="1:13" x14ac:dyDescent="0.25">
      <c r="A474" t="s">
        <v>276</v>
      </c>
      <c r="B474" t="s">
        <v>333</v>
      </c>
      <c r="C474" t="s">
        <v>3</v>
      </c>
      <c r="D474" s="56">
        <v>692000</v>
      </c>
      <c r="E474" s="2">
        <v>433902.4</v>
      </c>
      <c r="F474" s="2">
        <v>258097.6</v>
      </c>
      <c r="G474" s="3">
        <v>2</v>
      </c>
      <c r="H474" t="s">
        <v>3</v>
      </c>
      <c r="I474" t="s">
        <v>334</v>
      </c>
      <c r="J474" t="s">
        <v>335</v>
      </c>
      <c r="K474" t="s">
        <v>336</v>
      </c>
      <c r="L474" t="s">
        <v>3</v>
      </c>
      <c r="M474" t="s">
        <v>8</v>
      </c>
    </row>
    <row r="475" spans="1:13" x14ac:dyDescent="0.25">
      <c r="A475" t="s">
        <v>276</v>
      </c>
      <c r="B475" t="s">
        <v>110</v>
      </c>
      <c r="C475" t="s">
        <v>3</v>
      </c>
      <c r="D475" s="56">
        <v>100</v>
      </c>
      <c r="E475" s="2">
        <v>63.02</v>
      </c>
      <c r="F475" s="2">
        <v>36.979999999999997</v>
      </c>
      <c r="G475" s="3">
        <v>2</v>
      </c>
      <c r="H475" t="s">
        <v>3</v>
      </c>
      <c r="I475" t="s">
        <v>112</v>
      </c>
      <c r="J475" t="s">
        <v>335</v>
      </c>
      <c r="K475" t="s">
        <v>336</v>
      </c>
      <c r="L475" t="s">
        <v>3</v>
      </c>
      <c r="M475" t="s">
        <v>8</v>
      </c>
    </row>
    <row r="476" spans="1:13" x14ac:dyDescent="0.25">
      <c r="A476" t="s">
        <v>276</v>
      </c>
      <c r="B476" t="s">
        <v>119</v>
      </c>
      <c r="C476" t="s">
        <v>3</v>
      </c>
      <c r="D476" s="56">
        <v>300</v>
      </c>
      <c r="E476" s="2">
        <v>144.37</v>
      </c>
      <c r="F476" s="2">
        <v>155.63</v>
      </c>
      <c r="G476" s="3">
        <v>2</v>
      </c>
      <c r="H476" t="s">
        <v>3</v>
      </c>
      <c r="I476" t="s">
        <v>121</v>
      </c>
      <c r="J476" t="s">
        <v>335</v>
      </c>
      <c r="K476" t="s">
        <v>336</v>
      </c>
      <c r="L476" t="s">
        <v>3</v>
      </c>
      <c r="M476" t="s">
        <v>8</v>
      </c>
    </row>
    <row r="477" spans="1:13" x14ac:dyDescent="0.25">
      <c r="A477" t="s">
        <v>276</v>
      </c>
      <c r="B477" t="s">
        <v>127</v>
      </c>
      <c r="C477" t="s">
        <v>3</v>
      </c>
      <c r="D477" s="56">
        <v>1000</v>
      </c>
      <c r="E477" s="2">
        <v>234.35</v>
      </c>
      <c r="F477" s="2">
        <v>765.65</v>
      </c>
      <c r="G477" s="3">
        <v>2</v>
      </c>
      <c r="H477" t="s">
        <v>3</v>
      </c>
      <c r="I477" t="s">
        <v>128</v>
      </c>
      <c r="J477" t="s">
        <v>335</v>
      </c>
      <c r="K477" t="s">
        <v>336</v>
      </c>
      <c r="L477" t="s">
        <v>3</v>
      </c>
      <c r="M477" t="s">
        <v>8</v>
      </c>
    </row>
    <row r="478" spans="1:13" x14ac:dyDescent="0.25">
      <c r="A478" t="s">
        <v>276</v>
      </c>
      <c r="B478" t="s">
        <v>135</v>
      </c>
      <c r="C478" t="s">
        <v>3</v>
      </c>
      <c r="D478" s="56">
        <v>2400</v>
      </c>
      <c r="E478" s="2">
        <v>140.13999999999999</v>
      </c>
      <c r="F478" s="2">
        <v>2259.86</v>
      </c>
      <c r="G478" s="3">
        <v>2</v>
      </c>
      <c r="H478" t="s">
        <v>3</v>
      </c>
      <c r="I478" t="s">
        <v>137</v>
      </c>
      <c r="J478" t="s">
        <v>335</v>
      </c>
      <c r="K478" t="s">
        <v>336</v>
      </c>
      <c r="L478" t="s">
        <v>3</v>
      </c>
      <c r="M478" t="s">
        <v>8</v>
      </c>
    </row>
    <row r="479" spans="1:13" x14ac:dyDescent="0.25">
      <c r="A479" t="s">
        <v>276</v>
      </c>
      <c r="B479" t="s">
        <v>143</v>
      </c>
      <c r="C479" t="s">
        <v>3</v>
      </c>
      <c r="D479" s="56">
        <v>1900</v>
      </c>
      <c r="E479" s="2">
        <v>704.15</v>
      </c>
      <c r="F479" s="2">
        <v>1195.8499999999999</v>
      </c>
      <c r="G479" s="3">
        <v>2</v>
      </c>
      <c r="H479" t="s">
        <v>3</v>
      </c>
      <c r="I479" t="s">
        <v>145</v>
      </c>
      <c r="J479" t="s">
        <v>335</v>
      </c>
      <c r="K479" t="s">
        <v>336</v>
      </c>
      <c r="L479" t="s">
        <v>3</v>
      </c>
      <c r="M479" t="s">
        <v>8</v>
      </c>
    </row>
    <row r="480" spans="1:13" x14ac:dyDescent="0.25">
      <c r="A480" t="s">
        <v>276</v>
      </c>
      <c r="B480" t="s">
        <v>151</v>
      </c>
      <c r="C480" t="s">
        <v>3</v>
      </c>
      <c r="D480" s="56">
        <v>700</v>
      </c>
      <c r="E480" s="2">
        <v>246.09</v>
      </c>
      <c r="F480" s="2">
        <v>453.91</v>
      </c>
      <c r="G480" s="3">
        <v>2</v>
      </c>
      <c r="H480" t="s">
        <v>3</v>
      </c>
      <c r="I480" t="s">
        <v>153</v>
      </c>
      <c r="J480" t="s">
        <v>335</v>
      </c>
      <c r="K480" t="s">
        <v>336</v>
      </c>
      <c r="L480" t="s">
        <v>3</v>
      </c>
      <c r="M480" t="s">
        <v>8</v>
      </c>
    </row>
    <row r="481" spans="1:13" x14ac:dyDescent="0.25">
      <c r="A481" t="s">
        <v>276</v>
      </c>
      <c r="B481" t="s">
        <v>159</v>
      </c>
      <c r="C481" t="s">
        <v>3</v>
      </c>
      <c r="D481" s="56">
        <v>700</v>
      </c>
      <c r="E481" s="2">
        <v>344.28</v>
      </c>
      <c r="F481" s="2">
        <v>355.72</v>
      </c>
      <c r="G481" s="3">
        <v>2</v>
      </c>
      <c r="H481" t="s">
        <v>3</v>
      </c>
      <c r="I481" t="s">
        <v>161</v>
      </c>
      <c r="J481" t="s">
        <v>335</v>
      </c>
      <c r="K481" t="s">
        <v>336</v>
      </c>
      <c r="L481" t="s">
        <v>3</v>
      </c>
      <c r="M481" t="s">
        <v>8</v>
      </c>
    </row>
    <row r="482" spans="1:13" x14ac:dyDescent="0.25">
      <c r="A482" t="s">
        <v>276</v>
      </c>
      <c r="B482" t="s">
        <v>170</v>
      </c>
      <c r="C482" t="s">
        <v>3</v>
      </c>
      <c r="D482" s="56">
        <v>400</v>
      </c>
      <c r="E482" s="2">
        <v>70.989999999999995</v>
      </c>
      <c r="F482" s="2">
        <v>329.01</v>
      </c>
      <c r="G482" s="3">
        <v>2</v>
      </c>
      <c r="H482" t="s">
        <v>3</v>
      </c>
      <c r="I482" t="s">
        <v>172</v>
      </c>
      <c r="J482" t="s">
        <v>335</v>
      </c>
      <c r="K482" t="s">
        <v>336</v>
      </c>
      <c r="L482" t="s">
        <v>3</v>
      </c>
      <c r="M482" t="s">
        <v>8</v>
      </c>
    </row>
    <row r="483" spans="1:13" x14ac:dyDescent="0.25">
      <c r="A483" t="s">
        <v>276</v>
      </c>
      <c r="B483" t="s">
        <v>179</v>
      </c>
      <c r="C483" t="s">
        <v>3</v>
      </c>
      <c r="D483" s="56">
        <v>600</v>
      </c>
      <c r="E483" s="2">
        <v>193.66</v>
      </c>
      <c r="F483" s="2">
        <v>406.34</v>
      </c>
      <c r="G483" s="3">
        <v>2</v>
      </c>
      <c r="H483" t="s">
        <v>3</v>
      </c>
      <c r="I483" t="s">
        <v>181</v>
      </c>
      <c r="J483" t="s">
        <v>335</v>
      </c>
      <c r="K483" t="s">
        <v>336</v>
      </c>
      <c r="L483" t="s">
        <v>3</v>
      </c>
      <c r="M483" t="s">
        <v>8</v>
      </c>
    </row>
    <row r="484" spans="1:13" x14ac:dyDescent="0.25">
      <c r="A484" t="s">
        <v>276</v>
      </c>
      <c r="B484" t="s">
        <v>189</v>
      </c>
      <c r="C484" t="s">
        <v>3</v>
      </c>
      <c r="D484" s="56">
        <v>300</v>
      </c>
      <c r="E484" s="2">
        <v>63.38</v>
      </c>
      <c r="F484" s="2">
        <v>236.62</v>
      </c>
      <c r="G484" s="3">
        <v>2</v>
      </c>
      <c r="H484" t="s">
        <v>3</v>
      </c>
      <c r="I484" t="s">
        <v>191</v>
      </c>
      <c r="J484" t="s">
        <v>335</v>
      </c>
      <c r="K484" t="s">
        <v>336</v>
      </c>
      <c r="L484" t="s">
        <v>3</v>
      </c>
      <c r="M484" t="s">
        <v>8</v>
      </c>
    </row>
    <row r="485" spans="1:13" x14ac:dyDescent="0.25">
      <c r="A485" t="s">
        <v>276</v>
      </c>
      <c r="B485" t="s">
        <v>198</v>
      </c>
      <c r="C485" t="s">
        <v>3</v>
      </c>
      <c r="D485" s="56">
        <v>200</v>
      </c>
      <c r="E485" s="2">
        <v>72.599999999999994</v>
      </c>
      <c r="F485" s="2">
        <v>127.4</v>
      </c>
      <c r="G485" s="3">
        <v>2</v>
      </c>
      <c r="H485" t="s">
        <v>3</v>
      </c>
      <c r="I485" t="s">
        <v>200</v>
      </c>
      <c r="J485" t="s">
        <v>335</v>
      </c>
      <c r="K485" t="s">
        <v>336</v>
      </c>
      <c r="L485" t="s">
        <v>3</v>
      </c>
      <c r="M485" t="s">
        <v>8</v>
      </c>
    </row>
    <row r="486" spans="1:13" x14ac:dyDescent="0.25">
      <c r="A486" t="s">
        <v>276</v>
      </c>
      <c r="B486" t="s">
        <v>206</v>
      </c>
      <c r="C486" t="s">
        <v>3</v>
      </c>
      <c r="D486" s="56">
        <v>300</v>
      </c>
      <c r="E486" s="2">
        <v>108.85</v>
      </c>
      <c r="F486" s="2">
        <v>191.15</v>
      </c>
      <c r="G486" s="3">
        <v>2</v>
      </c>
      <c r="H486" t="s">
        <v>3</v>
      </c>
      <c r="I486" t="s">
        <v>208</v>
      </c>
      <c r="J486" t="s">
        <v>335</v>
      </c>
      <c r="K486" t="s">
        <v>336</v>
      </c>
      <c r="L486" t="s">
        <v>3</v>
      </c>
      <c r="M486" t="s">
        <v>8</v>
      </c>
    </row>
    <row r="487" spans="1:13" x14ac:dyDescent="0.25">
      <c r="A487" t="s">
        <v>276</v>
      </c>
      <c r="B487" t="s">
        <v>214</v>
      </c>
      <c r="C487" t="s">
        <v>3</v>
      </c>
      <c r="D487" s="56">
        <v>1000</v>
      </c>
      <c r="E487" s="2">
        <v>703.47</v>
      </c>
      <c r="F487" s="2">
        <v>296.52999999999997</v>
      </c>
      <c r="G487" s="3">
        <v>2</v>
      </c>
      <c r="H487" t="s">
        <v>3</v>
      </c>
      <c r="I487" t="s">
        <v>216</v>
      </c>
      <c r="J487" t="s">
        <v>335</v>
      </c>
      <c r="K487" t="s">
        <v>336</v>
      </c>
      <c r="L487" t="s">
        <v>3</v>
      </c>
      <c r="M487" t="s">
        <v>8</v>
      </c>
    </row>
    <row r="488" spans="1:13" x14ac:dyDescent="0.25">
      <c r="A488" t="s">
        <v>276</v>
      </c>
      <c r="B488" t="s">
        <v>226</v>
      </c>
      <c r="C488" t="s">
        <v>3</v>
      </c>
      <c r="D488" s="56">
        <v>800</v>
      </c>
      <c r="E488" s="2">
        <v>92.67</v>
      </c>
      <c r="F488" s="2">
        <v>707.33</v>
      </c>
      <c r="G488" s="3">
        <v>2</v>
      </c>
      <c r="H488" t="s">
        <v>3</v>
      </c>
      <c r="I488" t="s">
        <v>228</v>
      </c>
      <c r="J488" t="s">
        <v>335</v>
      </c>
      <c r="K488" t="s">
        <v>336</v>
      </c>
      <c r="L488" t="s">
        <v>3</v>
      </c>
      <c r="M488" t="s">
        <v>8</v>
      </c>
    </row>
    <row r="489" spans="1:13" x14ac:dyDescent="0.25">
      <c r="A489" t="s">
        <v>276</v>
      </c>
      <c r="B489" t="s">
        <v>234</v>
      </c>
      <c r="C489" t="s">
        <v>3</v>
      </c>
      <c r="D489" s="56">
        <v>1600</v>
      </c>
      <c r="E489" s="2">
        <v>585.29</v>
      </c>
      <c r="F489" s="2">
        <v>1014.71</v>
      </c>
      <c r="G489" s="3">
        <v>2</v>
      </c>
      <c r="H489" t="s">
        <v>3</v>
      </c>
      <c r="I489" t="s">
        <v>236</v>
      </c>
      <c r="J489" t="s">
        <v>335</v>
      </c>
      <c r="K489" t="s">
        <v>336</v>
      </c>
      <c r="L489" t="s">
        <v>3</v>
      </c>
      <c r="M489" t="s">
        <v>8</v>
      </c>
    </row>
    <row r="490" spans="1:13" x14ac:dyDescent="0.25">
      <c r="A490" t="s">
        <v>276</v>
      </c>
      <c r="B490" t="s">
        <v>241</v>
      </c>
      <c r="C490" t="s">
        <v>3</v>
      </c>
      <c r="D490" s="56">
        <v>800</v>
      </c>
      <c r="E490" s="2">
        <v>352.47</v>
      </c>
      <c r="F490" s="2">
        <v>447.53</v>
      </c>
      <c r="G490" s="3">
        <v>2</v>
      </c>
      <c r="H490" t="s">
        <v>3</v>
      </c>
      <c r="I490" t="s">
        <v>243</v>
      </c>
      <c r="J490" t="s">
        <v>335</v>
      </c>
      <c r="K490" t="s">
        <v>336</v>
      </c>
      <c r="L490" t="s">
        <v>3</v>
      </c>
      <c r="M490" t="s">
        <v>8</v>
      </c>
    </row>
    <row r="491" spans="1:13" x14ac:dyDescent="0.25">
      <c r="A491" t="s">
        <v>276</v>
      </c>
      <c r="B491" t="s">
        <v>248</v>
      </c>
      <c r="C491" t="s">
        <v>3</v>
      </c>
      <c r="D491" s="56">
        <v>1500</v>
      </c>
      <c r="E491" s="2">
        <v>409.3</v>
      </c>
      <c r="F491" s="2">
        <v>1090.7</v>
      </c>
      <c r="G491" s="3">
        <v>2</v>
      </c>
      <c r="H491" t="s">
        <v>3</v>
      </c>
      <c r="I491" t="s">
        <v>250</v>
      </c>
      <c r="J491" t="s">
        <v>335</v>
      </c>
      <c r="K491" t="s">
        <v>336</v>
      </c>
      <c r="L491" t="s">
        <v>3</v>
      </c>
      <c r="M491" t="s">
        <v>8</v>
      </c>
    </row>
    <row r="492" spans="1:13" x14ac:dyDescent="0.25">
      <c r="A492" t="s">
        <v>276</v>
      </c>
      <c r="B492" t="s">
        <v>259</v>
      </c>
      <c r="C492" t="s">
        <v>3</v>
      </c>
      <c r="D492" s="56">
        <v>700</v>
      </c>
      <c r="E492" s="2">
        <v>131</v>
      </c>
      <c r="F492" s="2">
        <v>569</v>
      </c>
      <c r="G492" s="3">
        <v>2</v>
      </c>
      <c r="H492" t="s">
        <v>3</v>
      </c>
      <c r="I492" t="s">
        <v>261</v>
      </c>
      <c r="J492" t="s">
        <v>335</v>
      </c>
      <c r="K492" t="s">
        <v>336</v>
      </c>
      <c r="L492" t="s">
        <v>3</v>
      </c>
      <c r="M492" t="s">
        <v>8</v>
      </c>
    </row>
    <row r="493" spans="1:13" x14ac:dyDescent="0.25">
      <c r="A493" t="s">
        <v>276</v>
      </c>
      <c r="B493" t="s">
        <v>268</v>
      </c>
      <c r="C493" t="s">
        <v>3</v>
      </c>
      <c r="D493" s="56">
        <v>200</v>
      </c>
      <c r="E493" s="2">
        <v>25</v>
      </c>
      <c r="F493" s="2">
        <v>175</v>
      </c>
      <c r="G493" s="3">
        <v>2</v>
      </c>
      <c r="H493" t="s">
        <v>3</v>
      </c>
      <c r="I493" t="s">
        <v>270</v>
      </c>
      <c r="J493" t="s">
        <v>335</v>
      </c>
      <c r="K493" t="s">
        <v>336</v>
      </c>
      <c r="L493" t="s">
        <v>3</v>
      </c>
      <c r="M493" t="s">
        <v>8</v>
      </c>
    </row>
    <row r="494" spans="1:13" x14ac:dyDescent="0.25">
      <c r="A494" t="s">
        <v>276</v>
      </c>
      <c r="B494" t="s">
        <v>295</v>
      </c>
      <c r="C494" t="s">
        <v>3</v>
      </c>
      <c r="D494" s="56">
        <v>132000</v>
      </c>
      <c r="E494" s="2">
        <v>31972.2</v>
      </c>
      <c r="F494" s="2">
        <v>100027.8</v>
      </c>
      <c r="G494" s="3">
        <v>2</v>
      </c>
      <c r="H494" t="s">
        <v>3</v>
      </c>
      <c r="I494" t="s">
        <v>296</v>
      </c>
      <c r="J494" t="s">
        <v>321</v>
      </c>
      <c r="K494" t="s">
        <v>322</v>
      </c>
      <c r="L494" t="s">
        <v>3</v>
      </c>
      <c r="M494" t="s">
        <v>8</v>
      </c>
    </row>
    <row r="495" spans="1:13" x14ac:dyDescent="0.25">
      <c r="A495" t="s">
        <v>276</v>
      </c>
      <c r="B495" t="s">
        <v>341</v>
      </c>
      <c r="C495" t="s">
        <v>3</v>
      </c>
      <c r="D495" s="56">
        <v>486000</v>
      </c>
      <c r="E495" s="2">
        <v>402638</v>
      </c>
      <c r="F495" s="2">
        <v>83362</v>
      </c>
      <c r="G495" s="3">
        <v>2</v>
      </c>
      <c r="H495" t="s">
        <v>3</v>
      </c>
      <c r="I495" t="s">
        <v>342</v>
      </c>
      <c r="J495" t="s">
        <v>321</v>
      </c>
      <c r="K495" t="s">
        <v>322</v>
      </c>
      <c r="L495" t="s">
        <v>3</v>
      </c>
      <c r="M495" t="s">
        <v>8</v>
      </c>
    </row>
    <row r="496" spans="1:13" x14ac:dyDescent="0.25">
      <c r="A496" t="s">
        <v>276</v>
      </c>
      <c r="B496" t="s">
        <v>110</v>
      </c>
      <c r="C496" t="s">
        <v>3</v>
      </c>
      <c r="D496" s="56">
        <v>1500</v>
      </c>
      <c r="E496" s="2">
        <v>1389.2</v>
      </c>
      <c r="F496" s="2">
        <v>110.8</v>
      </c>
      <c r="G496" s="3">
        <v>2</v>
      </c>
      <c r="H496" t="s">
        <v>3</v>
      </c>
      <c r="I496" t="s">
        <v>112</v>
      </c>
      <c r="J496" t="s">
        <v>321</v>
      </c>
      <c r="K496" t="s">
        <v>322</v>
      </c>
      <c r="L496" t="s">
        <v>3</v>
      </c>
      <c r="M496" t="s">
        <v>8</v>
      </c>
    </row>
    <row r="497" spans="1:13" x14ac:dyDescent="0.25">
      <c r="A497" t="s">
        <v>276</v>
      </c>
      <c r="B497" t="s">
        <v>119</v>
      </c>
      <c r="C497" t="s">
        <v>3</v>
      </c>
      <c r="D497" s="56">
        <v>235000</v>
      </c>
      <c r="E497" s="2">
        <v>227378.6</v>
      </c>
      <c r="F497" s="2">
        <v>7621.4</v>
      </c>
      <c r="G497" s="3">
        <v>2</v>
      </c>
      <c r="H497" t="s">
        <v>3</v>
      </c>
      <c r="I497" t="s">
        <v>121</v>
      </c>
      <c r="J497" t="s">
        <v>321</v>
      </c>
      <c r="K497" t="s">
        <v>322</v>
      </c>
      <c r="L497" t="s">
        <v>3</v>
      </c>
      <c r="M497" t="s">
        <v>8</v>
      </c>
    </row>
    <row r="498" spans="1:13" x14ac:dyDescent="0.25">
      <c r="A498" t="s">
        <v>276</v>
      </c>
      <c r="B498" t="s">
        <v>127</v>
      </c>
      <c r="C498" t="s">
        <v>3</v>
      </c>
      <c r="D498" s="56">
        <v>3000</v>
      </c>
      <c r="E498" s="2">
        <v>1269.2</v>
      </c>
      <c r="F498" s="2">
        <v>1730.8</v>
      </c>
      <c r="G498" s="3">
        <v>2</v>
      </c>
      <c r="H498" t="s">
        <v>3</v>
      </c>
      <c r="I498" t="s">
        <v>128</v>
      </c>
      <c r="J498" t="s">
        <v>321</v>
      </c>
      <c r="K498" t="s">
        <v>322</v>
      </c>
      <c r="L498" t="s">
        <v>3</v>
      </c>
      <c r="M498" t="s">
        <v>8</v>
      </c>
    </row>
    <row r="499" spans="1:13" x14ac:dyDescent="0.25">
      <c r="A499" t="s">
        <v>276</v>
      </c>
      <c r="B499" t="s">
        <v>135</v>
      </c>
      <c r="C499" t="s">
        <v>3</v>
      </c>
      <c r="D499" s="56">
        <v>2500</v>
      </c>
      <c r="E499" s="2">
        <v>830.4</v>
      </c>
      <c r="F499" s="2">
        <v>1669.6</v>
      </c>
      <c r="G499" s="3">
        <v>2</v>
      </c>
      <c r="H499" t="s">
        <v>3</v>
      </c>
      <c r="I499" t="s">
        <v>137</v>
      </c>
      <c r="J499" t="s">
        <v>321</v>
      </c>
      <c r="K499" t="s">
        <v>322</v>
      </c>
      <c r="L499" t="s">
        <v>3</v>
      </c>
      <c r="M499" t="s">
        <v>8</v>
      </c>
    </row>
    <row r="500" spans="1:13" x14ac:dyDescent="0.25">
      <c r="A500" t="s">
        <v>276</v>
      </c>
      <c r="B500" t="s">
        <v>143</v>
      </c>
      <c r="C500" t="s">
        <v>3</v>
      </c>
      <c r="D500" s="56">
        <v>2000</v>
      </c>
      <c r="E500" s="2">
        <v>832.9</v>
      </c>
      <c r="F500" s="2">
        <v>1167.0999999999999</v>
      </c>
      <c r="G500" s="3">
        <v>2</v>
      </c>
      <c r="H500" t="s">
        <v>3</v>
      </c>
      <c r="I500" t="s">
        <v>145</v>
      </c>
      <c r="J500" t="s">
        <v>321</v>
      </c>
      <c r="K500" t="s">
        <v>322</v>
      </c>
      <c r="L500" t="s">
        <v>3</v>
      </c>
      <c r="M500" t="s">
        <v>8</v>
      </c>
    </row>
    <row r="501" spans="1:13" x14ac:dyDescent="0.25">
      <c r="A501" t="s">
        <v>276</v>
      </c>
      <c r="B501" t="s">
        <v>151</v>
      </c>
      <c r="C501" t="s">
        <v>3</v>
      </c>
      <c r="D501" s="56">
        <v>2000</v>
      </c>
      <c r="E501" s="2">
        <v>1269.2</v>
      </c>
      <c r="F501" s="2">
        <v>730.8</v>
      </c>
      <c r="G501" s="3">
        <v>2</v>
      </c>
      <c r="H501" t="s">
        <v>3</v>
      </c>
      <c r="I501" t="s">
        <v>153</v>
      </c>
      <c r="J501" t="s">
        <v>321</v>
      </c>
      <c r="K501" t="s">
        <v>322</v>
      </c>
      <c r="L501" t="s">
        <v>3</v>
      </c>
      <c r="M501" t="s">
        <v>8</v>
      </c>
    </row>
    <row r="502" spans="1:13" x14ac:dyDescent="0.25">
      <c r="A502" t="s">
        <v>276</v>
      </c>
      <c r="B502" t="s">
        <v>159</v>
      </c>
      <c r="C502" t="s">
        <v>3</v>
      </c>
      <c r="D502" s="56">
        <v>3000</v>
      </c>
      <c r="E502" s="2">
        <v>850.4</v>
      </c>
      <c r="F502" s="2">
        <v>2149.6</v>
      </c>
      <c r="G502" s="3">
        <v>2</v>
      </c>
      <c r="H502" t="s">
        <v>3</v>
      </c>
      <c r="I502" t="s">
        <v>161</v>
      </c>
      <c r="J502" t="s">
        <v>321</v>
      </c>
      <c r="K502" t="s">
        <v>322</v>
      </c>
      <c r="L502" t="s">
        <v>3</v>
      </c>
      <c r="M502" t="s">
        <v>8</v>
      </c>
    </row>
    <row r="503" spans="1:13" x14ac:dyDescent="0.25">
      <c r="A503" t="s">
        <v>276</v>
      </c>
      <c r="B503" t="s">
        <v>170</v>
      </c>
      <c r="C503" t="s">
        <v>3</v>
      </c>
      <c r="D503" s="56">
        <v>3000</v>
      </c>
      <c r="E503" s="2">
        <v>2027.2</v>
      </c>
      <c r="F503" s="2">
        <v>972.8</v>
      </c>
      <c r="G503" s="3">
        <v>2</v>
      </c>
      <c r="H503" t="s">
        <v>3</v>
      </c>
      <c r="I503" t="s">
        <v>172</v>
      </c>
      <c r="J503" t="s">
        <v>321</v>
      </c>
      <c r="K503" t="s">
        <v>322</v>
      </c>
      <c r="L503" t="s">
        <v>3</v>
      </c>
      <c r="M503" t="s">
        <v>8</v>
      </c>
    </row>
    <row r="504" spans="1:13" x14ac:dyDescent="0.25">
      <c r="A504" t="s">
        <v>276</v>
      </c>
      <c r="B504" t="s">
        <v>179</v>
      </c>
      <c r="C504" t="s">
        <v>3</v>
      </c>
      <c r="D504" s="56">
        <v>183500</v>
      </c>
      <c r="E504" s="2">
        <v>181402.2</v>
      </c>
      <c r="F504" s="2">
        <v>2097.8000000000002</v>
      </c>
      <c r="G504" s="3">
        <v>2</v>
      </c>
      <c r="H504" t="s">
        <v>3</v>
      </c>
      <c r="I504" t="s">
        <v>181</v>
      </c>
      <c r="J504" t="s">
        <v>321</v>
      </c>
      <c r="K504" t="s">
        <v>322</v>
      </c>
      <c r="L504" t="s">
        <v>3</v>
      </c>
      <c r="M504" t="s">
        <v>8</v>
      </c>
    </row>
    <row r="505" spans="1:13" x14ac:dyDescent="0.25">
      <c r="A505" t="s">
        <v>276</v>
      </c>
      <c r="B505" t="s">
        <v>189</v>
      </c>
      <c r="C505" t="s">
        <v>3</v>
      </c>
      <c r="D505" s="56">
        <v>11000</v>
      </c>
      <c r="E505" s="2">
        <v>8478.2000000000007</v>
      </c>
      <c r="F505" s="2">
        <v>2521.8000000000002</v>
      </c>
      <c r="G505" s="3">
        <v>2</v>
      </c>
      <c r="H505" t="s">
        <v>3</v>
      </c>
      <c r="I505" t="s">
        <v>191</v>
      </c>
      <c r="J505" t="s">
        <v>321</v>
      </c>
      <c r="K505" t="s">
        <v>322</v>
      </c>
      <c r="L505" t="s">
        <v>3</v>
      </c>
      <c r="M505" t="s">
        <v>8</v>
      </c>
    </row>
    <row r="506" spans="1:13" x14ac:dyDescent="0.25">
      <c r="A506" t="s">
        <v>276</v>
      </c>
      <c r="B506" t="s">
        <v>198</v>
      </c>
      <c r="C506" t="s">
        <v>3</v>
      </c>
      <c r="D506" s="56">
        <v>234000</v>
      </c>
      <c r="E506" s="2">
        <v>138622.20000000001</v>
      </c>
      <c r="F506" s="2">
        <v>95377.8</v>
      </c>
      <c r="G506" s="3">
        <v>2</v>
      </c>
      <c r="H506" t="s">
        <v>3</v>
      </c>
      <c r="I506" t="s">
        <v>200</v>
      </c>
      <c r="J506" t="s">
        <v>321</v>
      </c>
      <c r="K506" t="s">
        <v>322</v>
      </c>
      <c r="L506" t="s">
        <v>3</v>
      </c>
      <c r="M506" t="s">
        <v>8</v>
      </c>
    </row>
    <row r="507" spans="1:13" x14ac:dyDescent="0.25">
      <c r="A507" t="s">
        <v>276</v>
      </c>
      <c r="B507" t="s">
        <v>206</v>
      </c>
      <c r="C507" t="s">
        <v>3</v>
      </c>
      <c r="D507" s="56">
        <v>6000</v>
      </c>
      <c r="E507" s="2">
        <v>3860.4</v>
      </c>
      <c r="F507" s="2">
        <v>2139.6</v>
      </c>
      <c r="G507" s="3">
        <v>2</v>
      </c>
      <c r="H507" t="s">
        <v>3</v>
      </c>
      <c r="I507" t="s">
        <v>208</v>
      </c>
      <c r="J507" t="s">
        <v>321</v>
      </c>
      <c r="K507" t="s">
        <v>322</v>
      </c>
      <c r="L507" t="s">
        <v>3</v>
      </c>
      <c r="M507" t="s">
        <v>8</v>
      </c>
    </row>
    <row r="508" spans="1:13" x14ac:dyDescent="0.25">
      <c r="A508" t="s">
        <v>276</v>
      </c>
      <c r="B508" t="s">
        <v>214</v>
      </c>
      <c r="C508" t="s">
        <v>3</v>
      </c>
      <c r="D508" s="56">
        <v>141500</v>
      </c>
      <c r="E508" s="2">
        <v>136054.39999999999</v>
      </c>
      <c r="F508" s="2">
        <v>5445.6</v>
      </c>
      <c r="G508" s="3">
        <v>2</v>
      </c>
      <c r="H508" t="s">
        <v>3</v>
      </c>
      <c r="I508" t="s">
        <v>216</v>
      </c>
      <c r="J508" t="s">
        <v>321</v>
      </c>
      <c r="K508" t="s">
        <v>322</v>
      </c>
      <c r="L508" t="s">
        <v>3</v>
      </c>
      <c r="M508" t="s">
        <v>8</v>
      </c>
    </row>
    <row r="509" spans="1:13" x14ac:dyDescent="0.25">
      <c r="A509" t="s">
        <v>276</v>
      </c>
      <c r="B509" t="s">
        <v>226</v>
      </c>
      <c r="C509" t="s">
        <v>3</v>
      </c>
      <c r="D509" s="56">
        <v>1500</v>
      </c>
      <c r="E509" s="2">
        <v>471.3</v>
      </c>
      <c r="F509" s="2">
        <v>1028.7</v>
      </c>
      <c r="G509" s="3">
        <v>2</v>
      </c>
      <c r="H509" t="s">
        <v>3</v>
      </c>
      <c r="I509" t="s">
        <v>228</v>
      </c>
      <c r="J509" t="s">
        <v>321</v>
      </c>
      <c r="K509" t="s">
        <v>322</v>
      </c>
      <c r="L509" t="s">
        <v>3</v>
      </c>
      <c r="M509" t="s">
        <v>8</v>
      </c>
    </row>
    <row r="510" spans="1:13" x14ac:dyDescent="0.25">
      <c r="A510" t="s">
        <v>276</v>
      </c>
      <c r="B510" t="s">
        <v>234</v>
      </c>
      <c r="C510" t="s">
        <v>3</v>
      </c>
      <c r="D510" s="56">
        <v>1500</v>
      </c>
      <c r="E510" s="2">
        <v>228.9</v>
      </c>
      <c r="F510" s="2">
        <v>1271.0999999999999</v>
      </c>
      <c r="G510" s="3">
        <v>2</v>
      </c>
      <c r="H510" t="s">
        <v>3</v>
      </c>
      <c r="I510" t="s">
        <v>236</v>
      </c>
      <c r="J510" t="s">
        <v>321</v>
      </c>
      <c r="K510" t="s">
        <v>322</v>
      </c>
      <c r="L510" t="s">
        <v>3</v>
      </c>
      <c r="M510" t="s">
        <v>8</v>
      </c>
    </row>
    <row r="511" spans="1:13" x14ac:dyDescent="0.25">
      <c r="A511" t="s">
        <v>276</v>
      </c>
      <c r="B511" t="s">
        <v>241</v>
      </c>
      <c r="C511" t="s">
        <v>3</v>
      </c>
      <c r="D511" s="56">
        <v>1500</v>
      </c>
      <c r="E511" s="2">
        <v>208</v>
      </c>
      <c r="F511" s="2">
        <v>1292</v>
      </c>
      <c r="G511" s="3">
        <v>2</v>
      </c>
      <c r="H511" t="s">
        <v>3</v>
      </c>
      <c r="I511" t="s">
        <v>243</v>
      </c>
      <c r="J511" t="s">
        <v>321</v>
      </c>
      <c r="K511" t="s">
        <v>322</v>
      </c>
      <c r="L511" t="s">
        <v>3</v>
      </c>
      <c r="M511" t="s">
        <v>8</v>
      </c>
    </row>
    <row r="512" spans="1:13" x14ac:dyDescent="0.25">
      <c r="A512" t="s">
        <v>276</v>
      </c>
      <c r="B512" t="s">
        <v>248</v>
      </c>
      <c r="C512" t="s">
        <v>3</v>
      </c>
      <c r="D512" s="56">
        <v>183500</v>
      </c>
      <c r="E512" s="2">
        <v>168420.6</v>
      </c>
      <c r="F512" s="2">
        <v>15079.4</v>
      </c>
      <c r="G512" s="3">
        <v>2</v>
      </c>
      <c r="H512" t="s">
        <v>3</v>
      </c>
      <c r="I512" t="s">
        <v>250</v>
      </c>
      <c r="J512" t="s">
        <v>321</v>
      </c>
      <c r="K512" t="s">
        <v>322</v>
      </c>
      <c r="L512" t="s">
        <v>3</v>
      </c>
      <c r="M512" t="s">
        <v>8</v>
      </c>
    </row>
    <row r="513" spans="1:13" x14ac:dyDescent="0.25">
      <c r="A513" t="s">
        <v>276</v>
      </c>
      <c r="B513" t="s">
        <v>259</v>
      </c>
      <c r="C513" t="s">
        <v>3</v>
      </c>
      <c r="D513" s="56">
        <v>1500</v>
      </c>
      <c r="E513" s="2">
        <v>379.8</v>
      </c>
      <c r="F513" s="2">
        <v>1120.2</v>
      </c>
      <c r="G513" s="3">
        <v>2</v>
      </c>
      <c r="H513" t="s">
        <v>3</v>
      </c>
      <c r="I513" t="s">
        <v>261</v>
      </c>
      <c r="J513" t="s">
        <v>321</v>
      </c>
      <c r="K513" t="s">
        <v>322</v>
      </c>
      <c r="L513" t="s">
        <v>3</v>
      </c>
      <c r="M513" t="s">
        <v>8</v>
      </c>
    </row>
    <row r="514" spans="1:13" x14ac:dyDescent="0.25">
      <c r="A514" t="s">
        <v>276</v>
      </c>
      <c r="B514" t="s">
        <v>268</v>
      </c>
      <c r="C514" t="s">
        <v>3</v>
      </c>
      <c r="D514" s="56">
        <v>1500</v>
      </c>
      <c r="E514" s="2">
        <v>400.4</v>
      </c>
      <c r="F514" s="2">
        <v>1099.5999999999999</v>
      </c>
      <c r="G514" s="3">
        <v>2</v>
      </c>
      <c r="H514" t="s">
        <v>3</v>
      </c>
      <c r="I514" t="s">
        <v>270</v>
      </c>
      <c r="J514" t="s">
        <v>321</v>
      </c>
      <c r="K514" t="s">
        <v>322</v>
      </c>
      <c r="L514" t="s">
        <v>3</v>
      </c>
      <c r="M514" t="s">
        <v>8</v>
      </c>
    </row>
    <row r="515" spans="1:13" x14ac:dyDescent="0.25">
      <c r="A515" t="s">
        <v>276</v>
      </c>
      <c r="B515" t="s">
        <v>277</v>
      </c>
      <c r="C515" t="s">
        <v>3</v>
      </c>
      <c r="D515" s="2">
        <v>631000</v>
      </c>
      <c r="E515" s="2">
        <v>250388.21</v>
      </c>
      <c r="F515" s="2">
        <v>380611.79</v>
      </c>
      <c r="G515" s="3">
        <v>2</v>
      </c>
      <c r="H515" t="s">
        <v>3</v>
      </c>
      <c r="I515" t="s">
        <v>278</v>
      </c>
      <c r="J515" t="s">
        <v>287</v>
      </c>
      <c r="K515" t="s">
        <v>288</v>
      </c>
      <c r="L515" t="s">
        <v>3</v>
      </c>
      <c r="M515" t="s">
        <v>8</v>
      </c>
    </row>
    <row r="516" spans="1:13" x14ac:dyDescent="0.25">
      <c r="A516" t="s">
        <v>276</v>
      </c>
      <c r="B516" t="s">
        <v>1</v>
      </c>
      <c r="C516" t="s">
        <v>3</v>
      </c>
      <c r="D516" s="2">
        <v>502000</v>
      </c>
      <c r="E516" s="2">
        <v>246260.58</v>
      </c>
      <c r="F516" s="2">
        <v>255739.42</v>
      </c>
      <c r="G516" s="3">
        <v>2</v>
      </c>
      <c r="H516" t="s">
        <v>3</v>
      </c>
      <c r="I516" t="s">
        <v>4</v>
      </c>
      <c r="J516" t="s">
        <v>287</v>
      </c>
      <c r="K516" t="s">
        <v>288</v>
      </c>
      <c r="L516" t="s">
        <v>3</v>
      </c>
      <c r="M516" t="s">
        <v>8</v>
      </c>
    </row>
    <row r="517" spans="1:13" x14ac:dyDescent="0.25">
      <c r="A517" t="s">
        <v>276</v>
      </c>
      <c r="B517" t="s">
        <v>293</v>
      </c>
      <c r="C517" t="s">
        <v>3</v>
      </c>
      <c r="D517" s="2">
        <v>1294000</v>
      </c>
      <c r="E517" s="2">
        <v>669941.01</v>
      </c>
      <c r="F517" s="2">
        <v>624058.99</v>
      </c>
      <c r="G517" s="3">
        <v>2</v>
      </c>
      <c r="H517" t="s">
        <v>3</v>
      </c>
      <c r="I517" t="s">
        <v>294</v>
      </c>
      <c r="J517" t="s">
        <v>287</v>
      </c>
      <c r="K517" t="s">
        <v>288</v>
      </c>
      <c r="L517" t="s">
        <v>3</v>
      </c>
      <c r="M517" t="s">
        <v>8</v>
      </c>
    </row>
    <row r="518" spans="1:13" x14ac:dyDescent="0.25">
      <c r="A518" t="s">
        <v>276</v>
      </c>
      <c r="B518" t="s">
        <v>295</v>
      </c>
      <c r="C518" t="s">
        <v>3</v>
      </c>
      <c r="D518" s="2">
        <v>4199000</v>
      </c>
      <c r="E518" s="2">
        <v>1815780.9</v>
      </c>
      <c r="F518" s="2">
        <v>2383219.1</v>
      </c>
      <c r="G518" s="3">
        <v>2</v>
      </c>
      <c r="H518" t="s">
        <v>3</v>
      </c>
      <c r="I518" t="s">
        <v>296</v>
      </c>
      <c r="J518" t="s">
        <v>287</v>
      </c>
      <c r="K518" t="s">
        <v>288</v>
      </c>
      <c r="L518" t="s">
        <v>3</v>
      </c>
      <c r="M518" t="s">
        <v>8</v>
      </c>
    </row>
    <row r="519" spans="1:13" x14ac:dyDescent="0.25">
      <c r="A519" t="s">
        <v>276</v>
      </c>
      <c r="B519" t="s">
        <v>329</v>
      </c>
      <c r="C519" t="s">
        <v>3</v>
      </c>
      <c r="D519" s="2">
        <v>994000</v>
      </c>
      <c r="E519" s="2">
        <v>466379.87</v>
      </c>
      <c r="F519" s="2">
        <v>527620.13</v>
      </c>
      <c r="G519" s="3">
        <v>2</v>
      </c>
      <c r="H519" t="s">
        <v>3</v>
      </c>
      <c r="I519" t="s">
        <v>330</v>
      </c>
      <c r="J519" t="s">
        <v>287</v>
      </c>
      <c r="K519" t="s">
        <v>288</v>
      </c>
      <c r="L519" t="s">
        <v>3</v>
      </c>
      <c r="M519" t="s">
        <v>8</v>
      </c>
    </row>
    <row r="520" spans="1:13" x14ac:dyDescent="0.25">
      <c r="A520" t="s">
        <v>276</v>
      </c>
      <c r="B520" t="s">
        <v>333</v>
      </c>
      <c r="C520" t="s">
        <v>3</v>
      </c>
      <c r="D520" s="2">
        <v>1507000</v>
      </c>
      <c r="E520" s="2">
        <v>710991.32</v>
      </c>
      <c r="F520" s="2">
        <v>796008.68</v>
      </c>
      <c r="G520" s="3">
        <v>2</v>
      </c>
      <c r="H520" t="s">
        <v>3</v>
      </c>
      <c r="I520" t="s">
        <v>334</v>
      </c>
      <c r="J520" t="s">
        <v>287</v>
      </c>
      <c r="K520" t="s">
        <v>288</v>
      </c>
      <c r="L520" t="s">
        <v>3</v>
      </c>
      <c r="M520" t="s">
        <v>8</v>
      </c>
    </row>
    <row r="521" spans="1:13" x14ac:dyDescent="0.25">
      <c r="A521" t="s">
        <v>276</v>
      </c>
      <c r="B521" t="s">
        <v>341</v>
      </c>
      <c r="C521" t="s">
        <v>3</v>
      </c>
      <c r="D521" s="2">
        <v>1033000</v>
      </c>
      <c r="E521" s="2">
        <v>514523.75</v>
      </c>
      <c r="F521" s="2">
        <v>518476.25</v>
      </c>
      <c r="G521" s="3">
        <v>2</v>
      </c>
      <c r="H521" t="s">
        <v>3</v>
      </c>
      <c r="I521" t="s">
        <v>342</v>
      </c>
      <c r="J521" t="s">
        <v>287</v>
      </c>
      <c r="K521" t="s">
        <v>288</v>
      </c>
      <c r="L521" t="s">
        <v>3</v>
      </c>
      <c r="M521" t="s">
        <v>8</v>
      </c>
    </row>
    <row r="522" spans="1:13" x14ac:dyDescent="0.25">
      <c r="A522" t="s">
        <v>276</v>
      </c>
      <c r="B522" t="s">
        <v>9</v>
      </c>
      <c r="C522" t="s">
        <v>3</v>
      </c>
      <c r="D522" s="2">
        <v>1325000</v>
      </c>
      <c r="E522" s="2">
        <v>647125.9</v>
      </c>
      <c r="F522" s="2">
        <v>677874.1</v>
      </c>
      <c r="G522" s="3">
        <v>2</v>
      </c>
      <c r="H522" t="s">
        <v>3</v>
      </c>
      <c r="I522" t="s">
        <v>11</v>
      </c>
      <c r="J522" t="s">
        <v>287</v>
      </c>
      <c r="K522" t="s">
        <v>288</v>
      </c>
      <c r="L522" t="s">
        <v>3</v>
      </c>
      <c r="M522" t="s">
        <v>8</v>
      </c>
    </row>
    <row r="523" spans="1:13" x14ac:dyDescent="0.25">
      <c r="A523" t="s">
        <v>276</v>
      </c>
      <c r="B523" t="s">
        <v>13</v>
      </c>
      <c r="C523" t="s">
        <v>3</v>
      </c>
      <c r="D523" s="2">
        <v>1007000</v>
      </c>
      <c r="E523" s="2">
        <v>495492.65</v>
      </c>
      <c r="F523" s="2">
        <v>511507.35</v>
      </c>
      <c r="G523" s="3">
        <v>2</v>
      </c>
      <c r="H523" t="s">
        <v>3</v>
      </c>
      <c r="I523" t="s">
        <v>15</v>
      </c>
      <c r="J523" t="s">
        <v>287</v>
      </c>
      <c r="K523" t="s">
        <v>288</v>
      </c>
      <c r="L523" t="s">
        <v>3</v>
      </c>
      <c r="M523" t="s">
        <v>8</v>
      </c>
    </row>
    <row r="524" spans="1:13" x14ac:dyDescent="0.25">
      <c r="A524" t="s">
        <v>276</v>
      </c>
      <c r="B524" t="s">
        <v>19</v>
      </c>
      <c r="C524" t="s">
        <v>3</v>
      </c>
      <c r="D524" s="2">
        <v>913000</v>
      </c>
      <c r="E524" s="2">
        <v>491777.34</v>
      </c>
      <c r="F524" s="2">
        <v>421222.66</v>
      </c>
      <c r="G524" s="3">
        <v>2</v>
      </c>
      <c r="H524" t="s">
        <v>3</v>
      </c>
      <c r="I524" t="s">
        <v>21</v>
      </c>
      <c r="J524" t="s">
        <v>287</v>
      </c>
      <c r="K524" t="s">
        <v>288</v>
      </c>
      <c r="L524" t="s">
        <v>3</v>
      </c>
      <c r="M524" t="s">
        <v>8</v>
      </c>
    </row>
    <row r="525" spans="1:13" x14ac:dyDescent="0.25">
      <c r="A525" t="s">
        <v>276</v>
      </c>
      <c r="B525" t="s">
        <v>31</v>
      </c>
      <c r="C525" t="s">
        <v>3</v>
      </c>
      <c r="D525" s="2">
        <v>833000</v>
      </c>
      <c r="E525" s="2">
        <v>571117.26</v>
      </c>
      <c r="F525" s="2">
        <v>261882.74</v>
      </c>
      <c r="G525" s="3">
        <v>2</v>
      </c>
      <c r="H525" t="s">
        <v>3</v>
      </c>
      <c r="I525" t="s">
        <v>33</v>
      </c>
      <c r="J525" t="s">
        <v>287</v>
      </c>
      <c r="K525" t="s">
        <v>288</v>
      </c>
      <c r="L525" t="s">
        <v>3</v>
      </c>
      <c r="M525" t="s">
        <v>8</v>
      </c>
    </row>
    <row r="526" spans="1:13" x14ac:dyDescent="0.25">
      <c r="A526" t="s">
        <v>276</v>
      </c>
      <c r="B526" t="s">
        <v>41</v>
      </c>
      <c r="C526" t="s">
        <v>3</v>
      </c>
      <c r="D526" s="2">
        <v>1145000</v>
      </c>
      <c r="E526" s="2">
        <v>555830.06999999995</v>
      </c>
      <c r="F526" s="2">
        <v>589169.93000000005</v>
      </c>
      <c r="G526" s="3">
        <v>2</v>
      </c>
      <c r="H526" t="s">
        <v>3</v>
      </c>
      <c r="I526" t="s">
        <v>43</v>
      </c>
      <c r="J526" t="s">
        <v>287</v>
      </c>
      <c r="K526" t="s">
        <v>288</v>
      </c>
      <c r="L526" t="s">
        <v>3</v>
      </c>
      <c r="M526" t="s">
        <v>8</v>
      </c>
    </row>
    <row r="527" spans="1:13" x14ac:dyDescent="0.25">
      <c r="A527" t="s">
        <v>276</v>
      </c>
      <c r="B527" t="s">
        <v>50</v>
      </c>
      <c r="C527" t="s">
        <v>3</v>
      </c>
      <c r="D527" s="2">
        <v>2088000</v>
      </c>
      <c r="E527" s="2">
        <v>1065213.4399999999</v>
      </c>
      <c r="F527" s="2">
        <v>1022786.5600000001</v>
      </c>
      <c r="G527" s="3">
        <v>2</v>
      </c>
      <c r="H527" t="s">
        <v>3</v>
      </c>
      <c r="I527" t="s">
        <v>52</v>
      </c>
      <c r="J527" t="s">
        <v>287</v>
      </c>
      <c r="K527" t="s">
        <v>288</v>
      </c>
      <c r="L527" t="s">
        <v>3</v>
      </c>
      <c r="M527" t="s">
        <v>8</v>
      </c>
    </row>
    <row r="528" spans="1:13" x14ac:dyDescent="0.25">
      <c r="A528" t="s">
        <v>276</v>
      </c>
      <c r="B528" t="s">
        <v>58</v>
      </c>
      <c r="C528" t="s">
        <v>3</v>
      </c>
      <c r="D528" s="2">
        <v>1484000</v>
      </c>
      <c r="E528" s="2">
        <v>684909.2</v>
      </c>
      <c r="F528" s="2">
        <v>799090.8</v>
      </c>
      <c r="G528" s="3">
        <v>2</v>
      </c>
      <c r="H528" t="s">
        <v>3</v>
      </c>
      <c r="I528" t="s">
        <v>60</v>
      </c>
      <c r="J528" t="s">
        <v>287</v>
      </c>
      <c r="K528" t="s">
        <v>288</v>
      </c>
      <c r="L528" t="s">
        <v>3</v>
      </c>
      <c r="M528" t="s">
        <v>8</v>
      </c>
    </row>
    <row r="529" spans="1:13" x14ac:dyDescent="0.25">
      <c r="A529" t="s">
        <v>276</v>
      </c>
      <c r="B529" t="s">
        <v>363</v>
      </c>
      <c r="C529" t="s">
        <v>3</v>
      </c>
      <c r="D529" s="2">
        <v>0</v>
      </c>
      <c r="E529" s="2">
        <v>0</v>
      </c>
      <c r="F529" s="2">
        <v>0</v>
      </c>
      <c r="G529" s="3">
        <v>1</v>
      </c>
      <c r="H529" t="s">
        <v>3</v>
      </c>
      <c r="I529" t="s">
        <v>364</v>
      </c>
      <c r="J529" t="s">
        <v>287</v>
      </c>
      <c r="K529" t="s">
        <v>288</v>
      </c>
      <c r="L529" t="s">
        <v>3</v>
      </c>
      <c r="M529" t="s">
        <v>8</v>
      </c>
    </row>
    <row r="530" spans="1:13" x14ac:dyDescent="0.25">
      <c r="A530" t="s">
        <v>276</v>
      </c>
      <c r="B530" t="s">
        <v>77</v>
      </c>
      <c r="C530" t="s">
        <v>3</v>
      </c>
      <c r="D530" s="2">
        <v>497000</v>
      </c>
      <c r="E530" s="2">
        <v>238077.72</v>
      </c>
      <c r="F530" s="2">
        <v>258922.28</v>
      </c>
      <c r="G530" s="3">
        <v>2</v>
      </c>
      <c r="H530" t="s">
        <v>3</v>
      </c>
      <c r="I530" t="s">
        <v>79</v>
      </c>
      <c r="J530" t="s">
        <v>287</v>
      </c>
      <c r="K530" t="s">
        <v>288</v>
      </c>
      <c r="L530" t="s">
        <v>3</v>
      </c>
      <c r="M530" t="s">
        <v>8</v>
      </c>
    </row>
    <row r="531" spans="1:13" x14ac:dyDescent="0.25">
      <c r="A531" t="s">
        <v>276</v>
      </c>
      <c r="B531" t="s">
        <v>83</v>
      </c>
      <c r="C531" t="s">
        <v>3</v>
      </c>
      <c r="D531" s="2">
        <v>1343000</v>
      </c>
      <c r="E531" s="2">
        <v>673388.27</v>
      </c>
      <c r="F531" s="2">
        <v>669611.73</v>
      </c>
      <c r="G531" s="3">
        <v>2</v>
      </c>
      <c r="H531" t="s">
        <v>3</v>
      </c>
      <c r="I531" t="s">
        <v>85</v>
      </c>
      <c r="J531" t="s">
        <v>287</v>
      </c>
      <c r="K531" t="s">
        <v>288</v>
      </c>
      <c r="L531" t="s">
        <v>3</v>
      </c>
      <c r="M531" t="s">
        <v>8</v>
      </c>
    </row>
    <row r="532" spans="1:13" x14ac:dyDescent="0.25">
      <c r="A532" t="s">
        <v>276</v>
      </c>
      <c r="B532" t="s">
        <v>94</v>
      </c>
      <c r="C532" t="s">
        <v>3</v>
      </c>
      <c r="D532" s="2">
        <v>541000</v>
      </c>
      <c r="E532" s="2">
        <v>235293.5</v>
      </c>
      <c r="F532" s="2">
        <v>305706.5</v>
      </c>
      <c r="G532" s="3">
        <v>2</v>
      </c>
      <c r="H532" t="s">
        <v>3</v>
      </c>
      <c r="I532" t="s">
        <v>96</v>
      </c>
      <c r="J532" t="s">
        <v>287</v>
      </c>
      <c r="K532" t="s">
        <v>288</v>
      </c>
      <c r="L532" t="s">
        <v>3</v>
      </c>
      <c r="M532" t="s">
        <v>8</v>
      </c>
    </row>
    <row r="533" spans="1:13" x14ac:dyDescent="0.25">
      <c r="A533" t="s">
        <v>276</v>
      </c>
      <c r="B533" t="s">
        <v>101</v>
      </c>
      <c r="C533" t="s">
        <v>3</v>
      </c>
      <c r="D533" s="2">
        <v>1018000</v>
      </c>
      <c r="E533" s="2">
        <v>469657.68</v>
      </c>
      <c r="F533" s="2">
        <v>548342.31999999995</v>
      </c>
      <c r="G533" s="3">
        <v>2</v>
      </c>
      <c r="H533" t="s">
        <v>3</v>
      </c>
      <c r="I533" t="s">
        <v>103</v>
      </c>
      <c r="J533" t="s">
        <v>287</v>
      </c>
      <c r="K533" t="s">
        <v>288</v>
      </c>
      <c r="L533" t="s">
        <v>3</v>
      </c>
      <c r="M533" t="s">
        <v>8</v>
      </c>
    </row>
    <row r="534" spans="1:13" x14ac:dyDescent="0.25">
      <c r="A534" t="s">
        <v>276</v>
      </c>
      <c r="B534" t="s">
        <v>110</v>
      </c>
      <c r="C534" t="s">
        <v>3</v>
      </c>
      <c r="D534" s="2">
        <v>969000</v>
      </c>
      <c r="E534" s="2">
        <v>303641.15000000002</v>
      </c>
      <c r="F534" s="2">
        <v>665358.85</v>
      </c>
      <c r="G534" s="3">
        <v>2</v>
      </c>
      <c r="H534" t="s">
        <v>3</v>
      </c>
      <c r="I534" t="s">
        <v>112</v>
      </c>
      <c r="J534" t="s">
        <v>287</v>
      </c>
      <c r="K534" t="s">
        <v>288</v>
      </c>
      <c r="L534" t="s">
        <v>3</v>
      </c>
      <c r="M534" t="s">
        <v>8</v>
      </c>
    </row>
    <row r="535" spans="1:13" x14ac:dyDescent="0.25">
      <c r="A535" t="s">
        <v>276</v>
      </c>
      <c r="B535" t="s">
        <v>119</v>
      </c>
      <c r="C535" t="s">
        <v>3</v>
      </c>
      <c r="D535" s="2">
        <v>1573000</v>
      </c>
      <c r="E535" s="2">
        <v>778857.21</v>
      </c>
      <c r="F535" s="2">
        <v>794142.79</v>
      </c>
      <c r="G535" s="3">
        <v>2</v>
      </c>
      <c r="H535" t="s">
        <v>3</v>
      </c>
      <c r="I535" t="s">
        <v>121</v>
      </c>
      <c r="J535" t="s">
        <v>287</v>
      </c>
      <c r="K535" t="s">
        <v>288</v>
      </c>
      <c r="L535" t="s">
        <v>3</v>
      </c>
      <c r="M535" t="s">
        <v>8</v>
      </c>
    </row>
    <row r="536" spans="1:13" x14ac:dyDescent="0.25">
      <c r="A536" t="s">
        <v>276</v>
      </c>
      <c r="B536" t="s">
        <v>127</v>
      </c>
      <c r="C536" t="s">
        <v>3</v>
      </c>
      <c r="D536" s="2">
        <v>1449000</v>
      </c>
      <c r="E536" s="2">
        <v>737421.59</v>
      </c>
      <c r="F536" s="2">
        <v>711578.41</v>
      </c>
      <c r="G536" s="3">
        <v>2</v>
      </c>
      <c r="H536" t="s">
        <v>3</v>
      </c>
      <c r="I536" t="s">
        <v>128</v>
      </c>
      <c r="J536" t="s">
        <v>287</v>
      </c>
      <c r="K536" t="s">
        <v>288</v>
      </c>
      <c r="L536" t="s">
        <v>3</v>
      </c>
      <c r="M536" t="s">
        <v>8</v>
      </c>
    </row>
    <row r="537" spans="1:13" x14ac:dyDescent="0.25">
      <c r="A537" t="s">
        <v>276</v>
      </c>
      <c r="B537" t="s">
        <v>135</v>
      </c>
      <c r="C537" t="s">
        <v>3</v>
      </c>
      <c r="D537" s="2">
        <v>1712000</v>
      </c>
      <c r="E537" s="2">
        <v>824032.69</v>
      </c>
      <c r="F537" s="2">
        <v>887967.31</v>
      </c>
      <c r="G537" s="3">
        <v>2</v>
      </c>
      <c r="H537" t="s">
        <v>3</v>
      </c>
      <c r="I537" t="s">
        <v>137</v>
      </c>
      <c r="J537" t="s">
        <v>287</v>
      </c>
      <c r="K537" t="s">
        <v>288</v>
      </c>
      <c r="L537" t="s">
        <v>3</v>
      </c>
      <c r="M537" t="s">
        <v>8</v>
      </c>
    </row>
    <row r="538" spans="1:13" x14ac:dyDescent="0.25">
      <c r="A538" t="s">
        <v>276</v>
      </c>
      <c r="B538" t="s">
        <v>143</v>
      </c>
      <c r="C538" t="s">
        <v>3</v>
      </c>
      <c r="D538" s="2">
        <v>2975000</v>
      </c>
      <c r="E538" s="2">
        <v>1522494.73</v>
      </c>
      <c r="F538" s="2">
        <v>1452505.27</v>
      </c>
      <c r="G538" s="3">
        <v>2</v>
      </c>
      <c r="H538" t="s">
        <v>3</v>
      </c>
      <c r="I538" t="s">
        <v>145</v>
      </c>
      <c r="J538" t="s">
        <v>287</v>
      </c>
      <c r="K538" t="s">
        <v>288</v>
      </c>
      <c r="L538" t="s">
        <v>3</v>
      </c>
      <c r="M538" t="s">
        <v>8</v>
      </c>
    </row>
    <row r="539" spans="1:13" x14ac:dyDescent="0.25">
      <c r="A539" t="s">
        <v>276</v>
      </c>
      <c r="B539" t="s">
        <v>151</v>
      </c>
      <c r="C539" t="s">
        <v>3</v>
      </c>
      <c r="D539" s="2">
        <v>2866000</v>
      </c>
      <c r="E539" s="2">
        <v>1482892.37</v>
      </c>
      <c r="F539" s="2">
        <v>1383107.63</v>
      </c>
      <c r="G539" s="3">
        <v>2</v>
      </c>
      <c r="H539" t="s">
        <v>3</v>
      </c>
      <c r="I539" t="s">
        <v>153</v>
      </c>
      <c r="J539" t="s">
        <v>287</v>
      </c>
      <c r="K539" t="s">
        <v>288</v>
      </c>
      <c r="L539" t="s">
        <v>3</v>
      </c>
      <c r="M539" t="s">
        <v>8</v>
      </c>
    </row>
    <row r="540" spans="1:13" x14ac:dyDescent="0.25">
      <c r="A540" t="s">
        <v>276</v>
      </c>
      <c r="B540" t="s">
        <v>159</v>
      </c>
      <c r="C540" t="s">
        <v>3</v>
      </c>
      <c r="D540" s="2">
        <v>1372000</v>
      </c>
      <c r="E540" s="2">
        <v>682804.52</v>
      </c>
      <c r="F540" s="2">
        <v>689195.48</v>
      </c>
      <c r="G540" s="3">
        <v>2</v>
      </c>
      <c r="H540" t="s">
        <v>3</v>
      </c>
      <c r="I540" t="s">
        <v>161</v>
      </c>
      <c r="J540" t="s">
        <v>287</v>
      </c>
      <c r="K540" t="s">
        <v>288</v>
      </c>
      <c r="L540" t="s">
        <v>3</v>
      </c>
      <c r="M540" t="s">
        <v>8</v>
      </c>
    </row>
    <row r="541" spans="1:13" x14ac:dyDescent="0.25">
      <c r="A541" t="s">
        <v>276</v>
      </c>
      <c r="B541" t="s">
        <v>170</v>
      </c>
      <c r="C541" t="s">
        <v>3</v>
      </c>
      <c r="D541" s="2">
        <v>1482000</v>
      </c>
      <c r="E541" s="2">
        <v>734816.6</v>
      </c>
      <c r="F541" s="2">
        <v>747183.4</v>
      </c>
      <c r="G541" s="3">
        <v>2</v>
      </c>
      <c r="H541" t="s">
        <v>3</v>
      </c>
      <c r="I541" t="s">
        <v>172</v>
      </c>
      <c r="J541" t="s">
        <v>287</v>
      </c>
      <c r="K541" t="s">
        <v>288</v>
      </c>
      <c r="L541" t="s">
        <v>3</v>
      </c>
      <c r="M541" t="s">
        <v>8</v>
      </c>
    </row>
    <row r="542" spans="1:13" x14ac:dyDescent="0.25">
      <c r="A542" t="s">
        <v>276</v>
      </c>
      <c r="B542" t="s">
        <v>179</v>
      </c>
      <c r="C542" t="s">
        <v>3</v>
      </c>
      <c r="D542" s="2">
        <v>2390000</v>
      </c>
      <c r="E542" s="2">
        <v>1157294.31</v>
      </c>
      <c r="F542" s="2">
        <v>1232705.69</v>
      </c>
      <c r="G542" s="3">
        <v>2</v>
      </c>
      <c r="H542" t="s">
        <v>3</v>
      </c>
      <c r="I542" t="s">
        <v>181</v>
      </c>
      <c r="J542" t="s">
        <v>287</v>
      </c>
      <c r="K542" t="s">
        <v>288</v>
      </c>
      <c r="L542" t="s">
        <v>3</v>
      </c>
      <c r="M542" t="s">
        <v>8</v>
      </c>
    </row>
    <row r="543" spans="1:13" x14ac:dyDescent="0.25">
      <c r="A543" t="s">
        <v>276</v>
      </c>
      <c r="B543" t="s">
        <v>189</v>
      </c>
      <c r="C543" t="s">
        <v>3</v>
      </c>
      <c r="D543" s="2">
        <v>1766000</v>
      </c>
      <c r="E543" s="2">
        <v>887574.45</v>
      </c>
      <c r="F543" s="2">
        <v>878425.55</v>
      </c>
      <c r="G543" s="3">
        <v>2</v>
      </c>
      <c r="H543" t="s">
        <v>3</v>
      </c>
      <c r="I543" t="s">
        <v>191</v>
      </c>
      <c r="J543" t="s">
        <v>287</v>
      </c>
      <c r="K543" t="s">
        <v>288</v>
      </c>
      <c r="L543" t="s">
        <v>3</v>
      </c>
      <c r="M543" t="s">
        <v>8</v>
      </c>
    </row>
    <row r="544" spans="1:13" x14ac:dyDescent="0.25">
      <c r="A544" t="s">
        <v>276</v>
      </c>
      <c r="B544" t="s">
        <v>198</v>
      </c>
      <c r="C544" t="s">
        <v>3</v>
      </c>
      <c r="D544" s="2">
        <v>1596000</v>
      </c>
      <c r="E544" s="2">
        <v>788284.1</v>
      </c>
      <c r="F544" s="2">
        <v>807715.9</v>
      </c>
      <c r="G544" s="3">
        <v>2</v>
      </c>
      <c r="H544" t="s">
        <v>3</v>
      </c>
      <c r="I544" t="s">
        <v>200</v>
      </c>
      <c r="J544" t="s">
        <v>287</v>
      </c>
      <c r="K544" t="s">
        <v>288</v>
      </c>
      <c r="L544" t="s">
        <v>3</v>
      </c>
      <c r="M544" t="s">
        <v>8</v>
      </c>
    </row>
    <row r="545" spans="1:13" x14ac:dyDescent="0.25">
      <c r="A545" t="s">
        <v>276</v>
      </c>
      <c r="B545" t="s">
        <v>206</v>
      </c>
      <c r="C545" t="s">
        <v>3</v>
      </c>
      <c r="D545" s="2">
        <v>1336000</v>
      </c>
      <c r="E545" s="2">
        <v>680271.15</v>
      </c>
      <c r="F545" s="2">
        <v>655728.85</v>
      </c>
      <c r="G545" s="3">
        <v>2</v>
      </c>
      <c r="H545" t="s">
        <v>3</v>
      </c>
      <c r="I545" t="s">
        <v>208</v>
      </c>
      <c r="J545" t="s">
        <v>287</v>
      </c>
      <c r="K545" t="s">
        <v>288</v>
      </c>
      <c r="L545" t="s">
        <v>3</v>
      </c>
      <c r="M545" t="s">
        <v>8</v>
      </c>
    </row>
    <row r="546" spans="1:13" x14ac:dyDescent="0.25">
      <c r="A546" t="s">
        <v>276</v>
      </c>
      <c r="B546" t="s">
        <v>214</v>
      </c>
      <c r="C546" t="s">
        <v>3</v>
      </c>
      <c r="D546" s="2">
        <v>1483000</v>
      </c>
      <c r="E546" s="2">
        <v>748881.42</v>
      </c>
      <c r="F546" s="2">
        <v>734118.58</v>
      </c>
      <c r="G546" s="3">
        <v>2</v>
      </c>
      <c r="H546" t="s">
        <v>3</v>
      </c>
      <c r="I546" t="s">
        <v>216</v>
      </c>
      <c r="J546" t="s">
        <v>287</v>
      </c>
      <c r="K546" t="s">
        <v>288</v>
      </c>
      <c r="L546" t="s">
        <v>3</v>
      </c>
      <c r="M546" t="s">
        <v>8</v>
      </c>
    </row>
    <row r="547" spans="1:13" x14ac:dyDescent="0.25">
      <c r="A547" t="s">
        <v>276</v>
      </c>
      <c r="B547" t="s">
        <v>226</v>
      </c>
      <c r="C547" t="s">
        <v>3</v>
      </c>
      <c r="D547" s="2">
        <v>921000</v>
      </c>
      <c r="E547" s="2">
        <v>421601.63</v>
      </c>
      <c r="F547" s="2">
        <v>499398.37</v>
      </c>
      <c r="G547" s="3">
        <v>2</v>
      </c>
      <c r="H547" t="s">
        <v>3</v>
      </c>
      <c r="I547" t="s">
        <v>228</v>
      </c>
      <c r="J547" t="s">
        <v>287</v>
      </c>
      <c r="K547" t="s">
        <v>288</v>
      </c>
      <c r="L547" t="s">
        <v>3</v>
      </c>
      <c r="M547" t="s">
        <v>8</v>
      </c>
    </row>
    <row r="548" spans="1:13" x14ac:dyDescent="0.25">
      <c r="A548" t="s">
        <v>276</v>
      </c>
      <c r="B548" t="s">
        <v>234</v>
      </c>
      <c r="C548" t="s">
        <v>3</v>
      </c>
      <c r="D548" s="2">
        <v>764000</v>
      </c>
      <c r="E548" s="2">
        <v>396500.02</v>
      </c>
      <c r="F548" s="2">
        <v>367499.98</v>
      </c>
      <c r="G548" s="3">
        <v>2</v>
      </c>
      <c r="H548" t="s">
        <v>3</v>
      </c>
      <c r="I548" t="s">
        <v>236</v>
      </c>
      <c r="J548" t="s">
        <v>287</v>
      </c>
      <c r="K548" t="s">
        <v>288</v>
      </c>
      <c r="L548" t="s">
        <v>3</v>
      </c>
      <c r="M548" t="s">
        <v>8</v>
      </c>
    </row>
    <row r="549" spans="1:13" x14ac:dyDescent="0.25">
      <c r="A549" t="s">
        <v>276</v>
      </c>
      <c r="B549" t="s">
        <v>241</v>
      </c>
      <c r="C549" t="s">
        <v>3</v>
      </c>
      <c r="D549" s="2">
        <v>635000</v>
      </c>
      <c r="E549" s="2">
        <v>315217.06</v>
      </c>
      <c r="F549" s="2">
        <v>319782.94</v>
      </c>
      <c r="G549" s="3">
        <v>2</v>
      </c>
      <c r="H549" t="s">
        <v>3</v>
      </c>
      <c r="I549" t="s">
        <v>243</v>
      </c>
      <c r="J549" t="s">
        <v>287</v>
      </c>
      <c r="K549" t="s">
        <v>288</v>
      </c>
      <c r="L549" t="s">
        <v>3</v>
      </c>
      <c r="M549" t="s">
        <v>8</v>
      </c>
    </row>
    <row r="550" spans="1:13" x14ac:dyDescent="0.25">
      <c r="A550" t="s">
        <v>276</v>
      </c>
      <c r="B550" t="s">
        <v>248</v>
      </c>
      <c r="C550" t="s">
        <v>3</v>
      </c>
      <c r="D550" s="2">
        <v>1299000</v>
      </c>
      <c r="E550" s="2">
        <v>644600.23</v>
      </c>
      <c r="F550" s="2">
        <v>654399.77</v>
      </c>
      <c r="G550" s="3">
        <v>2</v>
      </c>
      <c r="H550" t="s">
        <v>3</v>
      </c>
      <c r="I550" t="s">
        <v>250</v>
      </c>
      <c r="J550" t="s">
        <v>287</v>
      </c>
      <c r="K550" t="s">
        <v>288</v>
      </c>
      <c r="L550" t="s">
        <v>3</v>
      </c>
      <c r="M550" t="s">
        <v>8</v>
      </c>
    </row>
    <row r="551" spans="1:13" x14ac:dyDescent="0.25">
      <c r="A551" t="s">
        <v>276</v>
      </c>
      <c r="B551" t="s">
        <v>259</v>
      </c>
      <c r="C551" t="s">
        <v>3</v>
      </c>
      <c r="D551" s="2">
        <v>733000</v>
      </c>
      <c r="E551" s="2">
        <v>359566.52</v>
      </c>
      <c r="F551" s="2">
        <v>373433.48</v>
      </c>
      <c r="G551" s="3">
        <v>2</v>
      </c>
      <c r="H551" t="s">
        <v>3</v>
      </c>
      <c r="I551" t="s">
        <v>261</v>
      </c>
      <c r="J551" t="s">
        <v>287</v>
      </c>
      <c r="K551" t="s">
        <v>288</v>
      </c>
      <c r="L551" t="s">
        <v>3</v>
      </c>
      <c r="M551" t="s">
        <v>8</v>
      </c>
    </row>
    <row r="552" spans="1:13" x14ac:dyDescent="0.25">
      <c r="A552" t="s">
        <v>276</v>
      </c>
      <c r="B552" t="s">
        <v>268</v>
      </c>
      <c r="C552" t="s">
        <v>3</v>
      </c>
      <c r="D552" s="2">
        <v>675000</v>
      </c>
      <c r="E552" s="2">
        <v>337181.34</v>
      </c>
      <c r="F552" s="2">
        <v>337818.66</v>
      </c>
      <c r="G552" s="3">
        <v>2</v>
      </c>
      <c r="H552" t="s">
        <v>3</v>
      </c>
      <c r="I552" t="s">
        <v>270</v>
      </c>
      <c r="J552" t="s">
        <v>287</v>
      </c>
      <c r="K552" t="s">
        <v>288</v>
      </c>
      <c r="L552" t="s">
        <v>3</v>
      </c>
      <c r="M552" t="s">
        <v>8</v>
      </c>
    </row>
    <row r="553" spans="1:13" x14ac:dyDescent="0.25">
      <c r="A553" t="s">
        <v>276</v>
      </c>
      <c r="B553" t="s">
        <v>295</v>
      </c>
      <c r="C553" t="s">
        <v>3</v>
      </c>
      <c r="D553" s="2">
        <v>2303000</v>
      </c>
      <c r="E553" s="2">
        <v>1500873.24</v>
      </c>
      <c r="F553" s="2">
        <v>802126.76</v>
      </c>
      <c r="G553" s="3">
        <v>2</v>
      </c>
      <c r="H553" t="s">
        <v>3</v>
      </c>
      <c r="I553" t="s">
        <v>296</v>
      </c>
      <c r="J553" t="s">
        <v>323</v>
      </c>
      <c r="K553" t="s">
        <v>324</v>
      </c>
      <c r="L553" t="s">
        <v>3</v>
      </c>
      <c r="M553" t="s">
        <v>8</v>
      </c>
    </row>
    <row r="554" spans="1:13" x14ac:dyDescent="0.25">
      <c r="A554" t="s">
        <v>276</v>
      </c>
      <c r="B554" t="s">
        <v>110</v>
      </c>
      <c r="C554" t="s">
        <v>3</v>
      </c>
      <c r="D554" s="2">
        <v>37700</v>
      </c>
      <c r="E554" s="2">
        <v>23882.21</v>
      </c>
      <c r="F554" s="2">
        <v>13817.79</v>
      </c>
      <c r="G554" s="3">
        <v>2</v>
      </c>
      <c r="H554" t="s">
        <v>3</v>
      </c>
      <c r="I554" t="s">
        <v>112</v>
      </c>
      <c r="J554" t="s">
        <v>323</v>
      </c>
      <c r="K554" t="s">
        <v>324</v>
      </c>
      <c r="L554" t="s">
        <v>3</v>
      </c>
      <c r="M554" t="s">
        <v>8</v>
      </c>
    </row>
    <row r="555" spans="1:13" x14ac:dyDescent="0.25">
      <c r="A555" t="s">
        <v>276</v>
      </c>
      <c r="B555" t="s">
        <v>119</v>
      </c>
      <c r="C555" t="s">
        <v>3</v>
      </c>
      <c r="D555" s="2">
        <v>63300</v>
      </c>
      <c r="E555" s="2">
        <v>41180.25</v>
      </c>
      <c r="F555" s="2">
        <v>22119.75</v>
      </c>
      <c r="G555" s="3">
        <v>2</v>
      </c>
      <c r="H555" t="s">
        <v>3</v>
      </c>
      <c r="I555" t="s">
        <v>121</v>
      </c>
      <c r="J555" t="s">
        <v>323</v>
      </c>
      <c r="K555" t="s">
        <v>324</v>
      </c>
      <c r="L555" t="s">
        <v>3</v>
      </c>
      <c r="M555" t="s">
        <v>8</v>
      </c>
    </row>
    <row r="556" spans="1:13" x14ac:dyDescent="0.25">
      <c r="A556" t="s">
        <v>276</v>
      </c>
      <c r="B556" t="s">
        <v>127</v>
      </c>
      <c r="C556" t="s">
        <v>3</v>
      </c>
      <c r="D556" s="2">
        <v>64700</v>
      </c>
      <c r="E556" s="2">
        <v>30327.98</v>
      </c>
      <c r="F556" s="2">
        <v>34372.019999999997</v>
      </c>
      <c r="G556" s="3">
        <v>2</v>
      </c>
      <c r="H556" t="s">
        <v>3</v>
      </c>
      <c r="I556" t="s">
        <v>128</v>
      </c>
      <c r="J556" t="s">
        <v>323</v>
      </c>
      <c r="K556" t="s">
        <v>324</v>
      </c>
      <c r="L556" t="s">
        <v>3</v>
      </c>
      <c r="M556" t="s">
        <v>8</v>
      </c>
    </row>
    <row r="557" spans="1:13" x14ac:dyDescent="0.25">
      <c r="A557" t="s">
        <v>276</v>
      </c>
      <c r="B557" t="s">
        <v>135</v>
      </c>
      <c r="C557" t="s">
        <v>3</v>
      </c>
      <c r="D557" s="2">
        <v>63300</v>
      </c>
      <c r="E557" s="2">
        <v>4395</v>
      </c>
      <c r="F557" s="2">
        <v>58905</v>
      </c>
      <c r="G557" s="3">
        <v>2</v>
      </c>
      <c r="H557" t="s">
        <v>3</v>
      </c>
      <c r="I557" t="s">
        <v>137</v>
      </c>
      <c r="J557" t="s">
        <v>323</v>
      </c>
      <c r="K557" t="s">
        <v>324</v>
      </c>
      <c r="L557" t="s">
        <v>3</v>
      </c>
      <c r="M557" t="s">
        <v>8</v>
      </c>
    </row>
    <row r="558" spans="1:13" x14ac:dyDescent="0.25">
      <c r="A558" t="s">
        <v>276</v>
      </c>
      <c r="B558" t="s">
        <v>143</v>
      </c>
      <c r="C558" t="s">
        <v>3</v>
      </c>
      <c r="D558" s="2">
        <v>73200</v>
      </c>
      <c r="E558" s="2">
        <v>14980</v>
      </c>
      <c r="F558" s="2">
        <v>58220</v>
      </c>
      <c r="G558" s="3">
        <v>2</v>
      </c>
      <c r="H558" t="s">
        <v>3</v>
      </c>
      <c r="I558" t="s">
        <v>145</v>
      </c>
      <c r="J558" t="s">
        <v>323</v>
      </c>
      <c r="K558" t="s">
        <v>324</v>
      </c>
      <c r="L558" t="s">
        <v>3</v>
      </c>
      <c r="M558" t="s">
        <v>8</v>
      </c>
    </row>
    <row r="559" spans="1:13" x14ac:dyDescent="0.25">
      <c r="A559" t="s">
        <v>276</v>
      </c>
      <c r="B559" t="s">
        <v>151</v>
      </c>
      <c r="C559" t="s">
        <v>3</v>
      </c>
      <c r="D559" s="2">
        <v>73600</v>
      </c>
      <c r="E559" s="2">
        <v>54751.01</v>
      </c>
      <c r="F559" s="2">
        <v>18848.990000000002</v>
      </c>
      <c r="G559" s="3">
        <v>2</v>
      </c>
      <c r="H559" t="s">
        <v>3</v>
      </c>
      <c r="I559" t="s">
        <v>153</v>
      </c>
      <c r="J559" t="s">
        <v>323</v>
      </c>
      <c r="K559" t="s">
        <v>324</v>
      </c>
      <c r="L559" t="s">
        <v>3</v>
      </c>
      <c r="M559" t="s">
        <v>8</v>
      </c>
    </row>
    <row r="560" spans="1:13" x14ac:dyDescent="0.25">
      <c r="A560" t="s">
        <v>276</v>
      </c>
      <c r="B560" t="s">
        <v>159</v>
      </c>
      <c r="C560" t="s">
        <v>3</v>
      </c>
      <c r="D560" s="2">
        <v>47200</v>
      </c>
      <c r="E560" s="2">
        <v>6136.5</v>
      </c>
      <c r="F560" s="2">
        <v>41063.5</v>
      </c>
      <c r="G560" s="3">
        <v>2</v>
      </c>
      <c r="H560" t="s">
        <v>3</v>
      </c>
      <c r="I560" t="s">
        <v>161</v>
      </c>
      <c r="J560" t="s">
        <v>323</v>
      </c>
      <c r="K560" t="s">
        <v>324</v>
      </c>
      <c r="L560" t="s">
        <v>3</v>
      </c>
      <c r="M560" t="s">
        <v>8</v>
      </c>
    </row>
    <row r="561" spans="1:13" x14ac:dyDescent="0.25">
      <c r="A561" t="s">
        <v>276</v>
      </c>
      <c r="B561" t="s">
        <v>170</v>
      </c>
      <c r="C561" t="s">
        <v>3</v>
      </c>
      <c r="D561" s="2">
        <v>47600</v>
      </c>
      <c r="E561" s="2">
        <v>16636.599999999999</v>
      </c>
      <c r="F561" s="2">
        <v>30963.4</v>
      </c>
      <c r="G561" s="3">
        <v>2</v>
      </c>
      <c r="H561" t="s">
        <v>3</v>
      </c>
      <c r="I561" t="s">
        <v>172</v>
      </c>
      <c r="J561" t="s">
        <v>323</v>
      </c>
      <c r="K561" t="s">
        <v>324</v>
      </c>
      <c r="L561" t="s">
        <v>3</v>
      </c>
      <c r="M561" t="s">
        <v>8</v>
      </c>
    </row>
    <row r="562" spans="1:13" x14ac:dyDescent="0.25">
      <c r="A562" t="s">
        <v>276</v>
      </c>
      <c r="B562" t="s">
        <v>179</v>
      </c>
      <c r="C562" t="s">
        <v>3</v>
      </c>
      <c r="D562" s="2">
        <v>83800</v>
      </c>
      <c r="E562" s="2">
        <v>11224</v>
      </c>
      <c r="F562" s="2">
        <v>72576</v>
      </c>
      <c r="G562" s="3">
        <v>2</v>
      </c>
      <c r="H562" t="s">
        <v>3</v>
      </c>
      <c r="I562" t="s">
        <v>181</v>
      </c>
      <c r="J562" t="s">
        <v>323</v>
      </c>
      <c r="K562" t="s">
        <v>324</v>
      </c>
      <c r="L562" t="s">
        <v>3</v>
      </c>
      <c r="M562" t="s">
        <v>8</v>
      </c>
    </row>
    <row r="563" spans="1:13" x14ac:dyDescent="0.25">
      <c r="A563" t="s">
        <v>276</v>
      </c>
      <c r="B563" t="s">
        <v>189</v>
      </c>
      <c r="C563" t="s">
        <v>3</v>
      </c>
      <c r="D563" s="2">
        <v>61000</v>
      </c>
      <c r="E563" s="2">
        <v>16219</v>
      </c>
      <c r="F563" s="2">
        <v>44781</v>
      </c>
      <c r="G563" s="3">
        <v>2</v>
      </c>
      <c r="H563" t="s">
        <v>3</v>
      </c>
      <c r="I563" t="s">
        <v>191</v>
      </c>
      <c r="J563" t="s">
        <v>323</v>
      </c>
      <c r="K563" t="s">
        <v>324</v>
      </c>
      <c r="L563" t="s">
        <v>3</v>
      </c>
      <c r="M563" t="s">
        <v>8</v>
      </c>
    </row>
    <row r="564" spans="1:13" x14ac:dyDescent="0.25">
      <c r="A564" t="s">
        <v>276</v>
      </c>
      <c r="B564" t="s">
        <v>198</v>
      </c>
      <c r="C564" t="s">
        <v>3</v>
      </c>
      <c r="D564" s="2">
        <v>61500</v>
      </c>
      <c r="E564" s="2">
        <v>13426.25</v>
      </c>
      <c r="F564" s="2">
        <v>48073.75</v>
      </c>
      <c r="G564" s="3">
        <v>2</v>
      </c>
      <c r="H564" t="s">
        <v>3</v>
      </c>
      <c r="I564" t="s">
        <v>200</v>
      </c>
      <c r="J564" t="s">
        <v>323</v>
      </c>
      <c r="K564" t="s">
        <v>324</v>
      </c>
      <c r="L564" t="s">
        <v>3</v>
      </c>
      <c r="M564" t="s">
        <v>8</v>
      </c>
    </row>
    <row r="565" spans="1:13" x14ac:dyDescent="0.25">
      <c r="A565" t="s">
        <v>276</v>
      </c>
      <c r="B565" t="s">
        <v>206</v>
      </c>
      <c r="C565" t="s">
        <v>3</v>
      </c>
      <c r="D565" s="2">
        <v>61000</v>
      </c>
      <c r="E565" s="2">
        <v>11216.87</v>
      </c>
      <c r="F565" s="2">
        <v>49783.13</v>
      </c>
      <c r="G565" s="3">
        <v>2</v>
      </c>
      <c r="H565" t="s">
        <v>3</v>
      </c>
      <c r="I565" t="s">
        <v>208</v>
      </c>
      <c r="J565" t="s">
        <v>323</v>
      </c>
      <c r="K565" t="s">
        <v>324</v>
      </c>
      <c r="L565" t="s">
        <v>3</v>
      </c>
      <c r="M565" t="s">
        <v>8</v>
      </c>
    </row>
    <row r="566" spans="1:13" x14ac:dyDescent="0.25">
      <c r="A566" t="s">
        <v>276</v>
      </c>
      <c r="B566" t="s">
        <v>214</v>
      </c>
      <c r="C566" t="s">
        <v>3</v>
      </c>
      <c r="D566" s="2">
        <v>98200</v>
      </c>
      <c r="E566" s="2">
        <v>47618.28</v>
      </c>
      <c r="F566" s="2">
        <v>50581.72</v>
      </c>
      <c r="G566" s="3">
        <v>2</v>
      </c>
      <c r="H566" t="s">
        <v>3</v>
      </c>
      <c r="I566" t="s">
        <v>216</v>
      </c>
      <c r="J566" t="s">
        <v>323</v>
      </c>
      <c r="K566" t="s">
        <v>324</v>
      </c>
      <c r="L566" t="s">
        <v>3</v>
      </c>
      <c r="M566" t="s">
        <v>8</v>
      </c>
    </row>
    <row r="567" spans="1:13" x14ac:dyDescent="0.25">
      <c r="A567" t="s">
        <v>276</v>
      </c>
      <c r="B567" t="s">
        <v>226</v>
      </c>
      <c r="C567" t="s">
        <v>3</v>
      </c>
      <c r="D567" s="2">
        <v>49700</v>
      </c>
      <c r="E567" s="2">
        <v>22905.4</v>
      </c>
      <c r="F567" s="2">
        <v>26794.6</v>
      </c>
      <c r="G567" s="3">
        <v>2</v>
      </c>
      <c r="H567" t="s">
        <v>3</v>
      </c>
      <c r="I567" t="s">
        <v>228</v>
      </c>
      <c r="J567" t="s">
        <v>323</v>
      </c>
      <c r="K567" t="s">
        <v>324</v>
      </c>
      <c r="L567" t="s">
        <v>3</v>
      </c>
      <c r="M567" t="s">
        <v>8</v>
      </c>
    </row>
    <row r="568" spans="1:13" x14ac:dyDescent="0.25">
      <c r="A568" t="s">
        <v>276</v>
      </c>
      <c r="B568" t="s">
        <v>234</v>
      </c>
      <c r="C568" t="s">
        <v>3</v>
      </c>
      <c r="D568" s="2">
        <v>46300</v>
      </c>
      <c r="E568" s="2">
        <v>27648.93</v>
      </c>
      <c r="F568" s="2">
        <v>18651.07</v>
      </c>
      <c r="G568" s="3">
        <v>2</v>
      </c>
      <c r="H568" t="s">
        <v>3</v>
      </c>
      <c r="I568" t="s">
        <v>236</v>
      </c>
      <c r="J568" t="s">
        <v>323</v>
      </c>
      <c r="K568" t="s">
        <v>324</v>
      </c>
      <c r="L568" t="s">
        <v>3</v>
      </c>
      <c r="M568" t="s">
        <v>8</v>
      </c>
    </row>
    <row r="569" spans="1:13" x14ac:dyDescent="0.25">
      <c r="A569" t="s">
        <v>276</v>
      </c>
      <c r="B569" t="s">
        <v>241</v>
      </c>
      <c r="C569" t="s">
        <v>3</v>
      </c>
      <c r="D569" s="2">
        <v>46300</v>
      </c>
      <c r="E569" s="2">
        <v>26026.98</v>
      </c>
      <c r="F569" s="2">
        <v>20273.02</v>
      </c>
      <c r="G569" s="3">
        <v>2</v>
      </c>
      <c r="H569" t="s">
        <v>3</v>
      </c>
      <c r="I569" t="s">
        <v>243</v>
      </c>
      <c r="J569" t="s">
        <v>323</v>
      </c>
      <c r="K569" t="s">
        <v>324</v>
      </c>
      <c r="L569" t="s">
        <v>3</v>
      </c>
      <c r="M569" t="s">
        <v>8</v>
      </c>
    </row>
    <row r="570" spans="1:13" x14ac:dyDescent="0.25">
      <c r="A570" t="s">
        <v>276</v>
      </c>
      <c r="B570" t="s">
        <v>248</v>
      </c>
      <c r="C570" t="s">
        <v>3</v>
      </c>
      <c r="D570" s="2">
        <v>123000</v>
      </c>
      <c r="E570" s="2">
        <v>106265.34</v>
      </c>
      <c r="F570" s="2">
        <v>16734.66</v>
      </c>
      <c r="G570" s="3">
        <v>2</v>
      </c>
      <c r="H570" t="s">
        <v>3</v>
      </c>
      <c r="I570" t="s">
        <v>250</v>
      </c>
      <c r="J570" t="s">
        <v>323</v>
      </c>
      <c r="K570" t="s">
        <v>324</v>
      </c>
      <c r="L570" t="s">
        <v>3</v>
      </c>
      <c r="M570" t="s">
        <v>8</v>
      </c>
    </row>
    <row r="571" spans="1:13" x14ac:dyDescent="0.25">
      <c r="A571" t="s">
        <v>276</v>
      </c>
      <c r="B571" t="s">
        <v>259</v>
      </c>
      <c r="C571" t="s">
        <v>3</v>
      </c>
      <c r="D571" s="2">
        <v>63800</v>
      </c>
      <c r="E571" s="2">
        <v>38633.47</v>
      </c>
      <c r="F571" s="2">
        <v>25166.53</v>
      </c>
      <c r="G571" s="3">
        <v>2</v>
      </c>
      <c r="H571" t="s">
        <v>3</v>
      </c>
      <c r="I571" t="s">
        <v>261</v>
      </c>
      <c r="J571" t="s">
        <v>323</v>
      </c>
      <c r="K571" t="s">
        <v>324</v>
      </c>
      <c r="L571" t="s">
        <v>3</v>
      </c>
      <c r="M571" t="s">
        <v>8</v>
      </c>
    </row>
    <row r="572" spans="1:13" x14ac:dyDescent="0.25">
      <c r="A572" t="s">
        <v>276</v>
      </c>
      <c r="B572" t="s">
        <v>268</v>
      </c>
      <c r="C572" t="s">
        <v>3</v>
      </c>
      <c r="D572" s="2">
        <v>31800</v>
      </c>
      <c r="E572" s="2">
        <v>24427.040000000001</v>
      </c>
      <c r="F572" s="2">
        <v>7372.96</v>
      </c>
      <c r="G572" s="3">
        <v>2</v>
      </c>
      <c r="H572" t="s">
        <v>3</v>
      </c>
      <c r="I572" t="s">
        <v>270</v>
      </c>
      <c r="J572" t="s">
        <v>323</v>
      </c>
      <c r="K572" t="s">
        <v>324</v>
      </c>
      <c r="L572" t="s">
        <v>3</v>
      </c>
      <c r="M572" t="s">
        <v>8</v>
      </c>
    </row>
    <row r="573" spans="1:13" x14ac:dyDescent="0.25">
      <c r="A573" t="s">
        <v>276</v>
      </c>
      <c r="B573" t="s">
        <v>295</v>
      </c>
      <c r="C573" t="s">
        <v>3</v>
      </c>
      <c r="D573" s="2">
        <v>24560000</v>
      </c>
      <c r="E573" s="2">
        <v>2038843.63</v>
      </c>
      <c r="F573" s="2">
        <v>22521156.370000001</v>
      </c>
      <c r="G573" s="3">
        <v>2</v>
      </c>
      <c r="H573" t="s">
        <v>3</v>
      </c>
      <c r="I573" t="s">
        <v>296</v>
      </c>
      <c r="J573" t="s">
        <v>319</v>
      </c>
      <c r="K573" t="s">
        <v>320</v>
      </c>
      <c r="L573" t="s">
        <v>3</v>
      </c>
      <c r="M573" t="s">
        <v>8</v>
      </c>
    </row>
    <row r="574" spans="1:13" x14ac:dyDescent="0.25">
      <c r="A574" t="s">
        <v>276</v>
      </c>
      <c r="B574" t="s">
        <v>333</v>
      </c>
      <c r="C574" t="s">
        <v>3</v>
      </c>
      <c r="D574" s="2">
        <v>0</v>
      </c>
      <c r="E574" s="2">
        <v>0</v>
      </c>
      <c r="F574" s="2">
        <v>0</v>
      </c>
      <c r="G574" s="3">
        <v>1</v>
      </c>
      <c r="H574" t="s">
        <v>3</v>
      </c>
      <c r="I574" t="s">
        <v>334</v>
      </c>
      <c r="J574" t="s">
        <v>319</v>
      </c>
      <c r="K574" t="s">
        <v>320</v>
      </c>
      <c r="L574" t="s">
        <v>3</v>
      </c>
      <c r="M574" t="s">
        <v>8</v>
      </c>
    </row>
    <row r="575" spans="1:13" x14ac:dyDescent="0.25">
      <c r="A575" t="s">
        <v>276</v>
      </c>
      <c r="B575" t="s">
        <v>295</v>
      </c>
      <c r="C575" t="s">
        <v>3</v>
      </c>
      <c r="D575" s="2">
        <v>3000</v>
      </c>
      <c r="E575" s="2">
        <v>2273.81</v>
      </c>
      <c r="F575" s="2">
        <v>726.19</v>
      </c>
      <c r="G575" s="3">
        <v>2</v>
      </c>
      <c r="H575" t="s">
        <v>3</v>
      </c>
      <c r="I575" t="s">
        <v>296</v>
      </c>
      <c r="J575" t="s">
        <v>317</v>
      </c>
      <c r="K575" t="s">
        <v>318</v>
      </c>
      <c r="L575" t="s">
        <v>3</v>
      </c>
      <c r="M575" t="s">
        <v>8</v>
      </c>
    </row>
    <row r="576" spans="1:13" x14ac:dyDescent="0.25">
      <c r="A576" t="s">
        <v>276</v>
      </c>
      <c r="B576" t="s">
        <v>341</v>
      </c>
      <c r="C576" t="s">
        <v>3</v>
      </c>
      <c r="D576" s="2">
        <v>12000</v>
      </c>
      <c r="E576" s="2">
        <v>0</v>
      </c>
      <c r="F576" s="2">
        <v>12000</v>
      </c>
      <c r="G576" s="3">
        <v>1</v>
      </c>
      <c r="H576" t="s">
        <v>3</v>
      </c>
      <c r="I576" t="s">
        <v>342</v>
      </c>
      <c r="J576" t="s">
        <v>317</v>
      </c>
      <c r="K576" t="s">
        <v>318</v>
      </c>
      <c r="L576" t="s">
        <v>3</v>
      </c>
      <c r="M576" t="s">
        <v>8</v>
      </c>
    </row>
    <row r="577" spans="1:13" x14ac:dyDescent="0.25">
      <c r="A577" t="s">
        <v>276</v>
      </c>
      <c r="B577" t="s">
        <v>333</v>
      </c>
      <c r="C577" t="s">
        <v>3</v>
      </c>
      <c r="D577" s="2">
        <v>25000</v>
      </c>
      <c r="E577" s="2">
        <v>0</v>
      </c>
      <c r="F577" s="2">
        <v>25000</v>
      </c>
      <c r="G577" s="3">
        <v>1</v>
      </c>
      <c r="H577" t="s">
        <v>3</v>
      </c>
      <c r="I577" t="s">
        <v>334</v>
      </c>
      <c r="J577" t="s">
        <v>337</v>
      </c>
      <c r="K577" t="s">
        <v>338</v>
      </c>
      <c r="L577" t="s">
        <v>3</v>
      </c>
      <c r="M577" t="s">
        <v>8</v>
      </c>
    </row>
    <row r="578" spans="1:13" x14ac:dyDescent="0.25">
      <c r="A578" t="s">
        <v>276</v>
      </c>
      <c r="B578" t="s">
        <v>744</v>
      </c>
      <c r="C578" t="s">
        <v>3</v>
      </c>
      <c r="D578" s="2">
        <v>5650000</v>
      </c>
      <c r="E578" s="2">
        <v>0</v>
      </c>
      <c r="F578" s="2">
        <v>5650000</v>
      </c>
      <c r="G578" s="3">
        <v>1</v>
      </c>
      <c r="H578" t="s">
        <v>3</v>
      </c>
      <c r="I578" t="s">
        <v>746</v>
      </c>
      <c r="J578" t="s">
        <v>317</v>
      </c>
      <c r="K578" t="s">
        <v>318</v>
      </c>
      <c r="L578" t="s">
        <v>3</v>
      </c>
      <c r="M578" t="s">
        <v>8</v>
      </c>
    </row>
    <row r="579" spans="1:13" x14ac:dyDescent="0.25">
      <c r="A579" t="s">
        <v>276</v>
      </c>
      <c r="B579" t="s">
        <v>341</v>
      </c>
      <c r="C579" t="s">
        <v>3</v>
      </c>
      <c r="D579" s="2">
        <v>1000000</v>
      </c>
      <c r="E579" s="2">
        <v>0</v>
      </c>
      <c r="F579" s="2">
        <v>1000000</v>
      </c>
      <c r="G579" s="3">
        <v>1</v>
      </c>
      <c r="H579" t="s">
        <v>3</v>
      </c>
      <c r="I579" t="s">
        <v>342</v>
      </c>
      <c r="J579" t="s">
        <v>343</v>
      </c>
      <c r="K579" t="s">
        <v>344</v>
      </c>
      <c r="L579" t="s">
        <v>3</v>
      </c>
      <c r="M579" t="s">
        <v>8</v>
      </c>
    </row>
    <row r="580" spans="1:13" x14ac:dyDescent="0.25">
      <c r="A580" t="s">
        <v>276</v>
      </c>
      <c r="B580" t="s">
        <v>341</v>
      </c>
      <c r="C580" t="s">
        <v>3</v>
      </c>
      <c r="D580" s="2">
        <v>25000000</v>
      </c>
      <c r="E580" s="2">
        <v>0</v>
      </c>
      <c r="F580" s="2">
        <v>25000000</v>
      </c>
      <c r="G580" s="3">
        <v>1</v>
      </c>
      <c r="H580" t="s">
        <v>3</v>
      </c>
      <c r="I580" t="s">
        <v>342</v>
      </c>
      <c r="J580" t="s">
        <v>345</v>
      </c>
      <c r="K580" t="s">
        <v>346</v>
      </c>
      <c r="L580" t="s">
        <v>3</v>
      </c>
      <c r="M580" t="s">
        <v>8</v>
      </c>
    </row>
    <row r="581" spans="1:13" x14ac:dyDescent="0.25">
      <c r="A581" t="s">
        <v>276</v>
      </c>
      <c r="B581" t="s">
        <v>9</v>
      </c>
      <c r="C581" t="s">
        <v>3</v>
      </c>
      <c r="D581" s="2">
        <v>290000000</v>
      </c>
      <c r="E581" s="2">
        <v>0</v>
      </c>
      <c r="F581" s="2">
        <v>290000000</v>
      </c>
      <c r="G581" s="3">
        <v>1</v>
      </c>
      <c r="H581" t="s">
        <v>3</v>
      </c>
      <c r="I581" t="s">
        <v>11</v>
      </c>
      <c r="J581" t="s">
        <v>349</v>
      </c>
      <c r="K581" t="s">
        <v>350</v>
      </c>
      <c r="L581" t="s">
        <v>3</v>
      </c>
      <c r="M581" t="s">
        <v>8</v>
      </c>
    </row>
    <row r="582" spans="1:13" x14ac:dyDescent="0.25">
      <c r="A582" t="s">
        <v>276</v>
      </c>
      <c r="B582" t="s">
        <v>50</v>
      </c>
      <c r="C582" t="s">
        <v>3</v>
      </c>
      <c r="D582" s="2">
        <v>48625000</v>
      </c>
      <c r="E582" s="2">
        <v>0</v>
      </c>
      <c r="F582" s="2">
        <v>48625000</v>
      </c>
      <c r="G582" s="3">
        <v>1</v>
      </c>
      <c r="H582" t="s">
        <v>3</v>
      </c>
      <c r="I582" t="s">
        <v>52</v>
      </c>
      <c r="J582" t="s">
        <v>355</v>
      </c>
      <c r="K582" t="s">
        <v>356</v>
      </c>
      <c r="L582" t="s">
        <v>3</v>
      </c>
      <c r="M582" t="s">
        <v>8</v>
      </c>
    </row>
    <row r="583" spans="1:13" x14ac:dyDescent="0.25">
      <c r="A583" t="s">
        <v>276</v>
      </c>
      <c r="B583" t="s">
        <v>50</v>
      </c>
      <c r="C583" t="s">
        <v>3</v>
      </c>
      <c r="D583" s="2">
        <v>48400000</v>
      </c>
      <c r="E583" s="2">
        <v>0</v>
      </c>
      <c r="F583" s="2">
        <v>48400000</v>
      </c>
      <c r="G583" s="3">
        <v>1</v>
      </c>
      <c r="H583" t="s">
        <v>3</v>
      </c>
      <c r="I583" t="s">
        <v>52</v>
      </c>
      <c r="J583" t="s">
        <v>357</v>
      </c>
      <c r="K583" t="s">
        <v>358</v>
      </c>
      <c r="L583" t="s">
        <v>3</v>
      </c>
      <c r="M583" t="s">
        <v>8</v>
      </c>
    </row>
    <row r="584" spans="1:13" x14ac:dyDescent="0.25">
      <c r="A584" t="s">
        <v>276</v>
      </c>
      <c r="B584" t="s">
        <v>333</v>
      </c>
      <c r="C584" t="s">
        <v>3</v>
      </c>
      <c r="D584" s="2">
        <v>24782600</v>
      </c>
      <c r="E584" s="2">
        <v>0</v>
      </c>
      <c r="F584" s="2">
        <v>24782600</v>
      </c>
      <c r="G584" s="3">
        <v>1</v>
      </c>
      <c r="H584" t="s">
        <v>3</v>
      </c>
      <c r="I584" t="s">
        <v>334</v>
      </c>
      <c r="J584" t="s">
        <v>339</v>
      </c>
      <c r="K584" t="s">
        <v>340</v>
      </c>
      <c r="L584" t="s">
        <v>3</v>
      </c>
      <c r="M584" t="s">
        <v>8</v>
      </c>
    </row>
    <row r="585" spans="1:13" x14ac:dyDescent="0.25">
      <c r="A585" t="s">
        <v>276</v>
      </c>
      <c r="B585" t="s">
        <v>110</v>
      </c>
      <c r="C585" t="s">
        <v>3</v>
      </c>
      <c r="D585" s="2">
        <v>100</v>
      </c>
      <c r="E585" s="2">
        <v>0</v>
      </c>
      <c r="F585" s="2">
        <v>100</v>
      </c>
      <c r="G585" s="3">
        <v>1</v>
      </c>
      <c r="H585" t="s">
        <v>3</v>
      </c>
      <c r="I585" t="s">
        <v>112</v>
      </c>
      <c r="J585" t="s">
        <v>339</v>
      </c>
      <c r="K585" t="s">
        <v>340</v>
      </c>
      <c r="L585" t="s">
        <v>3</v>
      </c>
      <c r="M585" t="s">
        <v>8</v>
      </c>
    </row>
    <row r="586" spans="1:13" x14ac:dyDescent="0.25">
      <c r="A586" t="s">
        <v>276</v>
      </c>
      <c r="B586" t="s">
        <v>119</v>
      </c>
      <c r="C586" t="s">
        <v>3</v>
      </c>
      <c r="D586" s="2">
        <v>3200</v>
      </c>
      <c r="E586" s="2">
        <v>0</v>
      </c>
      <c r="F586" s="2">
        <v>3200</v>
      </c>
      <c r="G586" s="3">
        <v>1</v>
      </c>
      <c r="H586" t="s">
        <v>3</v>
      </c>
      <c r="I586" t="s">
        <v>121</v>
      </c>
      <c r="J586" t="s">
        <v>339</v>
      </c>
      <c r="K586" t="s">
        <v>340</v>
      </c>
      <c r="L586" t="s">
        <v>3</v>
      </c>
      <c r="M586" t="s">
        <v>8</v>
      </c>
    </row>
    <row r="587" spans="1:13" x14ac:dyDescent="0.25">
      <c r="A587" t="s">
        <v>276</v>
      </c>
      <c r="B587" t="s">
        <v>127</v>
      </c>
      <c r="C587" t="s">
        <v>3</v>
      </c>
      <c r="D587" s="2">
        <v>600</v>
      </c>
      <c r="E587" s="2">
        <v>0</v>
      </c>
      <c r="F587" s="2">
        <v>600</v>
      </c>
      <c r="G587" s="3">
        <v>1</v>
      </c>
      <c r="H587" t="s">
        <v>3</v>
      </c>
      <c r="I587" t="s">
        <v>128</v>
      </c>
      <c r="J587" t="s">
        <v>339</v>
      </c>
      <c r="K587" t="s">
        <v>340</v>
      </c>
      <c r="L587" t="s">
        <v>3</v>
      </c>
      <c r="M587" t="s">
        <v>8</v>
      </c>
    </row>
    <row r="588" spans="1:13" x14ac:dyDescent="0.25">
      <c r="A588" t="s">
        <v>276</v>
      </c>
      <c r="B588" t="s">
        <v>143</v>
      </c>
      <c r="C588" t="s">
        <v>3</v>
      </c>
      <c r="D588" s="2">
        <v>1600</v>
      </c>
      <c r="E588" s="2">
        <v>0</v>
      </c>
      <c r="F588" s="2">
        <v>1600</v>
      </c>
      <c r="G588" s="3">
        <v>1</v>
      </c>
      <c r="H588" t="s">
        <v>3</v>
      </c>
      <c r="I588" t="s">
        <v>145</v>
      </c>
      <c r="J588" t="s">
        <v>339</v>
      </c>
      <c r="K588" t="s">
        <v>340</v>
      </c>
      <c r="L588" t="s">
        <v>3</v>
      </c>
      <c r="M588" t="s">
        <v>8</v>
      </c>
    </row>
    <row r="589" spans="1:13" x14ac:dyDescent="0.25">
      <c r="A589" t="s">
        <v>276</v>
      </c>
      <c r="B589" t="s">
        <v>151</v>
      </c>
      <c r="C589" t="s">
        <v>3</v>
      </c>
      <c r="D589" s="2">
        <v>1500</v>
      </c>
      <c r="E589" s="2">
        <v>0</v>
      </c>
      <c r="F589" s="2">
        <v>1500</v>
      </c>
      <c r="G589" s="3">
        <v>1</v>
      </c>
      <c r="H589" t="s">
        <v>3</v>
      </c>
      <c r="I589" t="s">
        <v>153</v>
      </c>
      <c r="J589" t="s">
        <v>339</v>
      </c>
      <c r="K589" t="s">
        <v>340</v>
      </c>
      <c r="L589" t="s">
        <v>3</v>
      </c>
      <c r="M589" t="s">
        <v>8</v>
      </c>
    </row>
    <row r="590" spans="1:13" x14ac:dyDescent="0.25">
      <c r="A590" t="s">
        <v>276</v>
      </c>
      <c r="B590" t="s">
        <v>159</v>
      </c>
      <c r="C590" t="s">
        <v>3</v>
      </c>
      <c r="D590" s="2">
        <v>200</v>
      </c>
      <c r="E590" s="2">
        <v>0</v>
      </c>
      <c r="F590" s="2">
        <v>200</v>
      </c>
      <c r="G590" s="3">
        <v>1</v>
      </c>
      <c r="H590" t="s">
        <v>3</v>
      </c>
      <c r="I590" t="s">
        <v>161</v>
      </c>
      <c r="J590" t="s">
        <v>339</v>
      </c>
      <c r="K590" t="s">
        <v>340</v>
      </c>
      <c r="L590" t="s">
        <v>3</v>
      </c>
      <c r="M590" t="s">
        <v>8</v>
      </c>
    </row>
    <row r="591" spans="1:13" x14ac:dyDescent="0.25">
      <c r="A591" t="s">
        <v>276</v>
      </c>
      <c r="B591" t="s">
        <v>170</v>
      </c>
      <c r="C591" t="s">
        <v>3</v>
      </c>
      <c r="D591" s="2">
        <v>600</v>
      </c>
      <c r="E591" s="2">
        <v>0</v>
      </c>
      <c r="F591" s="2">
        <v>600</v>
      </c>
      <c r="G591" s="3">
        <v>1</v>
      </c>
      <c r="H591" t="s">
        <v>3</v>
      </c>
      <c r="I591" t="s">
        <v>172</v>
      </c>
      <c r="J591" t="s">
        <v>339</v>
      </c>
      <c r="K591" t="s">
        <v>340</v>
      </c>
      <c r="L591" t="s">
        <v>3</v>
      </c>
      <c r="M591" t="s">
        <v>8</v>
      </c>
    </row>
    <row r="592" spans="1:13" x14ac:dyDescent="0.25">
      <c r="A592" t="s">
        <v>276</v>
      </c>
      <c r="B592" t="s">
        <v>179</v>
      </c>
      <c r="C592" t="s">
        <v>3</v>
      </c>
      <c r="D592" s="2">
        <v>2100</v>
      </c>
      <c r="E592" s="2">
        <v>0</v>
      </c>
      <c r="F592" s="2">
        <v>2100</v>
      </c>
      <c r="G592" s="3">
        <v>1</v>
      </c>
      <c r="H592" t="s">
        <v>3</v>
      </c>
      <c r="I592" t="s">
        <v>181</v>
      </c>
      <c r="J592" t="s">
        <v>339</v>
      </c>
      <c r="K592" t="s">
        <v>340</v>
      </c>
      <c r="L592" t="s">
        <v>3</v>
      </c>
      <c r="M592" t="s">
        <v>8</v>
      </c>
    </row>
    <row r="593" spans="1:13" x14ac:dyDescent="0.25">
      <c r="A593" t="s">
        <v>276</v>
      </c>
      <c r="B593" t="s">
        <v>189</v>
      </c>
      <c r="C593" t="s">
        <v>3</v>
      </c>
      <c r="D593" s="2">
        <v>800</v>
      </c>
      <c r="E593" s="2">
        <v>0</v>
      </c>
      <c r="F593" s="2">
        <v>800</v>
      </c>
      <c r="G593" s="3">
        <v>1</v>
      </c>
      <c r="H593" t="s">
        <v>3</v>
      </c>
      <c r="I593" t="s">
        <v>191</v>
      </c>
      <c r="J593" t="s">
        <v>339</v>
      </c>
      <c r="K593" t="s">
        <v>340</v>
      </c>
      <c r="L593" t="s">
        <v>3</v>
      </c>
      <c r="M593" t="s">
        <v>8</v>
      </c>
    </row>
    <row r="594" spans="1:13" x14ac:dyDescent="0.25">
      <c r="A594" t="s">
        <v>276</v>
      </c>
      <c r="B594" t="s">
        <v>206</v>
      </c>
      <c r="C594" t="s">
        <v>3</v>
      </c>
      <c r="D594" s="2">
        <v>900</v>
      </c>
      <c r="E594" s="2">
        <v>0</v>
      </c>
      <c r="F594" s="2">
        <v>900</v>
      </c>
      <c r="G594" s="3">
        <v>1</v>
      </c>
      <c r="H594" t="s">
        <v>3</v>
      </c>
      <c r="I594" t="s">
        <v>208</v>
      </c>
      <c r="J594" t="s">
        <v>339</v>
      </c>
      <c r="K594" t="s">
        <v>340</v>
      </c>
      <c r="L594" t="s">
        <v>3</v>
      </c>
      <c r="M594" t="s">
        <v>8</v>
      </c>
    </row>
    <row r="595" spans="1:13" x14ac:dyDescent="0.25">
      <c r="A595" t="s">
        <v>276</v>
      </c>
      <c r="B595" t="s">
        <v>214</v>
      </c>
      <c r="C595" t="s">
        <v>3</v>
      </c>
      <c r="D595" s="2">
        <v>1600</v>
      </c>
      <c r="E595" s="2">
        <v>0</v>
      </c>
      <c r="F595" s="2">
        <v>1600</v>
      </c>
      <c r="G595" s="3">
        <v>1</v>
      </c>
      <c r="H595" t="s">
        <v>3</v>
      </c>
      <c r="I595" t="s">
        <v>216</v>
      </c>
      <c r="J595" t="s">
        <v>339</v>
      </c>
      <c r="K595" t="s">
        <v>340</v>
      </c>
      <c r="L595" t="s">
        <v>3</v>
      </c>
      <c r="M595" t="s">
        <v>8</v>
      </c>
    </row>
    <row r="596" spans="1:13" x14ac:dyDescent="0.25">
      <c r="A596" t="s">
        <v>276</v>
      </c>
      <c r="B596" t="s">
        <v>234</v>
      </c>
      <c r="C596" t="s">
        <v>3</v>
      </c>
      <c r="D596" s="2">
        <v>100</v>
      </c>
      <c r="E596" s="2">
        <v>0</v>
      </c>
      <c r="F596" s="2">
        <v>100</v>
      </c>
      <c r="G596" s="3">
        <v>1</v>
      </c>
      <c r="H596" t="s">
        <v>3</v>
      </c>
      <c r="I596" t="s">
        <v>236</v>
      </c>
      <c r="J596" t="s">
        <v>339</v>
      </c>
      <c r="K596" t="s">
        <v>340</v>
      </c>
      <c r="L596" t="s">
        <v>3</v>
      </c>
      <c r="M596" t="s">
        <v>8</v>
      </c>
    </row>
    <row r="597" spans="1:13" x14ac:dyDescent="0.25">
      <c r="A597" t="s">
        <v>276</v>
      </c>
      <c r="B597" t="s">
        <v>241</v>
      </c>
      <c r="C597" t="s">
        <v>3</v>
      </c>
      <c r="D597" s="2">
        <v>100</v>
      </c>
      <c r="E597" s="2">
        <v>0</v>
      </c>
      <c r="F597" s="2">
        <v>100</v>
      </c>
      <c r="G597" s="3">
        <v>1</v>
      </c>
      <c r="H597" t="s">
        <v>3</v>
      </c>
      <c r="I597" t="s">
        <v>243</v>
      </c>
      <c r="J597" t="s">
        <v>339</v>
      </c>
      <c r="K597" t="s">
        <v>340</v>
      </c>
      <c r="L597" t="s">
        <v>3</v>
      </c>
      <c r="M597" t="s">
        <v>8</v>
      </c>
    </row>
    <row r="598" spans="1:13" x14ac:dyDescent="0.25">
      <c r="A598" t="s">
        <v>276</v>
      </c>
      <c r="B598" t="s">
        <v>248</v>
      </c>
      <c r="C598" t="s">
        <v>3</v>
      </c>
      <c r="D598" s="2">
        <v>2400</v>
      </c>
      <c r="E598" s="2">
        <v>0</v>
      </c>
      <c r="F598" s="2">
        <v>2400</v>
      </c>
      <c r="G598" s="3">
        <v>1</v>
      </c>
      <c r="H598" t="s">
        <v>3</v>
      </c>
      <c r="I598" t="s">
        <v>250</v>
      </c>
      <c r="J598" t="s">
        <v>339</v>
      </c>
      <c r="K598" t="s">
        <v>340</v>
      </c>
      <c r="L598" t="s">
        <v>3</v>
      </c>
      <c r="M598" t="s">
        <v>8</v>
      </c>
    </row>
    <row r="599" spans="1:13" x14ac:dyDescent="0.25">
      <c r="A599" t="s">
        <v>276</v>
      </c>
      <c r="B599" t="s">
        <v>259</v>
      </c>
      <c r="C599" t="s">
        <v>3</v>
      </c>
      <c r="D599" s="2">
        <v>400</v>
      </c>
      <c r="E599" s="2">
        <v>0</v>
      </c>
      <c r="F599" s="2">
        <v>400</v>
      </c>
      <c r="G599" s="3">
        <v>1</v>
      </c>
      <c r="H599" t="s">
        <v>3</v>
      </c>
      <c r="I599" t="s">
        <v>261</v>
      </c>
      <c r="J599" t="s">
        <v>339</v>
      </c>
      <c r="K599" t="s">
        <v>340</v>
      </c>
      <c r="L599" t="s">
        <v>3</v>
      </c>
      <c r="M599" t="s">
        <v>8</v>
      </c>
    </row>
    <row r="600" spans="1:13" x14ac:dyDescent="0.25">
      <c r="A600" t="s">
        <v>276</v>
      </c>
      <c r="B600" t="s">
        <v>268</v>
      </c>
      <c r="C600" t="s">
        <v>3</v>
      </c>
      <c r="D600" s="2">
        <v>100</v>
      </c>
      <c r="E600" s="2">
        <v>0</v>
      </c>
      <c r="F600" s="2">
        <v>100</v>
      </c>
      <c r="G600" s="3">
        <v>1</v>
      </c>
      <c r="H600" t="s">
        <v>3</v>
      </c>
      <c r="I600" t="s">
        <v>270</v>
      </c>
      <c r="J600" t="s">
        <v>339</v>
      </c>
      <c r="K600" t="s">
        <v>340</v>
      </c>
      <c r="L600" t="s">
        <v>3</v>
      </c>
      <c r="M600" t="s">
        <v>8</v>
      </c>
    </row>
    <row r="601" spans="1:13" x14ac:dyDescent="0.25">
      <c r="A601" t="s">
        <v>276</v>
      </c>
      <c r="B601" t="s">
        <v>1</v>
      </c>
      <c r="C601" t="s">
        <v>3</v>
      </c>
      <c r="D601" s="2">
        <v>5000</v>
      </c>
      <c r="E601" s="2">
        <v>0</v>
      </c>
      <c r="F601" s="2">
        <v>5000</v>
      </c>
      <c r="G601" s="3">
        <v>1</v>
      </c>
      <c r="H601" t="s">
        <v>3</v>
      </c>
      <c r="I601" t="s">
        <v>4</v>
      </c>
      <c r="J601" t="s">
        <v>291</v>
      </c>
      <c r="K601" t="s">
        <v>292</v>
      </c>
      <c r="L601" t="s">
        <v>3</v>
      </c>
      <c r="M601" t="s">
        <v>8</v>
      </c>
    </row>
    <row r="602" spans="1:13" x14ac:dyDescent="0.25">
      <c r="A602" t="s">
        <v>276</v>
      </c>
      <c r="B602" t="s">
        <v>41</v>
      </c>
      <c r="C602" t="s">
        <v>3</v>
      </c>
      <c r="D602" s="2">
        <v>40000</v>
      </c>
      <c r="E602" s="2">
        <v>0</v>
      </c>
      <c r="F602" s="2">
        <v>40000</v>
      </c>
      <c r="G602" s="3">
        <v>1</v>
      </c>
      <c r="H602" t="s">
        <v>3</v>
      </c>
      <c r="I602" t="s">
        <v>43</v>
      </c>
      <c r="J602" t="s">
        <v>291</v>
      </c>
      <c r="K602" t="s">
        <v>292</v>
      </c>
      <c r="L602" t="s">
        <v>3</v>
      </c>
      <c r="M602" t="s">
        <v>8</v>
      </c>
    </row>
    <row r="603" spans="1:13" x14ac:dyDescent="0.25">
      <c r="A603" t="s">
        <v>276</v>
      </c>
      <c r="B603" t="s">
        <v>50</v>
      </c>
      <c r="C603" t="s">
        <v>3</v>
      </c>
      <c r="D603" s="2">
        <v>385000</v>
      </c>
      <c r="E603" s="2">
        <v>0</v>
      </c>
      <c r="F603" s="2">
        <v>385000</v>
      </c>
      <c r="G603" s="3">
        <v>1</v>
      </c>
      <c r="H603" t="s">
        <v>3</v>
      </c>
      <c r="I603" t="s">
        <v>52</v>
      </c>
      <c r="J603" t="s">
        <v>291</v>
      </c>
      <c r="K603" t="s">
        <v>292</v>
      </c>
      <c r="L603" t="s">
        <v>3</v>
      </c>
      <c r="M603" t="s">
        <v>8</v>
      </c>
    </row>
    <row r="604" spans="1:13" x14ac:dyDescent="0.25">
      <c r="A604" t="s">
        <v>276</v>
      </c>
      <c r="B604" t="s">
        <v>58</v>
      </c>
      <c r="C604" t="s">
        <v>3</v>
      </c>
      <c r="D604" s="2">
        <v>11655000</v>
      </c>
      <c r="E604" s="2">
        <v>0</v>
      </c>
      <c r="F604" s="2">
        <v>11655000</v>
      </c>
      <c r="G604" s="3">
        <v>1</v>
      </c>
      <c r="H604" t="s">
        <v>3</v>
      </c>
      <c r="I604" t="s">
        <v>60</v>
      </c>
      <c r="J604" t="s">
        <v>291</v>
      </c>
      <c r="K604" t="s">
        <v>292</v>
      </c>
      <c r="L604" t="s">
        <v>3</v>
      </c>
      <c r="M604" t="s">
        <v>8</v>
      </c>
    </row>
    <row r="605" spans="1:13" x14ac:dyDescent="0.25">
      <c r="A605" t="s">
        <v>276</v>
      </c>
      <c r="B605" t="s">
        <v>83</v>
      </c>
      <c r="C605" t="s">
        <v>3</v>
      </c>
      <c r="D605" s="2">
        <v>100000</v>
      </c>
      <c r="E605" s="2">
        <v>0</v>
      </c>
      <c r="F605" s="2">
        <v>100000</v>
      </c>
      <c r="G605" s="3">
        <v>1</v>
      </c>
      <c r="H605" t="s">
        <v>3</v>
      </c>
      <c r="I605" t="s">
        <v>85</v>
      </c>
      <c r="J605" t="s">
        <v>291</v>
      </c>
      <c r="K605" t="s">
        <v>292</v>
      </c>
      <c r="L605" t="s">
        <v>3</v>
      </c>
      <c r="M605" t="s">
        <v>8</v>
      </c>
    </row>
    <row r="606" spans="1:13" x14ac:dyDescent="0.25">
      <c r="A606" t="s">
        <v>276</v>
      </c>
      <c r="B606" t="s">
        <v>94</v>
      </c>
      <c r="C606" t="s">
        <v>3</v>
      </c>
      <c r="D606" s="2">
        <v>70000</v>
      </c>
      <c r="E606" s="2">
        <v>0</v>
      </c>
      <c r="F606" s="2">
        <v>70000</v>
      </c>
      <c r="G606" s="3">
        <v>1</v>
      </c>
      <c r="H606" t="s">
        <v>3</v>
      </c>
      <c r="I606" t="s">
        <v>96</v>
      </c>
      <c r="J606" t="s">
        <v>291</v>
      </c>
      <c r="K606" t="s">
        <v>292</v>
      </c>
      <c r="L606" t="s">
        <v>3</v>
      </c>
      <c r="M606" t="s">
        <v>8</v>
      </c>
    </row>
    <row r="607" spans="1:13" x14ac:dyDescent="0.25">
      <c r="A607" t="s">
        <v>276</v>
      </c>
      <c r="B607" t="s">
        <v>101</v>
      </c>
      <c r="C607" t="s">
        <v>3</v>
      </c>
      <c r="D607" s="2">
        <v>730500</v>
      </c>
      <c r="E607" s="2">
        <v>0</v>
      </c>
      <c r="F607" s="2">
        <v>730500</v>
      </c>
      <c r="G607" s="3">
        <v>1</v>
      </c>
      <c r="H607" t="s">
        <v>3</v>
      </c>
      <c r="I607" t="s">
        <v>103</v>
      </c>
      <c r="J607" t="s">
        <v>291</v>
      </c>
      <c r="K607" t="s">
        <v>292</v>
      </c>
      <c r="L607" t="s">
        <v>3</v>
      </c>
      <c r="M607" t="s">
        <v>8</v>
      </c>
    </row>
    <row r="608" spans="1:13" x14ac:dyDescent="0.25">
      <c r="A608" t="s">
        <v>276</v>
      </c>
      <c r="B608" t="s">
        <v>19</v>
      </c>
      <c r="C608" t="s">
        <v>3</v>
      </c>
      <c r="D608" s="2">
        <v>14187500</v>
      </c>
      <c r="E608" s="2">
        <v>0</v>
      </c>
      <c r="F608" s="2">
        <v>14187500</v>
      </c>
      <c r="G608" s="3">
        <v>1</v>
      </c>
      <c r="H608" t="s">
        <v>3</v>
      </c>
      <c r="I608" t="s">
        <v>21</v>
      </c>
      <c r="J608" t="s">
        <v>351</v>
      </c>
      <c r="K608" t="s">
        <v>352</v>
      </c>
      <c r="L608" t="s">
        <v>3</v>
      </c>
      <c r="M608" t="s">
        <v>8</v>
      </c>
    </row>
    <row r="609" spans="1:13" x14ac:dyDescent="0.25">
      <c r="A609" t="s">
        <v>276</v>
      </c>
      <c r="B609" t="s">
        <v>295</v>
      </c>
      <c r="C609" t="s">
        <v>3</v>
      </c>
      <c r="D609" s="2">
        <v>80000</v>
      </c>
      <c r="E609" s="2">
        <v>0</v>
      </c>
      <c r="F609" s="2">
        <v>80000</v>
      </c>
      <c r="G609" s="3">
        <v>1</v>
      </c>
      <c r="H609" t="s">
        <v>3</v>
      </c>
      <c r="I609" t="s">
        <v>296</v>
      </c>
      <c r="J609" t="s">
        <v>325</v>
      </c>
      <c r="K609" t="s">
        <v>326</v>
      </c>
      <c r="L609" t="s">
        <v>3</v>
      </c>
      <c r="M609" t="s">
        <v>8</v>
      </c>
    </row>
    <row r="610" spans="1:13" x14ac:dyDescent="0.25">
      <c r="A610" t="s">
        <v>276</v>
      </c>
      <c r="B610" t="s">
        <v>41</v>
      </c>
      <c r="C610" t="s">
        <v>3</v>
      </c>
      <c r="D610" s="2">
        <v>22900</v>
      </c>
      <c r="E610" s="2">
        <v>0</v>
      </c>
      <c r="F610" s="2">
        <v>22900</v>
      </c>
      <c r="G610" s="3">
        <v>1</v>
      </c>
      <c r="H610" t="s">
        <v>3</v>
      </c>
      <c r="I610" t="s">
        <v>43</v>
      </c>
      <c r="J610" t="s">
        <v>325</v>
      </c>
      <c r="K610" t="s">
        <v>326</v>
      </c>
      <c r="L610" t="s">
        <v>3</v>
      </c>
      <c r="M610" t="s">
        <v>8</v>
      </c>
    </row>
    <row r="611" spans="1:13" x14ac:dyDescent="0.25">
      <c r="A611" t="s">
        <v>276</v>
      </c>
      <c r="B611" t="s">
        <v>295</v>
      </c>
      <c r="C611" t="s">
        <v>3</v>
      </c>
      <c r="D611" s="2">
        <v>914900</v>
      </c>
      <c r="E611" s="2">
        <v>0</v>
      </c>
      <c r="F611" s="2">
        <v>914900</v>
      </c>
      <c r="G611" s="3">
        <v>1</v>
      </c>
      <c r="H611" t="s">
        <v>3</v>
      </c>
      <c r="I611" t="s">
        <v>296</v>
      </c>
      <c r="J611" t="s">
        <v>327</v>
      </c>
      <c r="K611" t="s">
        <v>328</v>
      </c>
      <c r="L611" t="s">
        <v>3</v>
      </c>
      <c r="M611" t="s">
        <v>8</v>
      </c>
    </row>
    <row r="612" spans="1:13" x14ac:dyDescent="0.25">
      <c r="A612" t="s">
        <v>276</v>
      </c>
      <c r="B612" t="s">
        <v>341</v>
      </c>
      <c r="C612" t="s">
        <v>3</v>
      </c>
      <c r="D612" s="2">
        <v>558000</v>
      </c>
      <c r="E612" s="2">
        <v>0</v>
      </c>
      <c r="F612" s="2">
        <v>558000</v>
      </c>
      <c r="G612" s="3">
        <v>1</v>
      </c>
      <c r="H612" t="s">
        <v>3</v>
      </c>
      <c r="I612" t="s">
        <v>342</v>
      </c>
      <c r="J612" t="s">
        <v>327</v>
      </c>
      <c r="K612" t="s">
        <v>328</v>
      </c>
      <c r="L612" t="s">
        <v>3</v>
      </c>
      <c r="M612" t="s">
        <v>8</v>
      </c>
    </row>
    <row r="613" spans="1:13" x14ac:dyDescent="0.25">
      <c r="A613" t="s">
        <v>276</v>
      </c>
      <c r="B613" t="s">
        <v>19</v>
      </c>
      <c r="C613" t="s">
        <v>3</v>
      </c>
      <c r="D613" s="2">
        <v>115000</v>
      </c>
      <c r="E613" s="2">
        <v>0</v>
      </c>
      <c r="F613" s="2">
        <v>115000</v>
      </c>
      <c r="G613" s="3">
        <v>1</v>
      </c>
      <c r="H613" t="s">
        <v>3</v>
      </c>
      <c r="I613" t="s">
        <v>21</v>
      </c>
      <c r="J613" t="s">
        <v>327</v>
      </c>
      <c r="K613" t="s">
        <v>328</v>
      </c>
      <c r="L613" t="s">
        <v>3</v>
      </c>
      <c r="M613" t="s">
        <v>8</v>
      </c>
    </row>
    <row r="614" spans="1:13" x14ac:dyDescent="0.25">
      <c r="A614" t="s">
        <v>276</v>
      </c>
      <c r="B614" t="s">
        <v>50</v>
      </c>
      <c r="C614" t="s">
        <v>3</v>
      </c>
      <c r="D614" s="2">
        <v>752500</v>
      </c>
      <c r="E614" s="2">
        <v>0</v>
      </c>
      <c r="F614" s="2">
        <v>752500</v>
      </c>
      <c r="G614" s="3">
        <v>1</v>
      </c>
      <c r="H614" t="s">
        <v>3</v>
      </c>
      <c r="I614" t="s">
        <v>52</v>
      </c>
      <c r="J614" t="s">
        <v>327</v>
      </c>
      <c r="K614" t="s">
        <v>328</v>
      </c>
      <c r="L614" t="s">
        <v>3</v>
      </c>
      <c r="M614" t="s">
        <v>8</v>
      </c>
    </row>
    <row r="615" spans="1:13" x14ac:dyDescent="0.25">
      <c r="A615" t="s">
        <v>276</v>
      </c>
      <c r="B615" t="s">
        <v>83</v>
      </c>
      <c r="C615" t="s">
        <v>3</v>
      </c>
      <c r="D615" s="2">
        <v>235000</v>
      </c>
      <c r="E615" s="2">
        <v>0</v>
      </c>
      <c r="F615" s="2">
        <v>235000</v>
      </c>
      <c r="G615" s="3">
        <v>1</v>
      </c>
      <c r="H615" t="s">
        <v>3</v>
      </c>
      <c r="I615" t="s">
        <v>85</v>
      </c>
      <c r="J615" t="s">
        <v>327</v>
      </c>
      <c r="K615" t="s">
        <v>328</v>
      </c>
      <c r="L615" t="s">
        <v>3</v>
      </c>
      <c r="M615" t="s">
        <v>8</v>
      </c>
    </row>
    <row r="616" spans="1:13" x14ac:dyDescent="0.25">
      <c r="A616" t="s">
        <v>276</v>
      </c>
      <c r="B616" t="s">
        <v>135</v>
      </c>
      <c r="C616" t="s">
        <v>3</v>
      </c>
      <c r="D616" s="2">
        <v>16000</v>
      </c>
      <c r="E616" s="2">
        <v>0</v>
      </c>
      <c r="F616" s="2">
        <v>16000</v>
      </c>
      <c r="G616" s="3">
        <v>1</v>
      </c>
      <c r="H616" t="s">
        <v>3</v>
      </c>
      <c r="I616" t="s">
        <v>137</v>
      </c>
      <c r="J616" t="s">
        <v>327</v>
      </c>
      <c r="K616" t="s">
        <v>328</v>
      </c>
      <c r="L616" t="s">
        <v>3</v>
      </c>
      <c r="M616" t="s">
        <v>8</v>
      </c>
    </row>
    <row r="617" spans="1:13" x14ac:dyDescent="0.25">
      <c r="A617" t="s">
        <v>276</v>
      </c>
      <c r="B617" t="s">
        <v>151</v>
      </c>
      <c r="C617" t="s">
        <v>3</v>
      </c>
      <c r="D617" s="2">
        <v>100</v>
      </c>
      <c r="E617" s="2">
        <v>0</v>
      </c>
      <c r="F617" s="2">
        <v>100</v>
      </c>
      <c r="G617" s="3">
        <v>1</v>
      </c>
      <c r="H617" t="s">
        <v>3</v>
      </c>
      <c r="I617" t="s">
        <v>153</v>
      </c>
      <c r="J617" t="s">
        <v>327</v>
      </c>
      <c r="K617" t="s">
        <v>328</v>
      </c>
      <c r="L617" t="s">
        <v>3</v>
      </c>
      <c r="M617" t="s">
        <v>8</v>
      </c>
    </row>
    <row r="618" spans="1:13" x14ac:dyDescent="0.25">
      <c r="A618" t="s">
        <v>276</v>
      </c>
      <c r="B618" t="s">
        <v>179</v>
      </c>
      <c r="C618" t="s">
        <v>3</v>
      </c>
      <c r="D618" s="2">
        <v>18000</v>
      </c>
      <c r="E618" s="2">
        <v>0</v>
      </c>
      <c r="F618" s="2">
        <v>18000</v>
      </c>
      <c r="G618" s="3">
        <v>1</v>
      </c>
      <c r="H618" t="s">
        <v>3</v>
      </c>
      <c r="I618" t="s">
        <v>181</v>
      </c>
      <c r="J618" t="s">
        <v>327</v>
      </c>
      <c r="K618" t="s">
        <v>328</v>
      </c>
      <c r="L618" t="s">
        <v>3</v>
      </c>
      <c r="M618" t="s">
        <v>8</v>
      </c>
    </row>
    <row r="619" spans="1:13" x14ac:dyDescent="0.25">
      <c r="A619" t="s">
        <v>276</v>
      </c>
      <c r="B619" t="s">
        <v>214</v>
      </c>
      <c r="C619" t="s">
        <v>3</v>
      </c>
      <c r="D619" s="2">
        <v>68000</v>
      </c>
      <c r="E619" s="2">
        <v>0</v>
      </c>
      <c r="F619" s="2">
        <v>68000</v>
      </c>
      <c r="G619" s="3">
        <v>1</v>
      </c>
      <c r="H619" t="s">
        <v>3</v>
      </c>
      <c r="I619" t="s">
        <v>216</v>
      </c>
      <c r="J619" t="s">
        <v>327</v>
      </c>
      <c r="K619" t="s">
        <v>328</v>
      </c>
      <c r="L619" t="s">
        <v>3</v>
      </c>
      <c r="M619" t="s">
        <v>8</v>
      </c>
    </row>
    <row r="620" spans="1:13" x14ac:dyDescent="0.25">
      <c r="A620" t="s">
        <v>276</v>
      </c>
      <c r="B620" t="s">
        <v>226</v>
      </c>
      <c r="C620" t="s">
        <v>3</v>
      </c>
      <c r="D620" s="2">
        <v>500</v>
      </c>
      <c r="E620" s="2">
        <v>0</v>
      </c>
      <c r="F620" s="2">
        <v>500</v>
      </c>
      <c r="G620" s="3">
        <v>1</v>
      </c>
      <c r="H620" t="s">
        <v>3</v>
      </c>
      <c r="I620" t="s">
        <v>228</v>
      </c>
      <c r="J620" t="s">
        <v>327</v>
      </c>
      <c r="K620" t="s">
        <v>328</v>
      </c>
      <c r="L620" t="s">
        <v>3</v>
      </c>
      <c r="M620" t="s">
        <v>8</v>
      </c>
    </row>
    <row r="621" spans="1:13" x14ac:dyDescent="0.25">
      <c r="A621" t="s">
        <v>276</v>
      </c>
      <c r="B621" t="s">
        <v>241</v>
      </c>
      <c r="C621" t="s">
        <v>3</v>
      </c>
      <c r="D621" s="2">
        <v>500</v>
      </c>
      <c r="E621" s="2">
        <v>0</v>
      </c>
      <c r="F621" s="2">
        <v>500</v>
      </c>
      <c r="G621" s="3">
        <v>1</v>
      </c>
      <c r="H621" t="s">
        <v>3</v>
      </c>
      <c r="I621" t="s">
        <v>243</v>
      </c>
      <c r="J621" t="s">
        <v>327</v>
      </c>
      <c r="K621" t="s">
        <v>328</v>
      </c>
      <c r="L621" t="s">
        <v>3</v>
      </c>
      <c r="M621" t="s">
        <v>8</v>
      </c>
    </row>
    <row r="622" spans="1:13" x14ac:dyDescent="0.25">
      <c r="A622" t="s">
        <v>276</v>
      </c>
      <c r="B622" t="s">
        <v>341</v>
      </c>
      <c r="C622" t="s">
        <v>3</v>
      </c>
      <c r="D622" s="2">
        <v>99000</v>
      </c>
      <c r="E622" s="2">
        <v>0</v>
      </c>
      <c r="F622" s="2">
        <v>99000</v>
      </c>
      <c r="G622" s="3">
        <v>1</v>
      </c>
      <c r="H622" t="s">
        <v>3</v>
      </c>
      <c r="I622" t="s">
        <v>342</v>
      </c>
      <c r="J622" t="s">
        <v>347</v>
      </c>
      <c r="K622" t="s">
        <v>348</v>
      </c>
      <c r="L622" t="s">
        <v>3</v>
      </c>
      <c r="M622" t="s">
        <v>8</v>
      </c>
    </row>
    <row r="623" spans="1:13" x14ac:dyDescent="0.25">
      <c r="A623" t="s">
        <v>276</v>
      </c>
      <c r="B623" t="s">
        <v>50</v>
      </c>
      <c r="C623" t="s">
        <v>3</v>
      </c>
      <c r="D623" s="2">
        <v>266400</v>
      </c>
      <c r="E623" s="2">
        <v>0</v>
      </c>
      <c r="F623" s="2">
        <v>266400</v>
      </c>
      <c r="G623" s="3">
        <v>1</v>
      </c>
      <c r="H623" t="s">
        <v>3</v>
      </c>
      <c r="I623" t="s">
        <v>52</v>
      </c>
      <c r="J623" t="s">
        <v>347</v>
      </c>
      <c r="K623" t="s">
        <v>348</v>
      </c>
      <c r="L623" t="s">
        <v>3</v>
      </c>
      <c r="M623" t="s">
        <v>8</v>
      </c>
    </row>
    <row r="624" spans="1:13" x14ac:dyDescent="0.25">
      <c r="A624" t="s">
        <v>276</v>
      </c>
      <c r="B624" t="s">
        <v>151</v>
      </c>
      <c r="C624" t="s">
        <v>3</v>
      </c>
      <c r="D624" s="2">
        <v>500</v>
      </c>
      <c r="E624" s="2">
        <v>0</v>
      </c>
      <c r="F624" s="2">
        <v>500</v>
      </c>
      <c r="G624" s="3">
        <v>1</v>
      </c>
      <c r="H624" t="s">
        <v>3</v>
      </c>
      <c r="I624" t="s">
        <v>153</v>
      </c>
      <c r="J624" t="s">
        <v>347</v>
      </c>
      <c r="K624" t="s">
        <v>348</v>
      </c>
      <c r="L624" t="s">
        <v>3</v>
      </c>
      <c r="M624" t="s">
        <v>8</v>
      </c>
    </row>
    <row r="625" spans="1:13" x14ac:dyDescent="0.25">
      <c r="A625" t="s">
        <v>276</v>
      </c>
      <c r="B625" t="s">
        <v>214</v>
      </c>
      <c r="C625" t="s">
        <v>3</v>
      </c>
      <c r="D625" s="2">
        <v>500</v>
      </c>
      <c r="E625" s="2">
        <v>0</v>
      </c>
      <c r="F625" s="2">
        <v>500</v>
      </c>
      <c r="G625" s="3">
        <v>1</v>
      </c>
      <c r="H625" t="s">
        <v>3</v>
      </c>
      <c r="I625" t="s">
        <v>216</v>
      </c>
      <c r="J625" t="s">
        <v>347</v>
      </c>
      <c r="K625" t="s">
        <v>348</v>
      </c>
      <c r="L625" t="s">
        <v>3</v>
      </c>
      <c r="M625" t="s">
        <v>8</v>
      </c>
    </row>
    <row r="626" spans="1:13" x14ac:dyDescent="0.25">
      <c r="A626" t="s">
        <v>276</v>
      </c>
      <c r="B626" t="s">
        <v>50</v>
      </c>
      <c r="C626" t="s">
        <v>3</v>
      </c>
      <c r="D626" s="2">
        <v>650000</v>
      </c>
      <c r="E626" s="2">
        <v>0</v>
      </c>
      <c r="F626" s="2">
        <v>650000</v>
      </c>
      <c r="G626" s="3">
        <v>1</v>
      </c>
      <c r="H626" t="s">
        <v>3</v>
      </c>
      <c r="I626" t="s">
        <v>52</v>
      </c>
      <c r="J626" t="s">
        <v>359</v>
      </c>
      <c r="K626" t="s">
        <v>360</v>
      </c>
      <c r="L626" t="s">
        <v>3</v>
      </c>
      <c r="M626" t="s">
        <v>8</v>
      </c>
    </row>
    <row r="627" spans="1:13" x14ac:dyDescent="0.25">
      <c r="A627" t="s">
        <v>276</v>
      </c>
      <c r="B627" t="s">
        <v>110</v>
      </c>
      <c r="C627" t="s">
        <v>3</v>
      </c>
      <c r="D627" s="2">
        <v>57000</v>
      </c>
      <c r="E627" s="2">
        <v>0</v>
      </c>
      <c r="F627" s="2">
        <v>57000</v>
      </c>
      <c r="G627" s="3">
        <v>1</v>
      </c>
      <c r="H627" t="s">
        <v>3</v>
      </c>
      <c r="I627" t="s">
        <v>112</v>
      </c>
      <c r="J627" t="s">
        <v>359</v>
      </c>
      <c r="K627" t="s">
        <v>360</v>
      </c>
      <c r="L627" t="s">
        <v>3</v>
      </c>
      <c r="M627" t="s">
        <v>8</v>
      </c>
    </row>
    <row r="628" spans="1:13" x14ac:dyDescent="0.25">
      <c r="A628" t="s">
        <v>276</v>
      </c>
      <c r="B628" t="s">
        <v>119</v>
      </c>
      <c r="C628" t="s">
        <v>3</v>
      </c>
      <c r="D628" s="2">
        <v>171000</v>
      </c>
      <c r="E628" s="2">
        <v>0</v>
      </c>
      <c r="F628" s="2">
        <v>171000</v>
      </c>
      <c r="G628" s="3">
        <v>1</v>
      </c>
      <c r="H628" t="s">
        <v>3</v>
      </c>
      <c r="I628" t="s">
        <v>121</v>
      </c>
      <c r="J628" t="s">
        <v>359</v>
      </c>
      <c r="K628" t="s">
        <v>360</v>
      </c>
      <c r="L628" t="s">
        <v>3</v>
      </c>
      <c r="M628" t="s">
        <v>8</v>
      </c>
    </row>
    <row r="629" spans="1:13" x14ac:dyDescent="0.25">
      <c r="A629" t="s">
        <v>276</v>
      </c>
      <c r="B629" t="s">
        <v>127</v>
      </c>
      <c r="C629" t="s">
        <v>3</v>
      </c>
      <c r="D629" s="2">
        <v>228000</v>
      </c>
      <c r="E629" s="2">
        <v>0</v>
      </c>
      <c r="F629" s="2">
        <v>228000</v>
      </c>
      <c r="G629" s="3">
        <v>1</v>
      </c>
      <c r="H629" t="s">
        <v>3</v>
      </c>
      <c r="I629" t="s">
        <v>128</v>
      </c>
      <c r="J629" t="s">
        <v>359</v>
      </c>
      <c r="K629" t="s">
        <v>360</v>
      </c>
      <c r="L629" t="s">
        <v>3</v>
      </c>
      <c r="M629" t="s">
        <v>8</v>
      </c>
    </row>
    <row r="630" spans="1:13" x14ac:dyDescent="0.25">
      <c r="A630" t="s">
        <v>276</v>
      </c>
      <c r="B630" t="s">
        <v>135</v>
      </c>
      <c r="C630" t="s">
        <v>3</v>
      </c>
      <c r="D630" s="2">
        <v>228000</v>
      </c>
      <c r="E630" s="2">
        <v>0</v>
      </c>
      <c r="F630" s="2">
        <v>228000</v>
      </c>
      <c r="G630" s="3">
        <v>1</v>
      </c>
      <c r="H630" t="s">
        <v>3</v>
      </c>
      <c r="I630" t="s">
        <v>137</v>
      </c>
      <c r="J630" t="s">
        <v>359</v>
      </c>
      <c r="K630" t="s">
        <v>360</v>
      </c>
      <c r="L630" t="s">
        <v>3</v>
      </c>
      <c r="M630" t="s">
        <v>8</v>
      </c>
    </row>
    <row r="631" spans="1:13" x14ac:dyDescent="0.25">
      <c r="A631" t="s">
        <v>276</v>
      </c>
      <c r="B631" t="s">
        <v>143</v>
      </c>
      <c r="C631" t="s">
        <v>3</v>
      </c>
      <c r="D631" s="2">
        <v>285000</v>
      </c>
      <c r="E631" s="2">
        <v>0</v>
      </c>
      <c r="F631" s="2">
        <v>285000</v>
      </c>
      <c r="G631" s="3">
        <v>1</v>
      </c>
      <c r="H631" t="s">
        <v>3</v>
      </c>
      <c r="I631" t="s">
        <v>145</v>
      </c>
      <c r="J631" t="s">
        <v>359</v>
      </c>
      <c r="K631" t="s">
        <v>360</v>
      </c>
      <c r="L631" t="s">
        <v>3</v>
      </c>
      <c r="M631" t="s">
        <v>8</v>
      </c>
    </row>
    <row r="632" spans="1:13" x14ac:dyDescent="0.25">
      <c r="A632" t="s">
        <v>276</v>
      </c>
      <c r="B632" t="s">
        <v>151</v>
      </c>
      <c r="C632" t="s">
        <v>3</v>
      </c>
      <c r="D632" s="2">
        <v>285000</v>
      </c>
      <c r="E632" s="2">
        <v>0</v>
      </c>
      <c r="F632" s="2">
        <v>285000</v>
      </c>
      <c r="G632" s="3">
        <v>1</v>
      </c>
      <c r="H632" t="s">
        <v>3</v>
      </c>
      <c r="I632" t="s">
        <v>153</v>
      </c>
      <c r="J632" t="s">
        <v>359</v>
      </c>
      <c r="K632" t="s">
        <v>360</v>
      </c>
      <c r="L632" t="s">
        <v>3</v>
      </c>
      <c r="M632" t="s">
        <v>8</v>
      </c>
    </row>
    <row r="633" spans="1:13" x14ac:dyDescent="0.25">
      <c r="A633" t="s">
        <v>276</v>
      </c>
      <c r="B633" t="s">
        <v>159</v>
      </c>
      <c r="C633" t="s">
        <v>3</v>
      </c>
      <c r="D633" s="2">
        <v>171000</v>
      </c>
      <c r="E633" s="2">
        <v>0</v>
      </c>
      <c r="F633" s="2">
        <v>171000</v>
      </c>
      <c r="G633" s="3">
        <v>1</v>
      </c>
      <c r="H633" t="s">
        <v>3</v>
      </c>
      <c r="I633" t="s">
        <v>161</v>
      </c>
      <c r="J633" t="s">
        <v>359</v>
      </c>
      <c r="K633" t="s">
        <v>360</v>
      </c>
      <c r="L633" t="s">
        <v>3</v>
      </c>
      <c r="M633" t="s">
        <v>8</v>
      </c>
    </row>
    <row r="634" spans="1:13" x14ac:dyDescent="0.25">
      <c r="A634" t="s">
        <v>276</v>
      </c>
      <c r="B634" t="s">
        <v>170</v>
      </c>
      <c r="C634" t="s">
        <v>3</v>
      </c>
      <c r="D634" s="2">
        <v>171000</v>
      </c>
      <c r="E634" s="2">
        <v>0</v>
      </c>
      <c r="F634" s="2">
        <v>171000</v>
      </c>
      <c r="G634" s="3">
        <v>1</v>
      </c>
      <c r="H634" t="s">
        <v>3</v>
      </c>
      <c r="I634" t="s">
        <v>172</v>
      </c>
      <c r="J634" t="s">
        <v>359</v>
      </c>
      <c r="K634" t="s">
        <v>360</v>
      </c>
      <c r="L634" t="s">
        <v>3</v>
      </c>
      <c r="M634" t="s">
        <v>8</v>
      </c>
    </row>
    <row r="635" spans="1:13" x14ac:dyDescent="0.25">
      <c r="A635" t="s">
        <v>276</v>
      </c>
      <c r="B635" t="s">
        <v>179</v>
      </c>
      <c r="C635" t="s">
        <v>3</v>
      </c>
      <c r="D635" s="2">
        <v>285000</v>
      </c>
      <c r="E635" s="2">
        <v>0</v>
      </c>
      <c r="F635" s="2">
        <v>285000</v>
      </c>
      <c r="G635" s="3">
        <v>1</v>
      </c>
      <c r="H635" t="s">
        <v>3</v>
      </c>
      <c r="I635" t="s">
        <v>181</v>
      </c>
      <c r="J635" t="s">
        <v>359</v>
      </c>
      <c r="K635" t="s">
        <v>360</v>
      </c>
      <c r="L635" t="s">
        <v>3</v>
      </c>
      <c r="M635" t="s">
        <v>8</v>
      </c>
    </row>
    <row r="636" spans="1:13" x14ac:dyDescent="0.25">
      <c r="A636" t="s">
        <v>276</v>
      </c>
      <c r="B636" t="s">
        <v>189</v>
      </c>
      <c r="C636" t="s">
        <v>3</v>
      </c>
      <c r="D636" s="2">
        <v>228000</v>
      </c>
      <c r="E636" s="2">
        <v>0</v>
      </c>
      <c r="F636" s="2">
        <v>228000</v>
      </c>
      <c r="G636" s="3">
        <v>1</v>
      </c>
      <c r="H636" t="s">
        <v>3</v>
      </c>
      <c r="I636" t="s">
        <v>191</v>
      </c>
      <c r="J636" t="s">
        <v>359</v>
      </c>
      <c r="K636" t="s">
        <v>360</v>
      </c>
      <c r="L636" t="s">
        <v>3</v>
      </c>
      <c r="M636" t="s">
        <v>8</v>
      </c>
    </row>
    <row r="637" spans="1:13" x14ac:dyDescent="0.25">
      <c r="A637" t="s">
        <v>276</v>
      </c>
      <c r="B637" t="s">
        <v>198</v>
      </c>
      <c r="C637" t="s">
        <v>3</v>
      </c>
      <c r="D637" s="2">
        <v>171000</v>
      </c>
      <c r="E637" s="2">
        <v>0</v>
      </c>
      <c r="F637" s="2">
        <v>171000</v>
      </c>
      <c r="G637" s="3">
        <v>1</v>
      </c>
      <c r="H637" t="s">
        <v>3</v>
      </c>
      <c r="I637" t="s">
        <v>200</v>
      </c>
      <c r="J637" t="s">
        <v>359</v>
      </c>
      <c r="K637" t="s">
        <v>360</v>
      </c>
      <c r="L637" t="s">
        <v>3</v>
      </c>
      <c r="M637" t="s">
        <v>8</v>
      </c>
    </row>
    <row r="638" spans="1:13" x14ac:dyDescent="0.25">
      <c r="A638" t="s">
        <v>276</v>
      </c>
      <c r="B638" t="s">
        <v>206</v>
      </c>
      <c r="C638" t="s">
        <v>3</v>
      </c>
      <c r="D638" s="2">
        <v>114000</v>
      </c>
      <c r="E638" s="2">
        <v>0</v>
      </c>
      <c r="F638" s="2">
        <v>114000</v>
      </c>
      <c r="G638" s="3">
        <v>1</v>
      </c>
      <c r="H638" t="s">
        <v>3</v>
      </c>
      <c r="I638" t="s">
        <v>208</v>
      </c>
      <c r="J638" t="s">
        <v>359</v>
      </c>
      <c r="K638" t="s">
        <v>360</v>
      </c>
      <c r="L638" t="s">
        <v>3</v>
      </c>
      <c r="M638" t="s">
        <v>8</v>
      </c>
    </row>
    <row r="639" spans="1:13" x14ac:dyDescent="0.25">
      <c r="A639" t="s">
        <v>276</v>
      </c>
      <c r="B639" t="s">
        <v>214</v>
      </c>
      <c r="C639" t="s">
        <v>3</v>
      </c>
      <c r="D639" s="2">
        <v>228000</v>
      </c>
      <c r="E639" s="2">
        <v>0</v>
      </c>
      <c r="F639" s="2">
        <v>228000</v>
      </c>
      <c r="G639" s="3">
        <v>1</v>
      </c>
      <c r="H639" t="s">
        <v>3</v>
      </c>
      <c r="I639" t="s">
        <v>216</v>
      </c>
      <c r="J639" t="s">
        <v>359</v>
      </c>
      <c r="K639" t="s">
        <v>360</v>
      </c>
      <c r="L639" t="s">
        <v>3</v>
      </c>
      <c r="M639" t="s">
        <v>8</v>
      </c>
    </row>
    <row r="640" spans="1:13" x14ac:dyDescent="0.25">
      <c r="A640" t="s">
        <v>276</v>
      </c>
      <c r="B640" t="s">
        <v>248</v>
      </c>
      <c r="C640" t="s">
        <v>3</v>
      </c>
      <c r="D640" s="2">
        <v>228000</v>
      </c>
      <c r="E640" s="2">
        <v>0</v>
      </c>
      <c r="F640" s="2">
        <v>228000</v>
      </c>
      <c r="G640" s="3">
        <v>1</v>
      </c>
      <c r="H640" t="s">
        <v>3</v>
      </c>
      <c r="I640" t="s">
        <v>250</v>
      </c>
      <c r="J640" t="s">
        <v>359</v>
      </c>
      <c r="K640" t="s">
        <v>360</v>
      </c>
      <c r="L640" t="s">
        <v>3</v>
      </c>
      <c r="M640" t="s">
        <v>8</v>
      </c>
    </row>
    <row r="641" spans="1:13" x14ac:dyDescent="0.25">
      <c r="A641" t="s">
        <v>276</v>
      </c>
      <c r="B641" t="s">
        <v>110</v>
      </c>
      <c r="C641" t="s">
        <v>3</v>
      </c>
      <c r="D641" s="2">
        <v>395200</v>
      </c>
      <c r="E641" s="2">
        <v>0</v>
      </c>
      <c r="F641" s="2">
        <v>395200</v>
      </c>
      <c r="G641" s="3">
        <v>1</v>
      </c>
      <c r="H641" t="s">
        <v>3</v>
      </c>
      <c r="I641" t="s">
        <v>112</v>
      </c>
      <c r="J641" t="s">
        <v>365</v>
      </c>
      <c r="K641" t="s">
        <v>366</v>
      </c>
      <c r="L641" t="s">
        <v>3</v>
      </c>
      <c r="M641" t="s">
        <v>8</v>
      </c>
    </row>
    <row r="642" spans="1:13" x14ac:dyDescent="0.25">
      <c r="A642" t="s">
        <v>276</v>
      </c>
      <c r="B642" t="s">
        <v>119</v>
      </c>
      <c r="C642" t="s">
        <v>3</v>
      </c>
      <c r="D642" s="2">
        <v>1185700</v>
      </c>
      <c r="E642" s="2">
        <v>0</v>
      </c>
      <c r="F642" s="2">
        <v>1185700</v>
      </c>
      <c r="G642" s="3">
        <v>1</v>
      </c>
      <c r="H642" t="s">
        <v>3</v>
      </c>
      <c r="I642" t="s">
        <v>121</v>
      </c>
      <c r="J642" t="s">
        <v>365</v>
      </c>
      <c r="K642" t="s">
        <v>366</v>
      </c>
      <c r="L642" t="s">
        <v>3</v>
      </c>
      <c r="M642" t="s">
        <v>8</v>
      </c>
    </row>
    <row r="643" spans="1:13" x14ac:dyDescent="0.25">
      <c r="A643" t="s">
        <v>276</v>
      </c>
      <c r="B643" t="s">
        <v>127</v>
      </c>
      <c r="C643" t="s">
        <v>3</v>
      </c>
      <c r="D643" s="2">
        <v>1580900</v>
      </c>
      <c r="E643" s="2">
        <v>0</v>
      </c>
      <c r="F643" s="2">
        <v>1580900</v>
      </c>
      <c r="G643" s="3">
        <v>1</v>
      </c>
      <c r="H643" t="s">
        <v>3</v>
      </c>
      <c r="I643" t="s">
        <v>128</v>
      </c>
      <c r="J643" t="s">
        <v>365</v>
      </c>
      <c r="K643" t="s">
        <v>366</v>
      </c>
      <c r="L643" t="s">
        <v>3</v>
      </c>
      <c r="M643" t="s">
        <v>8</v>
      </c>
    </row>
    <row r="644" spans="1:13" x14ac:dyDescent="0.25">
      <c r="A644" t="s">
        <v>276</v>
      </c>
      <c r="B644" t="s">
        <v>135</v>
      </c>
      <c r="C644" t="s">
        <v>3</v>
      </c>
      <c r="D644" s="2">
        <v>1580900</v>
      </c>
      <c r="E644" s="2">
        <v>0</v>
      </c>
      <c r="F644" s="2">
        <v>1580900</v>
      </c>
      <c r="G644" s="3">
        <v>1</v>
      </c>
      <c r="H644" t="s">
        <v>3</v>
      </c>
      <c r="I644" t="s">
        <v>137</v>
      </c>
      <c r="J644" t="s">
        <v>365</v>
      </c>
      <c r="K644" t="s">
        <v>366</v>
      </c>
      <c r="L644" t="s">
        <v>3</v>
      </c>
      <c r="M644" t="s">
        <v>8</v>
      </c>
    </row>
    <row r="645" spans="1:13" x14ac:dyDescent="0.25">
      <c r="A645" t="s">
        <v>276</v>
      </c>
      <c r="B645" t="s">
        <v>143</v>
      </c>
      <c r="C645" t="s">
        <v>3</v>
      </c>
      <c r="D645" s="2">
        <v>1976200</v>
      </c>
      <c r="E645" s="2">
        <v>0</v>
      </c>
      <c r="F645" s="2">
        <v>1976200</v>
      </c>
      <c r="G645" s="3">
        <v>1</v>
      </c>
      <c r="H645" t="s">
        <v>3</v>
      </c>
      <c r="I645" t="s">
        <v>145</v>
      </c>
      <c r="J645" t="s">
        <v>365</v>
      </c>
      <c r="K645" t="s">
        <v>366</v>
      </c>
      <c r="L645" t="s">
        <v>3</v>
      </c>
      <c r="M645" t="s">
        <v>8</v>
      </c>
    </row>
    <row r="646" spans="1:13" x14ac:dyDescent="0.25">
      <c r="A646" t="s">
        <v>276</v>
      </c>
      <c r="B646" t="s">
        <v>151</v>
      </c>
      <c r="C646" t="s">
        <v>3</v>
      </c>
      <c r="D646" s="2">
        <v>1976200</v>
      </c>
      <c r="E646" s="2">
        <v>0</v>
      </c>
      <c r="F646" s="2">
        <v>1976200</v>
      </c>
      <c r="G646" s="3">
        <v>1</v>
      </c>
      <c r="H646" t="s">
        <v>3</v>
      </c>
      <c r="I646" t="s">
        <v>153</v>
      </c>
      <c r="J646" t="s">
        <v>365</v>
      </c>
      <c r="K646" t="s">
        <v>366</v>
      </c>
      <c r="L646" t="s">
        <v>3</v>
      </c>
      <c r="M646" t="s">
        <v>8</v>
      </c>
    </row>
    <row r="647" spans="1:13" x14ac:dyDescent="0.25">
      <c r="A647" t="s">
        <v>276</v>
      </c>
      <c r="B647" t="s">
        <v>159</v>
      </c>
      <c r="C647" t="s">
        <v>3</v>
      </c>
      <c r="D647" s="2">
        <v>1185700</v>
      </c>
      <c r="E647" s="2">
        <v>0</v>
      </c>
      <c r="F647" s="2">
        <v>1185700</v>
      </c>
      <c r="G647" s="3">
        <v>1</v>
      </c>
      <c r="H647" t="s">
        <v>3</v>
      </c>
      <c r="I647" t="s">
        <v>161</v>
      </c>
      <c r="J647" t="s">
        <v>365</v>
      </c>
      <c r="K647" t="s">
        <v>366</v>
      </c>
      <c r="L647" t="s">
        <v>3</v>
      </c>
      <c r="M647" t="s">
        <v>8</v>
      </c>
    </row>
    <row r="648" spans="1:13" x14ac:dyDescent="0.25">
      <c r="A648" t="s">
        <v>276</v>
      </c>
      <c r="B648" t="s">
        <v>170</v>
      </c>
      <c r="C648" t="s">
        <v>3</v>
      </c>
      <c r="D648" s="2">
        <v>1185700</v>
      </c>
      <c r="E648" s="2">
        <v>0</v>
      </c>
      <c r="F648" s="2">
        <v>1185700</v>
      </c>
      <c r="G648" s="3">
        <v>1</v>
      </c>
      <c r="H648" t="s">
        <v>3</v>
      </c>
      <c r="I648" t="s">
        <v>172</v>
      </c>
      <c r="J648" t="s">
        <v>365</v>
      </c>
      <c r="K648" t="s">
        <v>366</v>
      </c>
      <c r="L648" t="s">
        <v>3</v>
      </c>
      <c r="M648" t="s">
        <v>8</v>
      </c>
    </row>
    <row r="649" spans="1:13" x14ac:dyDescent="0.25">
      <c r="A649" t="s">
        <v>276</v>
      </c>
      <c r="B649" t="s">
        <v>179</v>
      </c>
      <c r="C649" t="s">
        <v>3</v>
      </c>
      <c r="D649" s="2">
        <v>1976000</v>
      </c>
      <c r="E649" s="2">
        <v>0</v>
      </c>
      <c r="F649" s="2">
        <v>1976000</v>
      </c>
      <c r="G649" s="3">
        <v>1</v>
      </c>
      <c r="H649" t="s">
        <v>3</v>
      </c>
      <c r="I649" t="s">
        <v>181</v>
      </c>
      <c r="J649" t="s">
        <v>365</v>
      </c>
      <c r="K649" t="s">
        <v>366</v>
      </c>
      <c r="L649" t="s">
        <v>3</v>
      </c>
      <c r="M649" t="s">
        <v>8</v>
      </c>
    </row>
    <row r="650" spans="1:13" x14ac:dyDescent="0.25">
      <c r="A650" t="s">
        <v>276</v>
      </c>
      <c r="B650" t="s">
        <v>189</v>
      </c>
      <c r="C650" t="s">
        <v>3</v>
      </c>
      <c r="D650" s="2">
        <v>1580900</v>
      </c>
      <c r="E650" s="2">
        <v>0</v>
      </c>
      <c r="F650" s="2">
        <v>1580900</v>
      </c>
      <c r="G650" s="3">
        <v>1</v>
      </c>
      <c r="H650" t="s">
        <v>3</v>
      </c>
      <c r="I650" t="s">
        <v>191</v>
      </c>
      <c r="J650" t="s">
        <v>365</v>
      </c>
      <c r="K650" t="s">
        <v>366</v>
      </c>
      <c r="L650" t="s">
        <v>3</v>
      </c>
      <c r="M650" t="s">
        <v>8</v>
      </c>
    </row>
    <row r="651" spans="1:13" x14ac:dyDescent="0.25">
      <c r="A651" t="s">
        <v>276</v>
      </c>
      <c r="B651" t="s">
        <v>198</v>
      </c>
      <c r="C651" t="s">
        <v>3</v>
      </c>
      <c r="D651" s="2">
        <v>1185700</v>
      </c>
      <c r="E651" s="2">
        <v>0</v>
      </c>
      <c r="F651" s="2">
        <v>1185700</v>
      </c>
      <c r="G651" s="3">
        <v>1</v>
      </c>
      <c r="H651" t="s">
        <v>3</v>
      </c>
      <c r="I651" t="s">
        <v>200</v>
      </c>
      <c r="J651" t="s">
        <v>365</v>
      </c>
      <c r="K651" t="s">
        <v>366</v>
      </c>
      <c r="L651" t="s">
        <v>3</v>
      </c>
      <c r="M651" t="s">
        <v>8</v>
      </c>
    </row>
    <row r="652" spans="1:13" x14ac:dyDescent="0.25">
      <c r="A652" t="s">
        <v>276</v>
      </c>
      <c r="B652" t="s">
        <v>206</v>
      </c>
      <c r="C652" t="s">
        <v>3</v>
      </c>
      <c r="D652" s="2">
        <v>790500</v>
      </c>
      <c r="E652" s="2">
        <v>0</v>
      </c>
      <c r="F652" s="2">
        <v>790500</v>
      </c>
      <c r="G652" s="3">
        <v>1</v>
      </c>
      <c r="H652" t="s">
        <v>3</v>
      </c>
      <c r="I652" t="s">
        <v>208</v>
      </c>
      <c r="J652" t="s">
        <v>365</v>
      </c>
      <c r="K652" t="s">
        <v>366</v>
      </c>
      <c r="L652" t="s">
        <v>3</v>
      </c>
      <c r="M652" t="s">
        <v>8</v>
      </c>
    </row>
    <row r="653" spans="1:13" x14ac:dyDescent="0.25">
      <c r="A653" t="s">
        <v>276</v>
      </c>
      <c r="B653" t="s">
        <v>214</v>
      </c>
      <c r="C653" t="s">
        <v>3</v>
      </c>
      <c r="D653" s="2">
        <v>1580900</v>
      </c>
      <c r="E653" s="2">
        <v>0</v>
      </c>
      <c r="F653" s="2">
        <v>1580900</v>
      </c>
      <c r="G653" s="3">
        <v>1</v>
      </c>
      <c r="H653" t="s">
        <v>3</v>
      </c>
      <c r="I653" t="s">
        <v>216</v>
      </c>
      <c r="J653" t="s">
        <v>365</v>
      </c>
      <c r="K653" t="s">
        <v>366</v>
      </c>
      <c r="L653" t="s">
        <v>3</v>
      </c>
      <c r="M653" t="s">
        <v>8</v>
      </c>
    </row>
    <row r="654" spans="1:13" x14ac:dyDescent="0.25">
      <c r="A654" t="s">
        <v>276</v>
      </c>
      <c r="B654" t="s">
        <v>248</v>
      </c>
      <c r="C654" t="s">
        <v>3</v>
      </c>
      <c r="D654" s="2">
        <v>1580900</v>
      </c>
      <c r="E654" s="2">
        <v>0</v>
      </c>
      <c r="F654" s="2">
        <v>1580900</v>
      </c>
      <c r="G654" s="3">
        <v>1</v>
      </c>
      <c r="H654" t="s">
        <v>3</v>
      </c>
      <c r="I654" t="s">
        <v>250</v>
      </c>
      <c r="J654" t="s">
        <v>365</v>
      </c>
      <c r="K654" t="s">
        <v>366</v>
      </c>
      <c r="L654" t="s">
        <v>3</v>
      </c>
      <c r="M654" t="s">
        <v>8</v>
      </c>
    </row>
    <row r="655" spans="1:13" x14ac:dyDescent="0.25">
      <c r="A655" t="s">
        <v>276</v>
      </c>
      <c r="B655" t="s">
        <v>19</v>
      </c>
      <c r="C655" t="s">
        <v>3</v>
      </c>
      <c r="D655" s="2">
        <v>240300</v>
      </c>
      <c r="E655" s="2">
        <v>0</v>
      </c>
      <c r="F655" s="2">
        <v>240300</v>
      </c>
      <c r="G655" s="3">
        <v>1</v>
      </c>
      <c r="H655" t="s">
        <v>3</v>
      </c>
      <c r="I655" t="s">
        <v>21</v>
      </c>
      <c r="J655" t="s">
        <v>353</v>
      </c>
      <c r="K655" t="s">
        <v>354</v>
      </c>
      <c r="L655" t="s">
        <v>3</v>
      </c>
      <c r="M655" t="s">
        <v>8</v>
      </c>
    </row>
    <row r="656" spans="1:13" x14ac:dyDescent="0.25">
      <c r="A656" t="s">
        <v>276</v>
      </c>
      <c r="B656" t="s">
        <v>94</v>
      </c>
      <c r="C656" t="s">
        <v>3</v>
      </c>
      <c r="D656" s="2">
        <v>250000</v>
      </c>
      <c r="E656" s="2">
        <v>0</v>
      </c>
      <c r="F656" s="2">
        <v>250000</v>
      </c>
      <c r="G656" s="3">
        <v>1</v>
      </c>
      <c r="H656" t="s">
        <v>3</v>
      </c>
      <c r="I656" t="s">
        <v>96</v>
      </c>
      <c r="J656" t="s">
        <v>353</v>
      </c>
      <c r="K656" t="s">
        <v>354</v>
      </c>
      <c r="L656" t="s">
        <v>3</v>
      </c>
      <c r="M656" t="s">
        <v>8</v>
      </c>
    </row>
    <row r="657" spans="1:13" x14ac:dyDescent="0.25">
      <c r="A657" t="s">
        <v>276</v>
      </c>
      <c r="B657" t="s">
        <v>58</v>
      </c>
      <c r="C657" t="s">
        <v>3</v>
      </c>
      <c r="D657" s="2">
        <v>19103600</v>
      </c>
      <c r="E657" s="2">
        <v>0</v>
      </c>
      <c r="F657" s="2">
        <v>19103600</v>
      </c>
      <c r="G657" s="3">
        <v>1</v>
      </c>
      <c r="H657" t="s">
        <v>3</v>
      </c>
      <c r="I657" t="s">
        <v>60</v>
      </c>
      <c r="J657" t="s">
        <v>361</v>
      </c>
      <c r="K657" t="s">
        <v>362</v>
      </c>
      <c r="L657" t="s">
        <v>3</v>
      </c>
      <c r="M657" t="s">
        <v>8</v>
      </c>
    </row>
    <row r="658" spans="1:13" x14ac:dyDescent="0.25">
      <c r="A658" t="s">
        <v>367</v>
      </c>
      <c r="B658" t="s">
        <v>341</v>
      </c>
      <c r="C658" t="s">
        <v>3</v>
      </c>
      <c r="D658" s="2">
        <v>70141200</v>
      </c>
      <c r="E658" s="2">
        <v>0</v>
      </c>
      <c r="F658" s="2">
        <v>70141200</v>
      </c>
      <c r="G658" s="3">
        <v>1</v>
      </c>
      <c r="H658" t="s">
        <v>3</v>
      </c>
      <c r="I658" t="s">
        <v>342</v>
      </c>
      <c r="J658" t="s">
        <v>424</v>
      </c>
      <c r="K658" t="s">
        <v>425</v>
      </c>
      <c r="L658" t="s">
        <v>3</v>
      </c>
      <c r="M658" t="s">
        <v>8</v>
      </c>
    </row>
    <row r="659" spans="1:13" x14ac:dyDescent="0.25">
      <c r="A659" t="s">
        <v>367</v>
      </c>
      <c r="B659" t="s">
        <v>295</v>
      </c>
      <c r="C659" t="s">
        <v>368</v>
      </c>
      <c r="D659" s="2">
        <v>0</v>
      </c>
      <c r="E659" s="2">
        <v>0</v>
      </c>
      <c r="F659" s="2">
        <v>0</v>
      </c>
      <c r="G659" s="3">
        <v>1</v>
      </c>
      <c r="H659" t="s">
        <v>3</v>
      </c>
      <c r="I659" t="s">
        <v>296</v>
      </c>
      <c r="J659" t="s">
        <v>369</v>
      </c>
      <c r="K659" t="s">
        <v>370</v>
      </c>
      <c r="L659" t="s">
        <v>371</v>
      </c>
      <c r="M659" t="s">
        <v>8</v>
      </c>
    </row>
    <row r="660" spans="1:13" x14ac:dyDescent="0.25">
      <c r="A660" t="s">
        <v>367</v>
      </c>
      <c r="B660" t="s">
        <v>295</v>
      </c>
      <c r="C660" t="s">
        <v>372</v>
      </c>
      <c r="D660" s="2">
        <v>48775200</v>
      </c>
      <c r="E660" s="2">
        <v>5900610</v>
      </c>
      <c r="F660" s="2">
        <v>42874590</v>
      </c>
      <c r="G660" s="3">
        <v>2</v>
      </c>
      <c r="H660" t="s">
        <v>3</v>
      </c>
      <c r="I660" t="s">
        <v>296</v>
      </c>
      <c r="J660" t="s">
        <v>369</v>
      </c>
      <c r="K660" t="s">
        <v>370</v>
      </c>
      <c r="L660" t="s">
        <v>373</v>
      </c>
      <c r="M660" t="s">
        <v>8</v>
      </c>
    </row>
    <row r="661" spans="1:13" x14ac:dyDescent="0.25">
      <c r="A661" t="s">
        <v>367</v>
      </c>
      <c r="B661" t="s">
        <v>295</v>
      </c>
      <c r="C661" t="s">
        <v>374</v>
      </c>
      <c r="D661" s="2">
        <v>500000</v>
      </c>
      <c r="E661" s="2">
        <v>406404.04</v>
      </c>
      <c r="F661" s="2">
        <v>93595.96</v>
      </c>
      <c r="G661" s="3">
        <v>2</v>
      </c>
      <c r="H661" t="s">
        <v>3</v>
      </c>
      <c r="I661" t="s">
        <v>296</v>
      </c>
      <c r="J661" t="s">
        <v>369</v>
      </c>
      <c r="K661" t="s">
        <v>370</v>
      </c>
      <c r="L661" t="s">
        <v>375</v>
      </c>
      <c r="M661" t="s">
        <v>8</v>
      </c>
    </row>
    <row r="662" spans="1:13" x14ac:dyDescent="0.25">
      <c r="A662" t="s">
        <v>367</v>
      </c>
      <c r="B662" t="s">
        <v>295</v>
      </c>
      <c r="C662" t="s">
        <v>376</v>
      </c>
      <c r="D662" s="2">
        <v>500000</v>
      </c>
      <c r="E662" s="2">
        <v>59689.440000000002</v>
      </c>
      <c r="F662" s="2">
        <v>440310.56</v>
      </c>
      <c r="G662" s="3">
        <v>2</v>
      </c>
      <c r="H662" t="s">
        <v>3</v>
      </c>
      <c r="I662" t="s">
        <v>296</v>
      </c>
      <c r="J662" t="s">
        <v>369</v>
      </c>
      <c r="K662" t="s">
        <v>370</v>
      </c>
      <c r="L662" t="s">
        <v>377</v>
      </c>
      <c r="M662" t="s">
        <v>8</v>
      </c>
    </row>
    <row r="663" spans="1:13" x14ac:dyDescent="0.25">
      <c r="A663" t="s">
        <v>367</v>
      </c>
      <c r="B663" t="s">
        <v>295</v>
      </c>
      <c r="C663" t="s">
        <v>378</v>
      </c>
      <c r="D663" s="2">
        <v>400000</v>
      </c>
      <c r="E663" s="2">
        <v>139773.6</v>
      </c>
      <c r="F663" s="2">
        <v>260226.4</v>
      </c>
      <c r="G663" s="3">
        <v>2</v>
      </c>
      <c r="H663" t="s">
        <v>3</v>
      </c>
      <c r="I663" t="s">
        <v>296</v>
      </c>
      <c r="J663" t="s">
        <v>369</v>
      </c>
      <c r="K663" t="s">
        <v>370</v>
      </c>
      <c r="L663" t="s">
        <v>379</v>
      </c>
      <c r="M663" t="s">
        <v>8</v>
      </c>
    </row>
    <row r="664" spans="1:13" x14ac:dyDescent="0.25">
      <c r="A664" t="s">
        <v>367</v>
      </c>
      <c r="B664" t="s">
        <v>295</v>
      </c>
      <c r="C664" t="s">
        <v>380</v>
      </c>
      <c r="D664" s="2">
        <v>300000</v>
      </c>
      <c r="E664" s="2">
        <v>0</v>
      </c>
      <c r="F664" s="2">
        <v>300000</v>
      </c>
      <c r="G664" s="3">
        <v>1</v>
      </c>
      <c r="H664" t="s">
        <v>3</v>
      </c>
      <c r="I664" t="s">
        <v>296</v>
      </c>
      <c r="J664" t="s">
        <v>369</v>
      </c>
      <c r="K664" t="s">
        <v>370</v>
      </c>
      <c r="L664" t="s">
        <v>381</v>
      </c>
      <c r="M664" t="s">
        <v>8</v>
      </c>
    </row>
    <row r="665" spans="1:13" x14ac:dyDescent="0.25">
      <c r="A665" t="s">
        <v>367</v>
      </c>
      <c r="B665" t="s">
        <v>295</v>
      </c>
      <c r="C665" t="s">
        <v>382</v>
      </c>
      <c r="D665" s="2">
        <v>200000</v>
      </c>
      <c r="E665" s="2">
        <v>0</v>
      </c>
      <c r="F665" s="2">
        <v>200000</v>
      </c>
      <c r="G665" s="3">
        <v>1</v>
      </c>
      <c r="H665" t="s">
        <v>3</v>
      </c>
      <c r="I665" t="s">
        <v>296</v>
      </c>
      <c r="J665" t="s">
        <v>369</v>
      </c>
      <c r="K665" t="s">
        <v>370</v>
      </c>
      <c r="L665" t="s">
        <v>383</v>
      </c>
      <c r="M665" t="s">
        <v>8</v>
      </c>
    </row>
    <row r="666" spans="1:13" x14ac:dyDescent="0.25">
      <c r="A666" t="s">
        <v>367</v>
      </c>
      <c r="B666" t="s">
        <v>295</v>
      </c>
      <c r="C666" t="s">
        <v>384</v>
      </c>
      <c r="D666" s="2">
        <v>6000000</v>
      </c>
      <c r="E666" s="2">
        <v>2022233.16</v>
      </c>
      <c r="F666" s="2">
        <v>3977766.84</v>
      </c>
      <c r="G666" s="3">
        <v>2</v>
      </c>
      <c r="H666" t="s">
        <v>3</v>
      </c>
      <c r="I666" t="s">
        <v>296</v>
      </c>
      <c r="J666" t="s">
        <v>369</v>
      </c>
      <c r="K666" t="s">
        <v>370</v>
      </c>
      <c r="L666" t="s">
        <v>385</v>
      </c>
      <c r="M666" t="s">
        <v>8</v>
      </c>
    </row>
    <row r="667" spans="1:13" x14ac:dyDescent="0.25">
      <c r="A667" t="s">
        <v>367</v>
      </c>
      <c r="B667" t="s">
        <v>295</v>
      </c>
      <c r="C667" t="s">
        <v>386</v>
      </c>
      <c r="D667" s="2">
        <v>300000</v>
      </c>
      <c r="E667" s="2">
        <v>0</v>
      </c>
      <c r="F667" s="2">
        <v>300000</v>
      </c>
      <c r="G667" s="3">
        <v>1</v>
      </c>
      <c r="H667" t="s">
        <v>3</v>
      </c>
      <c r="I667" t="s">
        <v>296</v>
      </c>
      <c r="J667" t="s">
        <v>369</v>
      </c>
      <c r="K667" t="s">
        <v>370</v>
      </c>
      <c r="L667" t="s">
        <v>387</v>
      </c>
      <c r="M667" t="s">
        <v>8</v>
      </c>
    </row>
    <row r="668" spans="1:13" x14ac:dyDescent="0.25">
      <c r="A668" t="s">
        <v>367</v>
      </c>
      <c r="B668" t="s">
        <v>295</v>
      </c>
      <c r="C668" t="s">
        <v>388</v>
      </c>
      <c r="D668" s="2">
        <v>300000</v>
      </c>
      <c r="E668" s="2">
        <v>51343.199999999997</v>
      </c>
      <c r="F668" s="2">
        <v>248656.8</v>
      </c>
      <c r="G668" s="3">
        <v>2</v>
      </c>
      <c r="H668" t="s">
        <v>3</v>
      </c>
      <c r="I668" t="s">
        <v>296</v>
      </c>
      <c r="J668" t="s">
        <v>369</v>
      </c>
      <c r="K668" t="s">
        <v>370</v>
      </c>
      <c r="L668" t="s">
        <v>389</v>
      </c>
      <c r="M668" t="s">
        <v>8</v>
      </c>
    </row>
    <row r="669" spans="1:13" x14ac:dyDescent="0.25">
      <c r="A669" t="s">
        <v>367</v>
      </c>
      <c r="B669" t="s">
        <v>295</v>
      </c>
      <c r="C669" t="s">
        <v>390</v>
      </c>
      <c r="D669" s="2">
        <v>200000</v>
      </c>
      <c r="E669" s="2">
        <v>29376</v>
      </c>
      <c r="F669" s="2">
        <v>170624</v>
      </c>
      <c r="G669" s="3">
        <v>2</v>
      </c>
      <c r="H669" t="s">
        <v>3</v>
      </c>
      <c r="I669" t="s">
        <v>296</v>
      </c>
      <c r="J669" t="s">
        <v>369</v>
      </c>
      <c r="K669" t="s">
        <v>370</v>
      </c>
      <c r="L669" t="s">
        <v>391</v>
      </c>
      <c r="M669" t="s">
        <v>8</v>
      </c>
    </row>
    <row r="670" spans="1:13" x14ac:dyDescent="0.25">
      <c r="A670" t="s">
        <v>367</v>
      </c>
      <c r="B670" t="s">
        <v>295</v>
      </c>
      <c r="C670" t="s">
        <v>392</v>
      </c>
      <c r="D670" s="2">
        <v>100000</v>
      </c>
      <c r="E670" s="2">
        <v>0</v>
      </c>
      <c r="F670" s="2">
        <v>100000</v>
      </c>
      <c r="G670" s="3">
        <v>1</v>
      </c>
      <c r="H670" t="s">
        <v>3</v>
      </c>
      <c r="I670" t="s">
        <v>296</v>
      </c>
      <c r="J670" t="s">
        <v>369</v>
      </c>
      <c r="K670" t="s">
        <v>370</v>
      </c>
      <c r="L670" t="s">
        <v>393</v>
      </c>
      <c r="M670" t="s">
        <v>8</v>
      </c>
    </row>
    <row r="671" spans="1:13" x14ac:dyDescent="0.25">
      <c r="A671" t="s">
        <v>367</v>
      </c>
      <c r="B671" t="s">
        <v>295</v>
      </c>
      <c r="C671" t="s">
        <v>394</v>
      </c>
      <c r="D671" s="2">
        <v>100000</v>
      </c>
      <c r="E671" s="2">
        <v>0</v>
      </c>
      <c r="F671" s="2">
        <v>100000</v>
      </c>
      <c r="G671" s="3">
        <v>1</v>
      </c>
      <c r="H671" t="s">
        <v>3</v>
      </c>
      <c r="I671" t="s">
        <v>296</v>
      </c>
      <c r="J671" t="s">
        <v>369</v>
      </c>
      <c r="K671" t="s">
        <v>370</v>
      </c>
      <c r="L671" t="s">
        <v>395</v>
      </c>
      <c r="M671" t="s">
        <v>8</v>
      </c>
    </row>
    <row r="672" spans="1:13" x14ac:dyDescent="0.25">
      <c r="A672" t="s">
        <v>367</v>
      </c>
      <c r="B672" t="s">
        <v>295</v>
      </c>
      <c r="C672" t="s">
        <v>396</v>
      </c>
      <c r="D672" s="2">
        <v>1000000</v>
      </c>
      <c r="E672" s="2">
        <v>0</v>
      </c>
      <c r="F672" s="2">
        <v>1000000</v>
      </c>
      <c r="G672" s="3">
        <v>1</v>
      </c>
      <c r="H672" t="s">
        <v>3</v>
      </c>
      <c r="I672" t="s">
        <v>296</v>
      </c>
      <c r="J672" t="s">
        <v>369</v>
      </c>
      <c r="K672" t="s">
        <v>370</v>
      </c>
      <c r="L672" t="s">
        <v>397</v>
      </c>
      <c r="M672" t="s">
        <v>8</v>
      </c>
    </row>
    <row r="673" spans="1:13" x14ac:dyDescent="0.25">
      <c r="A673" t="s">
        <v>367</v>
      </c>
      <c r="B673" t="s">
        <v>295</v>
      </c>
      <c r="C673" t="s">
        <v>398</v>
      </c>
      <c r="D673" s="2">
        <v>100000</v>
      </c>
      <c r="E673" s="2">
        <v>0</v>
      </c>
      <c r="F673" s="2">
        <v>100000</v>
      </c>
      <c r="G673" s="3">
        <v>1</v>
      </c>
      <c r="H673" t="s">
        <v>3</v>
      </c>
      <c r="I673" t="s">
        <v>296</v>
      </c>
      <c r="J673" t="s">
        <v>369</v>
      </c>
      <c r="K673" t="s">
        <v>370</v>
      </c>
      <c r="L673" t="s">
        <v>399</v>
      </c>
      <c r="M673" t="s">
        <v>8</v>
      </c>
    </row>
    <row r="674" spans="1:13" x14ac:dyDescent="0.25">
      <c r="A674" t="s">
        <v>367</v>
      </c>
      <c r="B674" t="s">
        <v>341</v>
      </c>
      <c r="C674" t="s">
        <v>426</v>
      </c>
      <c r="D674" s="2">
        <v>100000</v>
      </c>
      <c r="E674" s="2">
        <v>0</v>
      </c>
      <c r="F674" s="2">
        <v>100000</v>
      </c>
      <c r="G674" s="3">
        <v>1</v>
      </c>
      <c r="H674" t="s">
        <v>3</v>
      </c>
      <c r="I674" t="s">
        <v>342</v>
      </c>
      <c r="J674" t="s">
        <v>369</v>
      </c>
      <c r="K674" t="s">
        <v>370</v>
      </c>
      <c r="L674" t="s">
        <v>427</v>
      </c>
      <c r="M674" t="s">
        <v>8</v>
      </c>
    </row>
    <row r="675" spans="1:13" x14ac:dyDescent="0.25">
      <c r="A675" t="s">
        <v>367</v>
      </c>
      <c r="B675" t="s">
        <v>341</v>
      </c>
      <c r="C675" t="s">
        <v>428</v>
      </c>
      <c r="D675" s="2">
        <v>8262900</v>
      </c>
      <c r="E675" s="2">
        <v>1214609.25</v>
      </c>
      <c r="F675" s="2">
        <v>7048290.75</v>
      </c>
      <c r="G675" s="3">
        <v>2</v>
      </c>
      <c r="H675" t="s">
        <v>3</v>
      </c>
      <c r="I675" t="s">
        <v>342</v>
      </c>
      <c r="J675" t="s">
        <v>369</v>
      </c>
      <c r="K675" t="s">
        <v>370</v>
      </c>
      <c r="L675" t="s">
        <v>429</v>
      </c>
      <c r="M675" t="s">
        <v>8</v>
      </c>
    </row>
    <row r="676" spans="1:13" x14ac:dyDescent="0.25">
      <c r="A676" t="s">
        <v>367</v>
      </c>
      <c r="B676" t="s">
        <v>341</v>
      </c>
      <c r="C676" t="s">
        <v>430</v>
      </c>
      <c r="D676" s="2">
        <v>1000000</v>
      </c>
      <c r="E676" s="2">
        <v>331548.79999999999</v>
      </c>
      <c r="F676" s="2">
        <v>668451.19999999995</v>
      </c>
      <c r="G676" s="3">
        <v>2</v>
      </c>
      <c r="H676" t="s">
        <v>3</v>
      </c>
      <c r="I676" t="s">
        <v>342</v>
      </c>
      <c r="J676" t="s">
        <v>369</v>
      </c>
      <c r="K676" t="s">
        <v>370</v>
      </c>
      <c r="L676" t="s">
        <v>431</v>
      </c>
      <c r="M676" t="s">
        <v>8</v>
      </c>
    </row>
    <row r="677" spans="1:13" x14ac:dyDescent="0.25">
      <c r="A677" t="s">
        <v>367</v>
      </c>
      <c r="B677" t="s">
        <v>341</v>
      </c>
      <c r="C677" t="s">
        <v>432</v>
      </c>
      <c r="D677" s="2">
        <v>526000</v>
      </c>
      <c r="E677" s="2">
        <v>237755</v>
      </c>
      <c r="F677" s="2">
        <v>288245</v>
      </c>
      <c r="G677" s="3">
        <v>2</v>
      </c>
      <c r="H677" t="s">
        <v>3</v>
      </c>
      <c r="I677" t="s">
        <v>342</v>
      </c>
      <c r="J677" t="s">
        <v>369</v>
      </c>
      <c r="K677" t="s">
        <v>370</v>
      </c>
      <c r="L677" t="s">
        <v>433</v>
      </c>
      <c r="M677" t="s">
        <v>8</v>
      </c>
    </row>
    <row r="678" spans="1:13" x14ac:dyDescent="0.25">
      <c r="A678" t="s">
        <v>367</v>
      </c>
      <c r="B678" t="s">
        <v>341</v>
      </c>
      <c r="C678" t="s">
        <v>434</v>
      </c>
      <c r="D678" s="2">
        <v>520000</v>
      </c>
      <c r="E678" s="2">
        <v>512444</v>
      </c>
      <c r="F678" s="2">
        <v>7556</v>
      </c>
      <c r="G678" s="3">
        <v>2</v>
      </c>
      <c r="H678" t="s">
        <v>3</v>
      </c>
      <c r="I678" t="s">
        <v>342</v>
      </c>
      <c r="J678" t="s">
        <v>369</v>
      </c>
      <c r="K678" t="s">
        <v>370</v>
      </c>
      <c r="L678" t="s">
        <v>435</v>
      </c>
      <c r="M678" t="s">
        <v>8</v>
      </c>
    </row>
    <row r="679" spans="1:13" x14ac:dyDescent="0.25">
      <c r="A679" t="s">
        <v>367</v>
      </c>
      <c r="B679" t="s">
        <v>341</v>
      </c>
      <c r="C679" t="s">
        <v>436</v>
      </c>
      <c r="D679" s="2">
        <v>520000</v>
      </c>
      <c r="E679" s="2">
        <v>0</v>
      </c>
      <c r="F679" s="2">
        <v>520000</v>
      </c>
      <c r="G679" s="3">
        <v>1</v>
      </c>
      <c r="H679" t="s">
        <v>3</v>
      </c>
      <c r="I679" t="s">
        <v>342</v>
      </c>
      <c r="J679" t="s">
        <v>369</v>
      </c>
      <c r="K679" t="s">
        <v>370</v>
      </c>
      <c r="L679" t="s">
        <v>437</v>
      </c>
      <c r="M679" t="s">
        <v>8</v>
      </c>
    </row>
    <row r="680" spans="1:13" x14ac:dyDescent="0.25">
      <c r="A680" t="s">
        <v>367</v>
      </c>
      <c r="B680" t="s">
        <v>341</v>
      </c>
      <c r="C680" t="s">
        <v>748</v>
      </c>
      <c r="D680" s="2">
        <v>437100</v>
      </c>
      <c r="E680" s="2">
        <v>437099</v>
      </c>
      <c r="F680" s="2">
        <v>1</v>
      </c>
      <c r="G680" s="3">
        <v>2</v>
      </c>
      <c r="H680" t="s">
        <v>3</v>
      </c>
      <c r="I680" t="s">
        <v>342</v>
      </c>
      <c r="J680" t="s">
        <v>369</v>
      </c>
      <c r="K680" t="s">
        <v>370</v>
      </c>
      <c r="L680" t="s">
        <v>749</v>
      </c>
      <c r="M680" t="s">
        <v>8</v>
      </c>
    </row>
    <row r="681" spans="1:13" x14ac:dyDescent="0.25">
      <c r="A681" t="s">
        <v>367</v>
      </c>
      <c r="B681" t="s">
        <v>329</v>
      </c>
      <c r="C681" t="s">
        <v>3</v>
      </c>
      <c r="D681" s="2">
        <v>6500000</v>
      </c>
      <c r="E681" s="2">
        <v>0</v>
      </c>
      <c r="F681" s="2">
        <v>6500000</v>
      </c>
      <c r="G681" s="3">
        <v>1</v>
      </c>
      <c r="H681" t="s">
        <v>3</v>
      </c>
      <c r="I681" t="s">
        <v>330</v>
      </c>
      <c r="J681" t="s">
        <v>400</v>
      </c>
      <c r="K681" t="s">
        <v>401</v>
      </c>
      <c r="L681" t="s">
        <v>3</v>
      </c>
      <c r="M681" t="s">
        <v>8</v>
      </c>
    </row>
    <row r="682" spans="1:13" x14ac:dyDescent="0.25">
      <c r="A682" t="s">
        <v>367</v>
      </c>
      <c r="B682" t="s">
        <v>329</v>
      </c>
      <c r="C682" t="s">
        <v>402</v>
      </c>
      <c r="D682" s="2">
        <v>295000</v>
      </c>
      <c r="E682" s="2">
        <v>294030</v>
      </c>
      <c r="F682" s="2">
        <v>970</v>
      </c>
      <c r="G682" s="3">
        <v>2</v>
      </c>
      <c r="H682" t="s">
        <v>3</v>
      </c>
      <c r="I682" t="s">
        <v>330</v>
      </c>
      <c r="J682" t="s">
        <v>369</v>
      </c>
      <c r="K682" t="s">
        <v>370</v>
      </c>
      <c r="L682" t="s">
        <v>403</v>
      </c>
      <c r="M682" t="s">
        <v>8</v>
      </c>
    </row>
    <row r="683" spans="1:13" x14ac:dyDescent="0.25">
      <c r="A683" t="s">
        <v>367</v>
      </c>
      <c r="B683" t="s">
        <v>329</v>
      </c>
      <c r="C683" t="s">
        <v>404</v>
      </c>
      <c r="D683" s="2">
        <v>250000</v>
      </c>
      <c r="E683" s="2">
        <v>180900</v>
      </c>
      <c r="F683" s="2">
        <v>69100</v>
      </c>
      <c r="G683" s="3">
        <v>2</v>
      </c>
      <c r="H683" t="s">
        <v>3</v>
      </c>
      <c r="I683" t="s">
        <v>330</v>
      </c>
      <c r="J683" t="s">
        <v>369</v>
      </c>
      <c r="K683" t="s">
        <v>370</v>
      </c>
      <c r="L683" t="s">
        <v>405</v>
      </c>
      <c r="M683" t="s">
        <v>8</v>
      </c>
    </row>
    <row r="684" spans="1:13" x14ac:dyDescent="0.25">
      <c r="A684" t="s">
        <v>367</v>
      </c>
      <c r="B684" t="s">
        <v>329</v>
      </c>
      <c r="C684" t="s">
        <v>406</v>
      </c>
      <c r="D684" s="2">
        <v>1600000</v>
      </c>
      <c r="E684" s="2">
        <v>581823</v>
      </c>
      <c r="F684" s="2">
        <v>1018177</v>
      </c>
      <c r="G684" s="3">
        <v>2</v>
      </c>
      <c r="H684" t="s">
        <v>3</v>
      </c>
      <c r="I684" t="s">
        <v>330</v>
      </c>
      <c r="J684" t="s">
        <v>369</v>
      </c>
      <c r="K684" t="s">
        <v>370</v>
      </c>
      <c r="L684" t="s">
        <v>407</v>
      </c>
      <c r="M684" t="s">
        <v>8</v>
      </c>
    </row>
    <row r="685" spans="1:13" x14ac:dyDescent="0.25">
      <c r="A685" t="s">
        <v>367</v>
      </c>
      <c r="B685" t="s">
        <v>329</v>
      </c>
      <c r="C685" t="s">
        <v>408</v>
      </c>
      <c r="D685" s="2">
        <v>300000</v>
      </c>
      <c r="E685" s="2">
        <v>165240</v>
      </c>
      <c r="F685" s="2">
        <v>134760</v>
      </c>
      <c r="G685" s="3">
        <v>2</v>
      </c>
      <c r="H685" t="s">
        <v>3</v>
      </c>
      <c r="I685" t="s">
        <v>330</v>
      </c>
      <c r="J685" t="s">
        <v>369</v>
      </c>
      <c r="K685" t="s">
        <v>370</v>
      </c>
      <c r="L685" t="s">
        <v>409</v>
      </c>
      <c r="M685" t="s">
        <v>8</v>
      </c>
    </row>
    <row r="686" spans="1:13" x14ac:dyDescent="0.25">
      <c r="A686" t="s">
        <v>367</v>
      </c>
      <c r="B686" t="s">
        <v>329</v>
      </c>
      <c r="C686" t="s">
        <v>410</v>
      </c>
      <c r="D686" s="2">
        <v>450000</v>
      </c>
      <c r="E686" s="2">
        <v>0</v>
      </c>
      <c r="F686" s="2">
        <v>450000</v>
      </c>
      <c r="G686" s="3">
        <v>1</v>
      </c>
      <c r="H686" t="s">
        <v>3</v>
      </c>
      <c r="I686" t="s">
        <v>330</v>
      </c>
      <c r="J686" t="s">
        <v>369</v>
      </c>
      <c r="K686" t="s">
        <v>370</v>
      </c>
      <c r="L686" t="s">
        <v>411</v>
      </c>
      <c r="M686" t="s">
        <v>8</v>
      </c>
    </row>
    <row r="687" spans="1:13" x14ac:dyDescent="0.25">
      <c r="A687" t="s">
        <v>367</v>
      </c>
      <c r="B687" t="s">
        <v>329</v>
      </c>
      <c r="C687" t="s">
        <v>750</v>
      </c>
      <c r="D687" s="2">
        <v>100000</v>
      </c>
      <c r="E687" s="2">
        <v>0</v>
      </c>
      <c r="F687" s="2">
        <v>100000</v>
      </c>
      <c r="G687" s="3">
        <v>1</v>
      </c>
      <c r="H687" t="s">
        <v>3</v>
      </c>
      <c r="I687" t="s">
        <v>330</v>
      </c>
      <c r="J687" t="s">
        <v>369</v>
      </c>
      <c r="K687" t="s">
        <v>370</v>
      </c>
      <c r="L687" t="s">
        <v>751</v>
      </c>
      <c r="M687" t="s">
        <v>8</v>
      </c>
    </row>
    <row r="688" spans="1:13" x14ac:dyDescent="0.25">
      <c r="A688" t="s">
        <v>367</v>
      </c>
      <c r="B688" t="s">
        <v>329</v>
      </c>
      <c r="C688" t="s">
        <v>412</v>
      </c>
      <c r="D688" s="2">
        <v>100000</v>
      </c>
      <c r="E688" s="2">
        <v>82080</v>
      </c>
      <c r="F688" s="2">
        <v>17920</v>
      </c>
      <c r="G688" s="3">
        <v>2</v>
      </c>
      <c r="H688" t="s">
        <v>3</v>
      </c>
      <c r="I688" t="s">
        <v>330</v>
      </c>
      <c r="J688" t="s">
        <v>369</v>
      </c>
      <c r="K688" t="s">
        <v>370</v>
      </c>
      <c r="L688" t="s">
        <v>413</v>
      </c>
      <c r="M688" t="s">
        <v>8</v>
      </c>
    </row>
    <row r="689" spans="1:13" x14ac:dyDescent="0.25">
      <c r="A689" t="s">
        <v>367</v>
      </c>
      <c r="B689" t="s">
        <v>329</v>
      </c>
      <c r="C689" t="s">
        <v>414</v>
      </c>
      <c r="D689" s="2">
        <v>819000</v>
      </c>
      <c r="E689" s="2">
        <v>0</v>
      </c>
      <c r="F689" s="2">
        <v>819000</v>
      </c>
      <c r="G689" s="3">
        <v>1</v>
      </c>
      <c r="H689" t="s">
        <v>3</v>
      </c>
      <c r="I689" t="s">
        <v>330</v>
      </c>
      <c r="J689" t="s">
        <v>369</v>
      </c>
      <c r="K689" t="s">
        <v>370</v>
      </c>
      <c r="L689" t="s">
        <v>415</v>
      </c>
      <c r="M689" t="s">
        <v>8</v>
      </c>
    </row>
    <row r="690" spans="1:13" x14ac:dyDescent="0.25">
      <c r="A690" t="s">
        <v>367</v>
      </c>
      <c r="B690" t="s">
        <v>329</v>
      </c>
      <c r="C690" t="s">
        <v>416</v>
      </c>
      <c r="D690" s="2">
        <v>1316000</v>
      </c>
      <c r="E690" s="2">
        <v>395502.74</v>
      </c>
      <c r="F690" s="2">
        <v>920497.26</v>
      </c>
      <c r="G690" s="3">
        <v>2</v>
      </c>
      <c r="H690" t="s">
        <v>3</v>
      </c>
      <c r="I690" t="s">
        <v>330</v>
      </c>
      <c r="J690" t="s">
        <v>369</v>
      </c>
      <c r="K690" t="s">
        <v>370</v>
      </c>
      <c r="L690" t="s">
        <v>417</v>
      </c>
      <c r="M690" t="s">
        <v>8</v>
      </c>
    </row>
    <row r="691" spans="1:13" x14ac:dyDescent="0.25">
      <c r="A691" t="s">
        <v>367</v>
      </c>
      <c r="B691" t="s">
        <v>329</v>
      </c>
      <c r="C691" t="s">
        <v>418</v>
      </c>
      <c r="D691" s="2">
        <v>220000</v>
      </c>
      <c r="E691" s="2">
        <v>0</v>
      </c>
      <c r="F691" s="2">
        <v>220000</v>
      </c>
      <c r="G691" s="3">
        <v>1</v>
      </c>
      <c r="H691" t="s">
        <v>3</v>
      </c>
      <c r="I691" t="s">
        <v>330</v>
      </c>
      <c r="J691" t="s">
        <v>369</v>
      </c>
      <c r="K691" t="s">
        <v>370</v>
      </c>
      <c r="L691" t="s">
        <v>419</v>
      </c>
      <c r="M691" t="s">
        <v>8</v>
      </c>
    </row>
    <row r="692" spans="1:13" x14ac:dyDescent="0.25">
      <c r="A692" t="s">
        <v>367</v>
      </c>
      <c r="B692" t="s">
        <v>329</v>
      </c>
      <c r="C692" t="s">
        <v>420</v>
      </c>
      <c r="D692" s="2">
        <v>450000</v>
      </c>
      <c r="E692" s="2">
        <v>0</v>
      </c>
      <c r="F692" s="2">
        <v>450000</v>
      </c>
      <c r="G692" s="3">
        <v>1</v>
      </c>
      <c r="H692" t="s">
        <v>3</v>
      </c>
      <c r="I692" t="s">
        <v>330</v>
      </c>
      <c r="J692" t="s">
        <v>369</v>
      </c>
      <c r="K692" t="s">
        <v>370</v>
      </c>
      <c r="L692" t="s">
        <v>421</v>
      </c>
      <c r="M692" t="s">
        <v>8</v>
      </c>
    </row>
    <row r="693" spans="1:13" x14ac:dyDescent="0.25">
      <c r="A693" t="s">
        <v>367</v>
      </c>
      <c r="B693" t="s">
        <v>329</v>
      </c>
      <c r="C693" t="s">
        <v>422</v>
      </c>
      <c r="D693" s="2">
        <v>600000</v>
      </c>
      <c r="E693" s="2">
        <v>408647.5</v>
      </c>
      <c r="F693" s="2">
        <v>191352.5</v>
      </c>
      <c r="G693" s="3">
        <v>2</v>
      </c>
      <c r="H693" t="s">
        <v>3</v>
      </c>
      <c r="I693" t="s">
        <v>330</v>
      </c>
      <c r="J693" t="s">
        <v>369</v>
      </c>
      <c r="K693" t="s">
        <v>370</v>
      </c>
      <c r="L693" t="s">
        <v>423</v>
      </c>
      <c r="M693" t="s">
        <v>8</v>
      </c>
    </row>
    <row r="694" spans="1:13" x14ac:dyDescent="0.25">
      <c r="D694"/>
    </row>
    <row r="695" spans="1:13" x14ac:dyDescent="0.25">
      <c r="A695" t="s">
        <v>276</v>
      </c>
      <c r="B695" t="s">
        <v>295</v>
      </c>
      <c r="C695" t="s">
        <v>3</v>
      </c>
      <c r="D695" s="2">
        <v>0</v>
      </c>
      <c r="E695" s="2">
        <v>-517063.8</v>
      </c>
      <c r="F695" s="2">
        <v>517063.8</v>
      </c>
      <c r="G695" s="3">
        <v>1</v>
      </c>
      <c r="H695" t="s">
        <v>3</v>
      </c>
      <c r="I695" t="s">
        <v>296</v>
      </c>
      <c r="J695" t="s">
        <v>297</v>
      </c>
      <c r="K695" t="s">
        <v>298</v>
      </c>
      <c r="L695" t="s">
        <v>3</v>
      </c>
      <c r="M695" t="s">
        <v>8</v>
      </c>
    </row>
    <row r="696" spans="1:13" x14ac:dyDescent="0.25">
      <c r="A696" t="s">
        <v>276</v>
      </c>
      <c r="B696" t="s">
        <v>341</v>
      </c>
      <c r="C696" t="s">
        <v>3</v>
      </c>
      <c r="D696" s="2">
        <v>1400000</v>
      </c>
      <c r="E696" s="2">
        <v>942560</v>
      </c>
      <c r="F696" s="2">
        <v>457440</v>
      </c>
      <c r="G696" s="3">
        <v>2</v>
      </c>
      <c r="H696" t="s">
        <v>3</v>
      </c>
      <c r="I696" t="s">
        <v>342</v>
      </c>
      <c r="J696" t="s">
        <v>297</v>
      </c>
      <c r="K696" t="s">
        <v>298</v>
      </c>
      <c r="L696" t="s">
        <v>3</v>
      </c>
      <c r="M696" t="s">
        <v>8</v>
      </c>
    </row>
    <row r="697" spans="1:13" x14ac:dyDescent="0.25">
      <c r="A697" t="s">
        <v>276</v>
      </c>
      <c r="B697" t="s">
        <v>295</v>
      </c>
      <c r="C697" t="s">
        <v>3</v>
      </c>
      <c r="D697" s="2">
        <v>0</v>
      </c>
      <c r="E697" s="2">
        <v>-264716</v>
      </c>
      <c r="F697" s="2">
        <v>264716</v>
      </c>
      <c r="G697" s="3">
        <v>1</v>
      </c>
      <c r="H697" t="s">
        <v>3</v>
      </c>
      <c r="I697" t="s">
        <v>296</v>
      </c>
      <c r="J697" t="s">
        <v>299</v>
      </c>
      <c r="K697" t="s">
        <v>300</v>
      </c>
      <c r="L697" t="s">
        <v>3</v>
      </c>
      <c r="M697" t="s">
        <v>8</v>
      </c>
    </row>
    <row r="698" spans="1:13" x14ac:dyDescent="0.25">
      <c r="A698" t="s">
        <v>276</v>
      </c>
      <c r="B698" t="s">
        <v>341</v>
      </c>
      <c r="C698" t="s">
        <v>3</v>
      </c>
      <c r="D698" s="2">
        <v>544900</v>
      </c>
      <c r="E698" s="2">
        <v>70357</v>
      </c>
      <c r="F698" s="2">
        <v>474543</v>
      </c>
      <c r="G698" s="3">
        <v>2</v>
      </c>
      <c r="H698" t="s">
        <v>3</v>
      </c>
      <c r="I698" t="s">
        <v>342</v>
      </c>
      <c r="J698" t="s">
        <v>299</v>
      </c>
      <c r="K698" t="s">
        <v>300</v>
      </c>
      <c r="L698" t="s">
        <v>3</v>
      </c>
      <c r="M698" t="s">
        <v>8</v>
      </c>
    </row>
    <row r="699" spans="1:13" x14ac:dyDescent="0.25">
      <c r="A699" t="s">
        <v>276</v>
      </c>
      <c r="B699" t="s">
        <v>110</v>
      </c>
      <c r="C699" t="s">
        <v>3</v>
      </c>
      <c r="D699" s="2">
        <v>25400</v>
      </c>
      <c r="E699" s="2">
        <v>25325</v>
      </c>
      <c r="F699" s="2">
        <v>75</v>
      </c>
      <c r="G699" s="3">
        <v>2</v>
      </c>
      <c r="H699" t="s">
        <v>3</v>
      </c>
      <c r="I699" t="s">
        <v>112</v>
      </c>
      <c r="J699" t="s">
        <v>299</v>
      </c>
      <c r="K699" t="s">
        <v>300</v>
      </c>
      <c r="L699" t="s">
        <v>3</v>
      </c>
      <c r="M699" t="s">
        <v>8</v>
      </c>
    </row>
    <row r="700" spans="1:13" x14ac:dyDescent="0.25">
      <c r="A700" t="s">
        <v>276</v>
      </c>
      <c r="B700" t="s">
        <v>119</v>
      </c>
      <c r="C700" t="s">
        <v>3</v>
      </c>
      <c r="D700" s="2">
        <v>89500</v>
      </c>
      <c r="E700" s="2">
        <v>71167.8</v>
      </c>
      <c r="F700" s="2">
        <v>18332.2</v>
      </c>
      <c r="G700" s="3">
        <v>2</v>
      </c>
      <c r="H700" t="s">
        <v>3</v>
      </c>
      <c r="I700" t="s">
        <v>121</v>
      </c>
      <c r="J700" t="s">
        <v>299</v>
      </c>
      <c r="K700" t="s">
        <v>300</v>
      </c>
      <c r="L700" t="s">
        <v>3</v>
      </c>
      <c r="M700" t="s">
        <v>8</v>
      </c>
    </row>
    <row r="701" spans="1:13" x14ac:dyDescent="0.25">
      <c r="A701" t="s">
        <v>276</v>
      </c>
      <c r="B701" t="s">
        <v>127</v>
      </c>
      <c r="C701" t="s">
        <v>3</v>
      </c>
      <c r="D701" s="2">
        <v>12000</v>
      </c>
      <c r="E701" s="2">
        <v>0</v>
      </c>
      <c r="F701" s="2">
        <v>12000</v>
      </c>
      <c r="G701" s="3">
        <v>1</v>
      </c>
      <c r="H701" t="s">
        <v>3</v>
      </c>
      <c r="I701" t="s">
        <v>128</v>
      </c>
      <c r="J701" t="s">
        <v>299</v>
      </c>
      <c r="K701" t="s">
        <v>300</v>
      </c>
      <c r="L701" t="s">
        <v>3</v>
      </c>
      <c r="M701" t="s">
        <v>8</v>
      </c>
    </row>
    <row r="702" spans="1:13" x14ac:dyDescent="0.25">
      <c r="A702" t="s">
        <v>276</v>
      </c>
      <c r="B702" t="s">
        <v>135</v>
      </c>
      <c r="C702" t="s">
        <v>3</v>
      </c>
      <c r="D702" s="2">
        <v>35000</v>
      </c>
      <c r="E702" s="2">
        <v>0</v>
      </c>
      <c r="F702" s="2">
        <v>35000</v>
      </c>
      <c r="G702" s="3">
        <v>1</v>
      </c>
      <c r="H702" t="s">
        <v>3</v>
      </c>
      <c r="I702" t="s">
        <v>137</v>
      </c>
      <c r="J702" t="s">
        <v>299</v>
      </c>
      <c r="K702" t="s">
        <v>300</v>
      </c>
      <c r="L702" t="s">
        <v>3</v>
      </c>
      <c r="M702" t="s">
        <v>8</v>
      </c>
    </row>
    <row r="703" spans="1:13" x14ac:dyDescent="0.25">
      <c r="A703" t="s">
        <v>276</v>
      </c>
      <c r="B703" t="s">
        <v>143</v>
      </c>
      <c r="C703" t="s">
        <v>3</v>
      </c>
      <c r="D703" s="2">
        <v>13000</v>
      </c>
      <c r="E703" s="2">
        <v>0</v>
      </c>
      <c r="F703" s="2">
        <v>13000</v>
      </c>
      <c r="G703" s="3">
        <v>1</v>
      </c>
      <c r="H703" t="s">
        <v>3</v>
      </c>
      <c r="I703" t="s">
        <v>145</v>
      </c>
      <c r="J703" t="s">
        <v>299</v>
      </c>
      <c r="K703" t="s">
        <v>300</v>
      </c>
      <c r="L703" t="s">
        <v>3</v>
      </c>
      <c r="M703" t="s">
        <v>8</v>
      </c>
    </row>
    <row r="704" spans="1:13" x14ac:dyDescent="0.25">
      <c r="A704" t="s">
        <v>276</v>
      </c>
      <c r="B704" t="s">
        <v>151</v>
      </c>
      <c r="C704" t="s">
        <v>3</v>
      </c>
      <c r="D704" s="2">
        <v>49600</v>
      </c>
      <c r="E704" s="2">
        <v>30435</v>
      </c>
      <c r="F704" s="2">
        <v>19165</v>
      </c>
      <c r="G704" s="3">
        <v>2</v>
      </c>
      <c r="H704" t="s">
        <v>3</v>
      </c>
      <c r="I704" t="s">
        <v>153</v>
      </c>
      <c r="J704" t="s">
        <v>299</v>
      </c>
      <c r="K704" t="s">
        <v>300</v>
      </c>
      <c r="L704" t="s">
        <v>3</v>
      </c>
      <c r="M704" t="s">
        <v>8</v>
      </c>
    </row>
    <row r="705" spans="1:13" x14ac:dyDescent="0.25">
      <c r="A705" t="s">
        <v>276</v>
      </c>
      <c r="B705" t="s">
        <v>159</v>
      </c>
      <c r="C705" t="s">
        <v>3</v>
      </c>
      <c r="D705" s="2">
        <v>20000</v>
      </c>
      <c r="E705" s="2">
        <v>0</v>
      </c>
      <c r="F705" s="2">
        <v>20000</v>
      </c>
      <c r="G705" s="3">
        <v>1</v>
      </c>
      <c r="H705" t="s">
        <v>3</v>
      </c>
      <c r="I705" t="s">
        <v>161</v>
      </c>
      <c r="J705" t="s">
        <v>299</v>
      </c>
      <c r="K705" t="s">
        <v>300</v>
      </c>
      <c r="L705" t="s">
        <v>3</v>
      </c>
      <c r="M705" t="s">
        <v>8</v>
      </c>
    </row>
    <row r="706" spans="1:13" x14ac:dyDescent="0.25">
      <c r="A706" t="s">
        <v>276</v>
      </c>
      <c r="B706" t="s">
        <v>170</v>
      </c>
      <c r="C706" t="s">
        <v>3</v>
      </c>
      <c r="D706" s="2">
        <v>20000</v>
      </c>
      <c r="E706" s="2">
        <v>17172</v>
      </c>
      <c r="F706" s="2">
        <v>2828</v>
      </c>
      <c r="G706" s="3">
        <v>2</v>
      </c>
      <c r="H706" t="s">
        <v>3</v>
      </c>
      <c r="I706" t="s">
        <v>172</v>
      </c>
      <c r="J706" t="s">
        <v>299</v>
      </c>
      <c r="K706" t="s">
        <v>300</v>
      </c>
      <c r="L706" t="s">
        <v>3</v>
      </c>
      <c r="M706" t="s">
        <v>8</v>
      </c>
    </row>
    <row r="707" spans="1:13" x14ac:dyDescent="0.25">
      <c r="A707" t="s">
        <v>276</v>
      </c>
      <c r="B707" t="s">
        <v>179</v>
      </c>
      <c r="C707" t="s">
        <v>3</v>
      </c>
      <c r="D707" s="2">
        <v>13000</v>
      </c>
      <c r="E707" s="2">
        <v>13000</v>
      </c>
      <c r="F707" s="2">
        <v>0</v>
      </c>
      <c r="G707" s="3">
        <v>2</v>
      </c>
      <c r="H707" t="s">
        <v>3</v>
      </c>
      <c r="I707" t="s">
        <v>181</v>
      </c>
      <c r="J707" t="s">
        <v>299</v>
      </c>
      <c r="K707" t="s">
        <v>300</v>
      </c>
      <c r="L707" t="s">
        <v>3</v>
      </c>
      <c r="M707" t="s">
        <v>8</v>
      </c>
    </row>
    <row r="708" spans="1:13" x14ac:dyDescent="0.25">
      <c r="A708" t="s">
        <v>276</v>
      </c>
      <c r="B708" t="s">
        <v>198</v>
      </c>
      <c r="C708" t="s">
        <v>3</v>
      </c>
      <c r="D708" s="2">
        <v>30000</v>
      </c>
      <c r="E708" s="2">
        <v>24246.9</v>
      </c>
      <c r="F708" s="2">
        <v>5753.1</v>
      </c>
      <c r="G708" s="3">
        <v>2</v>
      </c>
      <c r="H708" t="s">
        <v>3</v>
      </c>
      <c r="I708" t="s">
        <v>200</v>
      </c>
      <c r="J708" t="s">
        <v>299</v>
      </c>
      <c r="K708" t="s">
        <v>300</v>
      </c>
      <c r="L708" t="s">
        <v>3</v>
      </c>
      <c r="M708" t="s">
        <v>8</v>
      </c>
    </row>
    <row r="709" spans="1:13" x14ac:dyDescent="0.25">
      <c r="A709" t="s">
        <v>276</v>
      </c>
      <c r="B709" t="s">
        <v>214</v>
      </c>
      <c r="C709" t="s">
        <v>3</v>
      </c>
      <c r="D709" s="2">
        <v>3000</v>
      </c>
      <c r="E709" s="2">
        <v>0</v>
      </c>
      <c r="F709" s="2">
        <v>3000</v>
      </c>
      <c r="G709" s="3">
        <v>1</v>
      </c>
      <c r="H709" t="s">
        <v>3</v>
      </c>
      <c r="I709" t="s">
        <v>216</v>
      </c>
      <c r="J709" t="s">
        <v>299</v>
      </c>
      <c r="K709" t="s">
        <v>300</v>
      </c>
      <c r="L709" t="s">
        <v>3</v>
      </c>
      <c r="M709" t="s">
        <v>8</v>
      </c>
    </row>
    <row r="710" spans="1:13" x14ac:dyDescent="0.25">
      <c r="A710" t="s">
        <v>276</v>
      </c>
      <c r="B710" t="s">
        <v>226</v>
      </c>
      <c r="C710" t="s">
        <v>3</v>
      </c>
      <c r="D710" s="2">
        <v>4000</v>
      </c>
      <c r="E710" s="2">
        <v>0</v>
      </c>
      <c r="F710" s="2">
        <v>4000</v>
      </c>
      <c r="G710" s="3">
        <v>1</v>
      </c>
      <c r="H710" t="s">
        <v>3</v>
      </c>
      <c r="I710" t="s">
        <v>228</v>
      </c>
      <c r="J710" t="s">
        <v>299</v>
      </c>
      <c r="K710" t="s">
        <v>300</v>
      </c>
      <c r="L710" t="s">
        <v>3</v>
      </c>
      <c r="M710" t="s">
        <v>8</v>
      </c>
    </row>
    <row r="711" spans="1:13" x14ac:dyDescent="0.25">
      <c r="A711" t="s">
        <v>276</v>
      </c>
      <c r="B711" t="s">
        <v>241</v>
      </c>
      <c r="C711" t="s">
        <v>3</v>
      </c>
      <c r="D711" s="2">
        <v>9100</v>
      </c>
      <c r="E711" s="2">
        <v>3950</v>
      </c>
      <c r="F711" s="2">
        <v>5150</v>
      </c>
      <c r="G711" s="3">
        <v>2</v>
      </c>
      <c r="H711" t="s">
        <v>3</v>
      </c>
      <c r="I711" t="s">
        <v>243</v>
      </c>
      <c r="J711" t="s">
        <v>299</v>
      </c>
      <c r="K711" t="s">
        <v>300</v>
      </c>
      <c r="L711" t="s">
        <v>3</v>
      </c>
      <c r="M711" t="s">
        <v>8</v>
      </c>
    </row>
    <row r="712" spans="1:13" x14ac:dyDescent="0.25">
      <c r="A712" t="s">
        <v>276</v>
      </c>
      <c r="B712" t="s">
        <v>248</v>
      </c>
      <c r="C712" t="s">
        <v>3</v>
      </c>
      <c r="D712" s="2">
        <v>24000</v>
      </c>
      <c r="E712" s="2">
        <v>0</v>
      </c>
      <c r="F712" s="2">
        <v>24000</v>
      </c>
      <c r="G712" s="3">
        <v>1</v>
      </c>
      <c r="H712" t="s">
        <v>3</v>
      </c>
      <c r="I712" t="s">
        <v>250</v>
      </c>
      <c r="J712" t="s">
        <v>299</v>
      </c>
      <c r="K712" t="s">
        <v>300</v>
      </c>
      <c r="L712" t="s">
        <v>3</v>
      </c>
      <c r="M712" t="s">
        <v>8</v>
      </c>
    </row>
    <row r="713" spans="1:13" x14ac:dyDescent="0.25">
      <c r="A713" t="s">
        <v>276</v>
      </c>
      <c r="B713" t="s">
        <v>259</v>
      </c>
      <c r="C713" t="s">
        <v>3</v>
      </c>
      <c r="D713" s="2">
        <v>35000</v>
      </c>
      <c r="E713" s="2">
        <v>0</v>
      </c>
      <c r="F713" s="2">
        <v>35000</v>
      </c>
      <c r="G713" s="3">
        <v>1</v>
      </c>
      <c r="H713" t="s">
        <v>3</v>
      </c>
      <c r="I713" t="s">
        <v>261</v>
      </c>
      <c r="J713" t="s">
        <v>299</v>
      </c>
      <c r="K713" t="s">
        <v>300</v>
      </c>
      <c r="L713" t="s">
        <v>3</v>
      </c>
      <c r="M713" t="s">
        <v>8</v>
      </c>
    </row>
    <row r="714" spans="1:13" x14ac:dyDescent="0.25">
      <c r="A714" t="s">
        <v>276</v>
      </c>
      <c r="B714" t="s">
        <v>268</v>
      </c>
      <c r="C714" t="s">
        <v>3</v>
      </c>
      <c r="D714" s="2">
        <v>6000</v>
      </c>
      <c r="E714" s="2">
        <v>0</v>
      </c>
      <c r="F714" s="2">
        <v>6000</v>
      </c>
      <c r="G714" s="3">
        <v>1</v>
      </c>
      <c r="H714" t="s">
        <v>3</v>
      </c>
      <c r="I714" t="s">
        <v>270</v>
      </c>
      <c r="J714" t="s">
        <v>299</v>
      </c>
      <c r="K714" t="s">
        <v>300</v>
      </c>
      <c r="L714" t="s">
        <v>3</v>
      </c>
      <c r="M714" t="s">
        <v>8</v>
      </c>
    </row>
    <row r="715" spans="1:13" x14ac:dyDescent="0.25">
      <c r="A715" t="s">
        <v>276</v>
      </c>
      <c r="B715" t="s">
        <v>295</v>
      </c>
      <c r="C715" t="s">
        <v>3</v>
      </c>
      <c r="D715" s="2">
        <v>0</v>
      </c>
      <c r="E715" s="2">
        <v>-40000</v>
      </c>
      <c r="F715" s="2">
        <v>40000</v>
      </c>
      <c r="G715" s="3">
        <v>1</v>
      </c>
      <c r="H715" t="s">
        <v>3</v>
      </c>
      <c r="I715" t="s">
        <v>296</v>
      </c>
      <c r="J715" t="s">
        <v>301</v>
      </c>
      <c r="K715" t="s">
        <v>302</v>
      </c>
      <c r="L715" t="s">
        <v>3</v>
      </c>
      <c r="M715" t="s">
        <v>8</v>
      </c>
    </row>
    <row r="716" spans="1:13" x14ac:dyDescent="0.25">
      <c r="A716" t="s">
        <v>276</v>
      </c>
      <c r="B716" t="s">
        <v>295</v>
      </c>
      <c r="C716" t="s">
        <v>3</v>
      </c>
      <c r="D716" s="2">
        <v>17000</v>
      </c>
      <c r="E716" s="2">
        <v>-9526.7199999999993</v>
      </c>
      <c r="F716" s="2">
        <v>26526.720000000001</v>
      </c>
      <c r="G716" s="3">
        <v>2</v>
      </c>
      <c r="H716" t="s">
        <v>3</v>
      </c>
      <c r="I716" t="s">
        <v>296</v>
      </c>
      <c r="J716" t="s">
        <v>303</v>
      </c>
      <c r="K716" t="s">
        <v>304</v>
      </c>
      <c r="L716" t="s">
        <v>3</v>
      </c>
      <c r="M716" t="s">
        <v>8</v>
      </c>
    </row>
    <row r="717" spans="1:13" x14ac:dyDescent="0.25">
      <c r="A717" t="s">
        <v>276</v>
      </c>
      <c r="B717" t="s">
        <v>329</v>
      </c>
      <c r="C717" t="s">
        <v>3</v>
      </c>
      <c r="D717" s="2">
        <v>2733000</v>
      </c>
      <c r="E717" s="2">
        <v>12457.8</v>
      </c>
      <c r="F717" s="2">
        <v>2720542.2</v>
      </c>
      <c r="G717" s="3">
        <v>2</v>
      </c>
      <c r="H717" t="s">
        <v>3</v>
      </c>
      <c r="I717" t="s">
        <v>330</v>
      </c>
      <c r="J717" t="s">
        <v>303</v>
      </c>
      <c r="K717" t="s">
        <v>304</v>
      </c>
      <c r="L717" t="s">
        <v>3</v>
      </c>
      <c r="M717" t="s">
        <v>8</v>
      </c>
    </row>
    <row r="718" spans="1:13" x14ac:dyDescent="0.25">
      <c r="A718" t="s">
        <v>276</v>
      </c>
      <c r="B718" t="s">
        <v>295</v>
      </c>
      <c r="C718" t="s">
        <v>3</v>
      </c>
      <c r="D718" s="2">
        <v>0</v>
      </c>
      <c r="E718" s="2">
        <v>-10080</v>
      </c>
      <c r="F718" s="2">
        <v>10080</v>
      </c>
      <c r="G718" s="3">
        <v>1</v>
      </c>
      <c r="H718" t="s">
        <v>3</v>
      </c>
      <c r="I718" t="s">
        <v>296</v>
      </c>
      <c r="J718" t="s">
        <v>305</v>
      </c>
      <c r="K718" t="s">
        <v>306</v>
      </c>
      <c r="L718" t="s">
        <v>3</v>
      </c>
      <c r="M718" t="s">
        <v>8</v>
      </c>
    </row>
    <row r="719" spans="1:13" x14ac:dyDescent="0.25">
      <c r="A719" t="s">
        <v>276</v>
      </c>
      <c r="B719" t="s">
        <v>341</v>
      </c>
      <c r="C719" t="s">
        <v>3</v>
      </c>
      <c r="D719" s="2">
        <v>136500</v>
      </c>
      <c r="E719" s="2">
        <v>0</v>
      </c>
      <c r="F719" s="2">
        <v>136500</v>
      </c>
      <c r="G719" s="3">
        <v>1</v>
      </c>
      <c r="H719" t="s">
        <v>3</v>
      </c>
      <c r="I719" t="s">
        <v>342</v>
      </c>
      <c r="J719" t="s">
        <v>305</v>
      </c>
      <c r="K719" t="s">
        <v>306</v>
      </c>
      <c r="L719" t="s">
        <v>3</v>
      </c>
      <c r="M719" t="s">
        <v>8</v>
      </c>
    </row>
    <row r="720" spans="1:13" x14ac:dyDescent="0.25">
      <c r="A720" t="s">
        <v>276</v>
      </c>
      <c r="B720" t="s">
        <v>127</v>
      </c>
      <c r="C720" t="s">
        <v>3</v>
      </c>
      <c r="D720" s="2">
        <v>20000</v>
      </c>
      <c r="E720" s="2">
        <v>0</v>
      </c>
      <c r="F720" s="2">
        <v>20000</v>
      </c>
      <c r="G720" s="3">
        <v>1</v>
      </c>
      <c r="H720" t="s">
        <v>3</v>
      </c>
      <c r="I720" t="s">
        <v>128</v>
      </c>
      <c r="J720" t="s">
        <v>305</v>
      </c>
      <c r="K720" t="s">
        <v>306</v>
      </c>
      <c r="L720" t="s">
        <v>3</v>
      </c>
      <c r="M720" t="s">
        <v>8</v>
      </c>
    </row>
    <row r="721" spans="1:13" x14ac:dyDescent="0.25">
      <c r="A721" t="s">
        <v>276</v>
      </c>
      <c r="B721" t="s">
        <v>135</v>
      </c>
      <c r="C721" t="s">
        <v>3</v>
      </c>
      <c r="D721" s="2">
        <v>8000</v>
      </c>
      <c r="E721" s="2">
        <v>7998</v>
      </c>
      <c r="F721" s="2">
        <v>2</v>
      </c>
      <c r="G721" s="3">
        <v>2</v>
      </c>
      <c r="H721" t="s">
        <v>3</v>
      </c>
      <c r="I721" t="s">
        <v>137</v>
      </c>
      <c r="J721" t="s">
        <v>305</v>
      </c>
      <c r="K721" t="s">
        <v>306</v>
      </c>
      <c r="L721" t="s">
        <v>3</v>
      </c>
      <c r="M721" t="s">
        <v>8</v>
      </c>
    </row>
    <row r="722" spans="1:13" x14ac:dyDescent="0.25">
      <c r="A722" t="s">
        <v>276</v>
      </c>
      <c r="B722" t="s">
        <v>151</v>
      </c>
      <c r="C722" t="s">
        <v>3</v>
      </c>
      <c r="D722" s="2">
        <v>5000</v>
      </c>
      <c r="E722" s="2">
        <v>0</v>
      </c>
      <c r="F722" s="2">
        <v>5000</v>
      </c>
      <c r="G722" s="3">
        <v>1</v>
      </c>
      <c r="H722" t="s">
        <v>3</v>
      </c>
      <c r="I722" t="s">
        <v>153</v>
      </c>
      <c r="J722" t="s">
        <v>305</v>
      </c>
      <c r="K722" t="s">
        <v>306</v>
      </c>
      <c r="L722" t="s">
        <v>3</v>
      </c>
      <c r="M722" t="s">
        <v>8</v>
      </c>
    </row>
    <row r="723" spans="1:13" x14ac:dyDescent="0.25">
      <c r="A723" t="s">
        <v>276</v>
      </c>
      <c r="B723" t="s">
        <v>179</v>
      </c>
      <c r="C723" t="s">
        <v>3</v>
      </c>
      <c r="D723" s="2">
        <v>5800</v>
      </c>
      <c r="E723" s="2">
        <v>0</v>
      </c>
      <c r="F723" s="2">
        <v>5800</v>
      </c>
      <c r="G723" s="3">
        <v>1</v>
      </c>
      <c r="H723" t="s">
        <v>3</v>
      </c>
      <c r="I723" t="s">
        <v>181</v>
      </c>
      <c r="J723" t="s">
        <v>305</v>
      </c>
      <c r="K723" t="s">
        <v>306</v>
      </c>
      <c r="L723" t="s">
        <v>3</v>
      </c>
      <c r="M723" t="s">
        <v>8</v>
      </c>
    </row>
    <row r="724" spans="1:13" x14ac:dyDescent="0.25">
      <c r="A724" t="s">
        <v>276</v>
      </c>
      <c r="B724" t="s">
        <v>744</v>
      </c>
      <c r="C724" t="s">
        <v>3</v>
      </c>
      <c r="D724" s="2">
        <v>9100000</v>
      </c>
      <c r="E724" s="2">
        <v>0</v>
      </c>
      <c r="F724" s="2">
        <v>9100000</v>
      </c>
      <c r="G724" s="3">
        <v>1</v>
      </c>
      <c r="H724" t="s">
        <v>3</v>
      </c>
      <c r="I724" t="s">
        <v>746</v>
      </c>
      <c r="J724" t="s">
        <v>546</v>
      </c>
      <c r="K724" t="s">
        <v>752</v>
      </c>
      <c r="L724" t="s">
        <v>3</v>
      </c>
      <c r="M724" t="s">
        <v>8</v>
      </c>
    </row>
  </sheetData>
  <autoFilter ref="A1:M724" xr:uid="{00000000-0001-0000-0000-000000000000}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F61C-8951-4E4D-9BF5-5F8910517BB0}">
  <dimension ref="A1:K37"/>
  <sheetViews>
    <sheetView topLeftCell="D1" workbookViewId="0">
      <selection activeCell="I24" sqref="I24"/>
    </sheetView>
  </sheetViews>
  <sheetFormatPr defaultRowHeight="12.5" x14ac:dyDescent="0.25"/>
  <cols>
    <col min="1" max="1" width="7.1796875" style="20" customWidth="1"/>
    <col min="2" max="2" width="6.453125" style="20" customWidth="1"/>
    <col min="3" max="3" width="12.08984375" customWidth="1"/>
    <col min="4" max="4" width="20.6328125" bestFit="1" customWidth="1"/>
    <col min="5" max="5" width="5.6328125" customWidth="1"/>
    <col min="6" max="6" width="21.54296875" bestFit="1" customWidth="1"/>
    <col min="7" max="7" width="7.7265625" customWidth="1"/>
    <col min="8" max="8" width="19.81640625" bestFit="1" customWidth="1"/>
    <col min="9" max="9" width="24.54296875" customWidth="1"/>
    <col min="10" max="10" width="24.453125" customWidth="1"/>
    <col min="11" max="11" width="31.36328125" bestFit="1" customWidth="1"/>
  </cols>
  <sheetData>
    <row r="1" spans="1:11" x14ac:dyDescent="0.25">
      <c r="A1" s="20" t="s">
        <v>451</v>
      </c>
      <c r="B1" s="20" t="s">
        <v>667</v>
      </c>
      <c r="C1" s="83" t="s">
        <v>664</v>
      </c>
      <c r="D1" s="83" t="s">
        <v>668</v>
      </c>
      <c r="F1" s="83" t="s">
        <v>674</v>
      </c>
      <c r="H1" s="84" t="s">
        <v>514</v>
      </c>
      <c r="I1" s="83" t="s">
        <v>675</v>
      </c>
      <c r="J1" s="73" t="s">
        <v>684</v>
      </c>
      <c r="K1" s="73" t="s">
        <v>685</v>
      </c>
    </row>
    <row r="2" spans="1:11" x14ac:dyDescent="0.25">
      <c r="A2" s="20" t="s">
        <v>666</v>
      </c>
      <c r="B2" s="20">
        <v>1</v>
      </c>
      <c r="C2" t="s">
        <v>665</v>
      </c>
      <c r="D2" t="s">
        <v>669</v>
      </c>
      <c r="E2" t="s">
        <v>677</v>
      </c>
      <c r="F2" t="s">
        <v>670</v>
      </c>
      <c r="H2" t="s">
        <v>350</v>
      </c>
      <c r="I2" t="s">
        <v>350</v>
      </c>
      <c r="J2" t="str">
        <f t="shared" ref="J2:J30" si="0">CONCATENATE(E2,F2)</f>
        <v>H-A.LV</v>
      </c>
    </row>
    <row r="3" spans="1:11" x14ac:dyDescent="0.25">
      <c r="B3" s="20">
        <v>2</v>
      </c>
      <c r="C3" t="s">
        <v>665</v>
      </c>
      <c r="D3" t="s">
        <v>671</v>
      </c>
      <c r="E3" t="s">
        <v>678</v>
      </c>
      <c r="F3" t="s">
        <v>516</v>
      </c>
      <c r="H3" t="s">
        <v>516</v>
      </c>
      <c r="I3" t="s">
        <v>516</v>
      </c>
      <c r="J3" t="str">
        <f t="shared" si="0"/>
        <v>H-B.YP-PK</v>
      </c>
    </row>
    <row r="4" spans="1:11" x14ac:dyDescent="0.25">
      <c r="C4" t="s">
        <v>665</v>
      </c>
      <c r="D4" t="s">
        <v>671</v>
      </c>
      <c r="E4" t="s">
        <v>678</v>
      </c>
      <c r="F4" t="s">
        <v>672</v>
      </c>
      <c r="H4" t="s">
        <v>515</v>
      </c>
      <c r="I4" t="s">
        <v>672</v>
      </c>
      <c r="J4" t="str">
        <f t="shared" si="0"/>
        <v>H-B.YP-PB</v>
      </c>
    </row>
    <row r="5" spans="1:11" x14ac:dyDescent="0.25">
      <c r="B5" s="20">
        <v>3</v>
      </c>
      <c r="C5" t="s">
        <v>665</v>
      </c>
      <c r="D5" t="s">
        <v>673</v>
      </c>
      <c r="E5" t="s">
        <v>679</v>
      </c>
      <c r="F5" t="s">
        <v>582</v>
      </c>
      <c r="H5" t="s">
        <v>517</v>
      </c>
      <c r="I5" t="s">
        <v>517</v>
      </c>
      <c r="J5" t="str">
        <f t="shared" si="0"/>
        <v>H-C.FD</v>
      </c>
    </row>
    <row r="6" spans="1:11" x14ac:dyDescent="0.25">
      <c r="B6" s="20">
        <v>4</v>
      </c>
      <c r="C6" t="s">
        <v>665</v>
      </c>
      <c r="D6" t="s">
        <v>362</v>
      </c>
      <c r="E6" t="s">
        <v>680</v>
      </c>
      <c r="F6" t="s">
        <v>518</v>
      </c>
      <c r="H6" t="s">
        <v>518</v>
      </c>
      <c r="I6" t="s">
        <v>518</v>
      </c>
      <c r="J6" t="str">
        <f t="shared" si="0"/>
        <v>H-D.PK</v>
      </c>
    </row>
    <row r="7" spans="1:11" x14ac:dyDescent="0.25">
      <c r="B7" s="20">
        <v>5</v>
      </c>
      <c r="C7" t="s">
        <v>665</v>
      </c>
      <c r="D7" t="s">
        <v>676</v>
      </c>
      <c r="E7" t="s">
        <v>681</v>
      </c>
      <c r="F7" s="85" t="s">
        <v>686</v>
      </c>
      <c r="H7" t="s">
        <v>519</v>
      </c>
      <c r="I7" s="85" t="s">
        <v>701</v>
      </c>
      <c r="J7" t="str">
        <f t="shared" si="0"/>
        <v>H-E.1.LHUP.YK</v>
      </c>
      <c r="K7" t="str">
        <f>CONCATENATE(J7,I7)</f>
        <v>H-E.1.LHUP.YK-i.YKK</v>
      </c>
    </row>
    <row r="8" spans="1:11" x14ac:dyDescent="0.25">
      <c r="C8" t="s">
        <v>665</v>
      </c>
      <c r="D8" t="s">
        <v>676</v>
      </c>
      <c r="E8" t="s">
        <v>681</v>
      </c>
      <c r="F8" s="85" t="s">
        <v>686</v>
      </c>
      <c r="H8" t="s">
        <v>520</v>
      </c>
      <c r="I8" s="85" t="s">
        <v>702</v>
      </c>
      <c r="J8" t="str">
        <f t="shared" si="0"/>
        <v>H-E.1.LHUP.YK</v>
      </c>
      <c r="K8" t="str">
        <f t="shared" ref="K8:K28" si="1">CONCATENATE(J8,I8)</f>
        <v>H-E.1.LHUP.YK-ii.YKPB</v>
      </c>
    </row>
    <row r="9" spans="1:11" x14ac:dyDescent="0.25">
      <c r="C9" t="s">
        <v>665</v>
      </c>
      <c r="D9" t="s">
        <v>676</v>
      </c>
      <c r="E9" t="s">
        <v>681</v>
      </c>
      <c r="F9" s="85" t="s">
        <v>686</v>
      </c>
      <c r="H9" t="s">
        <v>521</v>
      </c>
      <c r="I9" s="85" t="s">
        <v>710</v>
      </c>
      <c r="J9" t="str">
        <f t="shared" si="0"/>
        <v>H-E.1.LHUP.YK</v>
      </c>
      <c r="K9" t="str">
        <f>CONCATENATE(J9,I9)</f>
        <v>H-E.1.LHUP.YK-iii.YKBS</v>
      </c>
    </row>
    <row r="10" spans="1:11" x14ac:dyDescent="0.25">
      <c r="C10" t="s">
        <v>665</v>
      </c>
      <c r="D10" t="s">
        <v>676</v>
      </c>
      <c r="E10" t="s">
        <v>681</v>
      </c>
      <c r="F10" s="85" t="s">
        <v>686</v>
      </c>
      <c r="H10" t="s">
        <v>523</v>
      </c>
      <c r="I10" s="85" t="s">
        <v>711</v>
      </c>
      <c r="J10" t="str">
        <f t="shared" si="0"/>
        <v>H-E.1.LHUP.YK</v>
      </c>
      <c r="K10" t="str">
        <f>CONCATENATE(J10,I10)</f>
        <v>H-E.1.LHUP.YK-iv.YKKorp</v>
      </c>
    </row>
    <row r="11" spans="1:11" x14ac:dyDescent="0.25">
      <c r="C11" t="s">
        <v>665</v>
      </c>
      <c r="D11" t="s">
        <v>676</v>
      </c>
      <c r="E11" t="s">
        <v>681</v>
      </c>
      <c r="F11" s="85" t="s">
        <v>686</v>
      </c>
      <c r="H11" t="s">
        <v>525</v>
      </c>
      <c r="I11" s="85" t="s">
        <v>712</v>
      </c>
      <c r="J11" t="str">
        <f t="shared" si="0"/>
        <v>H-E.1.LHUP.YK</v>
      </c>
      <c r="K11" t="str">
        <f>CONCATENATE(J11,I11)</f>
        <v>H-E.1.LHUP.YK-v.YKSHEQ</v>
      </c>
    </row>
    <row r="12" spans="1:11" x14ac:dyDescent="0.25">
      <c r="C12" t="s">
        <v>665</v>
      </c>
      <c r="D12" t="s">
        <v>676</v>
      </c>
      <c r="E12" t="s">
        <v>681</v>
      </c>
      <c r="F12" s="85" t="s">
        <v>686</v>
      </c>
      <c r="H12" t="s">
        <v>522</v>
      </c>
      <c r="I12" s="85" t="s">
        <v>713</v>
      </c>
      <c r="J12" t="str">
        <f t="shared" si="0"/>
        <v>H-E.1.LHUP.YK</v>
      </c>
      <c r="K12" t="str">
        <f>CONCATENATE(J12,I12)</f>
        <v>H-E.1.LHUP.YK-vi.YKBB</v>
      </c>
    </row>
    <row r="13" spans="1:11" x14ac:dyDescent="0.25">
      <c r="C13" t="s">
        <v>665</v>
      </c>
      <c r="D13" t="s">
        <v>676</v>
      </c>
      <c r="E13" t="s">
        <v>681</v>
      </c>
      <c r="F13" s="85" t="s">
        <v>686</v>
      </c>
      <c r="H13" t="s">
        <v>524</v>
      </c>
      <c r="I13" s="85" t="s">
        <v>703</v>
      </c>
      <c r="J13" t="str">
        <f t="shared" si="0"/>
        <v>H-E.1.LHUP.YK</v>
      </c>
      <c r="K13" t="str">
        <f t="shared" si="1"/>
        <v>H-E.1.LHUP.YK-vii.LLYK</v>
      </c>
    </row>
    <row r="14" spans="1:11" x14ac:dyDescent="0.25">
      <c r="C14" t="s">
        <v>665</v>
      </c>
      <c r="D14" t="s">
        <v>676</v>
      </c>
      <c r="E14" t="s">
        <v>681</v>
      </c>
      <c r="F14" s="85" t="s">
        <v>687</v>
      </c>
      <c r="H14" t="s">
        <v>528</v>
      </c>
      <c r="I14" s="85" t="s">
        <v>704</v>
      </c>
      <c r="J14" t="str">
        <f t="shared" si="0"/>
        <v>H-E.1.LHUP.VR</v>
      </c>
      <c r="K14" t="str">
        <f t="shared" si="1"/>
        <v>H-E.1.LHUP.VR-i.BI</v>
      </c>
    </row>
    <row r="15" spans="1:11" x14ac:dyDescent="0.25">
      <c r="C15" t="s">
        <v>665</v>
      </c>
      <c r="D15" t="s">
        <v>676</v>
      </c>
      <c r="E15" t="s">
        <v>681</v>
      </c>
      <c r="F15" s="85" t="s">
        <v>687</v>
      </c>
      <c r="H15" t="s">
        <v>529</v>
      </c>
      <c r="I15" s="85" t="s">
        <v>705</v>
      </c>
      <c r="J15" t="str">
        <f t="shared" si="0"/>
        <v>H-E.1.LHUP.VR</v>
      </c>
      <c r="K15" t="str">
        <f t="shared" si="1"/>
        <v>H-E.1.LHUP.VR-ii.BT</v>
      </c>
    </row>
    <row r="16" spans="1:11" x14ac:dyDescent="0.25">
      <c r="C16" t="s">
        <v>665</v>
      </c>
      <c r="D16" t="s">
        <v>676</v>
      </c>
      <c r="E16" t="s">
        <v>681</v>
      </c>
      <c r="F16" s="85" t="s">
        <v>699</v>
      </c>
      <c r="H16" t="s">
        <v>526</v>
      </c>
      <c r="I16" s="85" t="s">
        <v>706</v>
      </c>
      <c r="J16" t="str">
        <f t="shared" si="0"/>
        <v>H-E.2.LHUP.JUAL DOK.</v>
      </c>
      <c r="K16" t="str">
        <f t="shared" si="1"/>
        <v>H-E.2.LHUP.JUAL DOK.-i.DOK.</v>
      </c>
    </row>
    <row r="17" spans="3:11" x14ac:dyDescent="0.25">
      <c r="C17" t="s">
        <v>665</v>
      </c>
      <c r="D17" t="s">
        <v>676</v>
      </c>
      <c r="E17" t="s">
        <v>681</v>
      </c>
      <c r="F17" s="85" t="s">
        <v>699</v>
      </c>
      <c r="H17" t="s">
        <v>527</v>
      </c>
      <c r="I17" s="85" t="s">
        <v>707</v>
      </c>
      <c r="J17" t="str">
        <f t="shared" si="0"/>
        <v>H-E.2.LHUP.JUAL DOK.</v>
      </c>
      <c r="K17" t="str">
        <f t="shared" si="1"/>
        <v>H-E.2.LHUP.JUAL DOK.-ii.TENDER</v>
      </c>
    </row>
    <row r="18" spans="3:11" x14ac:dyDescent="0.25">
      <c r="C18" t="s">
        <v>665</v>
      </c>
      <c r="D18" t="s">
        <v>676</v>
      </c>
      <c r="E18" t="s">
        <v>681</v>
      </c>
      <c r="F18" s="85" t="s">
        <v>700</v>
      </c>
      <c r="H18" t="s">
        <v>533</v>
      </c>
      <c r="I18" s="85" t="s">
        <v>708</v>
      </c>
      <c r="J18" t="str">
        <f t="shared" si="0"/>
        <v>H-E.3.LHUP.SEWA</v>
      </c>
      <c r="K18" t="str">
        <f>CONCATENATE(J18,I18)</f>
        <v>H-E.3.LHUP.SEWA-i.TNH</v>
      </c>
    </row>
    <row r="19" spans="3:11" x14ac:dyDescent="0.25">
      <c r="C19" t="s">
        <v>665</v>
      </c>
      <c r="D19" t="s">
        <v>676</v>
      </c>
      <c r="E19" t="s">
        <v>681</v>
      </c>
      <c r="F19" s="85" t="s">
        <v>700</v>
      </c>
      <c r="H19" t="s">
        <v>532</v>
      </c>
      <c r="I19" s="85" t="s">
        <v>709</v>
      </c>
      <c r="J19" t="str">
        <f t="shared" si="0"/>
        <v>H-E.3.LHUP.SEWA</v>
      </c>
      <c r="K19" t="str">
        <f>CONCATENATE(J19,I19)</f>
        <v>H-E.3.LHUP.SEWA-ii.-BGN</v>
      </c>
    </row>
    <row r="20" spans="3:11" x14ac:dyDescent="0.25">
      <c r="C20" t="s">
        <v>665</v>
      </c>
      <c r="D20" t="s">
        <v>676</v>
      </c>
      <c r="E20" t="s">
        <v>681</v>
      </c>
      <c r="F20" s="85" t="s">
        <v>689</v>
      </c>
      <c r="H20" t="s">
        <v>537</v>
      </c>
      <c r="I20" t="s">
        <v>682</v>
      </c>
      <c r="J20" t="str">
        <f t="shared" si="0"/>
        <v>H-E.4.LHUP.CAJ SEKATAN</v>
      </c>
    </row>
    <row r="21" spans="3:11" x14ac:dyDescent="0.25">
      <c r="C21" t="s">
        <v>665</v>
      </c>
      <c r="D21" t="s">
        <v>676</v>
      </c>
      <c r="E21" t="s">
        <v>681</v>
      </c>
      <c r="F21" s="85" t="s">
        <v>697</v>
      </c>
      <c r="H21" t="s">
        <v>538</v>
      </c>
      <c r="I21" t="s">
        <v>683</v>
      </c>
      <c r="J21" t="str">
        <f t="shared" si="0"/>
        <v>H-E.5.LHUP</v>
      </c>
    </row>
    <row r="22" spans="3:11" x14ac:dyDescent="0.25">
      <c r="C22" t="s">
        <v>665</v>
      </c>
      <c r="D22" t="s">
        <v>676</v>
      </c>
      <c r="E22" t="s">
        <v>681</v>
      </c>
      <c r="F22" s="85" t="s">
        <v>690</v>
      </c>
      <c r="H22" t="s">
        <v>530</v>
      </c>
      <c r="J22" t="str">
        <f t="shared" si="0"/>
        <v>H-E.6.LHUBP.PENALTI</v>
      </c>
    </row>
    <row r="23" spans="3:11" x14ac:dyDescent="0.25">
      <c r="C23" t="s">
        <v>665</v>
      </c>
      <c r="D23" t="s">
        <v>676</v>
      </c>
      <c r="E23" t="s">
        <v>681</v>
      </c>
      <c r="F23" s="85" t="s">
        <v>691</v>
      </c>
      <c r="H23" t="s">
        <v>366</v>
      </c>
      <c r="J23" t="str">
        <f t="shared" si="0"/>
        <v>H-E.7.LHUBP.KOMPAUN</v>
      </c>
    </row>
    <row r="24" spans="3:11" x14ac:dyDescent="0.25">
      <c r="C24" t="s">
        <v>665</v>
      </c>
      <c r="D24" t="s">
        <v>676</v>
      </c>
      <c r="E24" t="s">
        <v>681</v>
      </c>
      <c r="F24" s="85" t="s">
        <v>692</v>
      </c>
      <c r="H24" t="s">
        <v>354</v>
      </c>
      <c r="J24" t="str">
        <f t="shared" si="0"/>
        <v>H-E.8.LHUBP.GERAN</v>
      </c>
    </row>
    <row r="25" spans="3:11" x14ac:dyDescent="0.25">
      <c r="C25" t="s">
        <v>665</v>
      </c>
      <c r="D25" t="s">
        <v>676</v>
      </c>
      <c r="E25" t="s">
        <v>681</v>
      </c>
      <c r="F25" s="85" t="s">
        <v>693</v>
      </c>
      <c r="H25" t="s">
        <v>531</v>
      </c>
      <c r="J25" t="str">
        <f t="shared" si="0"/>
        <v>H-E.9.LHUBP.SUMBGN</v>
      </c>
    </row>
    <row r="26" spans="3:11" x14ac:dyDescent="0.25">
      <c r="C26" t="s">
        <v>665</v>
      </c>
      <c r="D26" t="s">
        <v>676</v>
      </c>
      <c r="E26" t="s">
        <v>681</v>
      </c>
      <c r="F26" s="85" t="s">
        <v>694</v>
      </c>
      <c r="H26" t="s">
        <v>535</v>
      </c>
      <c r="J26" t="str">
        <f t="shared" si="0"/>
        <v>H-E.10.LLH.JUAL ASET</v>
      </c>
    </row>
    <row r="27" spans="3:11" x14ac:dyDescent="0.25">
      <c r="C27" t="s">
        <v>665</v>
      </c>
      <c r="D27" t="s">
        <v>676</v>
      </c>
      <c r="E27" t="s">
        <v>681</v>
      </c>
      <c r="F27" s="85" t="s">
        <v>698</v>
      </c>
      <c r="H27" t="s">
        <v>688</v>
      </c>
      <c r="I27" s="85" t="s">
        <v>714</v>
      </c>
      <c r="J27" t="str">
        <f t="shared" si="0"/>
        <v>H-E.11.LLH.HK/PHR LEVI</v>
      </c>
      <c r="K27" t="str">
        <f t="shared" ref="K27" si="2">CONCATENATE(J27,I27)</f>
        <v>H-E.11.LLH.HK/PHR LEVI-i.PHR LEVI</v>
      </c>
    </row>
    <row r="28" spans="3:11" x14ac:dyDescent="0.25">
      <c r="C28" t="s">
        <v>665</v>
      </c>
      <c r="D28" t="s">
        <v>676</v>
      </c>
      <c r="E28" t="s">
        <v>681</v>
      </c>
      <c r="F28" s="85" t="s">
        <v>698</v>
      </c>
      <c r="H28" t="s">
        <v>539</v>
      </c>
      <c r="I28" s="85" t="s">
        <v>715</v>
      </c>
      <c r="J28" t="str">
        <f t="shared" si="0"/>
        <v>H-E.11.LLH.HK/PHR LEVI</v>
      </c>
      <c r="K28" t="str">
        <f t="shared" si="1"/>
        <v>H-E.11.LLH.HK/PHR LEVI-ii.HK LEVI</v>
      </c>
    </row>
    <row r="29" spans="3:11" x14ac:dyDescent="0.25">
      <c r="C29" t="s">
        <v>665</v>
      </c>
      <c r="D29" t="s">
        <v>676</v>
      </c>
      <c r="E29" t="s">
        <v>681</v>
      </c>
      <c r="F29" s="85" t="s">
        <v>695</v>
      </c>
      <c r="H29" t="s">
        <v>534</v>
      </c>
      <c r="J29" t="str">
        <f t="shared" si="0"/>
        <v>H-E.12.LLH.MUDHARABAH</v>
      </c>
    </row>
    <row r="30" spans="3:11" x14ac:dyDescent="0.25">
      <c r="C30" t="s">
        <v>665</v>
      </c>
      <c r="D30" t="s">
        <v>676</v>
      </c>
      <c r="E30" t="s">
        <v>681</v>
      </c>
      <c r="F30" s="85" t="s">
        <v>696</v>
      </c>
      <c r="H30" t="s">
        <v>348</v>
      </c>
      <c r="J30" t="str">
        <f t="shared" si="0"/>
        <v>H-E.13.LLH</v>
      </c>
    </row>
    <row r="31" spans="3:11" ht="13" thickBot="1" x14ac:dyDescent="0.3">
      <c r="F31" s="85"/>
    </row>
    <row r="32" spans="3:11" ht="13" thickBot="1" x14ac:dyDescent="0.3">
      <c r="J32" s="86" t="s">
        <v>726</v>
      </c>
    </row>
    <row r="33" spans="8:11" x14ac:dyDescent="0.25">
      <c r="H33" t="s">
        <v>719</v>
      </c>
      <c r="I33" t="s">
        <v>722</v>
      </c>
      <c r="J33" t="s">
        <v>723</v>
      </c>
      <c r="K33" t="s">
        <v>716</v>
      </c>
    </row>
    <row r="34" spans="8:11" ht="13" thickBot="1" x14ac:dyDescent="0.3">
      <c r="I34" t="s">
        <v>725</v>
      </c>
      <c r="J34" t="s">
        <v>724</v>
      </c>
      <c r="K34" t="s">
        <v>717</v>
      </c>
    </row>
    <row r="35" spans="8:11" ht="13" thickBot="1" x14ac:dyDescent="0.3">
      <c r="J35" s="86" t="s">
        <v>727</v>
      </c>
    </row>
    <row r="36" spans="8:11" x14ac:dyDescent="0.25">
      <c r="H36" t="s">
        <v>720</v>
      </c>
      <c r="I36" t="s">
        <v>718</v>
      </c>
      <c r="J36" t="s">
        <v>723</v>
      </c>
    </row>
    <row r="37" spans="8:11" x14ac:dyDescent="0.25">
      <c r="I37" t="s">
        <v>717</v>
      </c>
      <c r="J37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42E3-FDAA-42A5-BC11-18F9263DD031}">
  <sheetPr>
    <tabColor rgb="FF92D050"/>
  </sheetPr>
  <dimension ref="A1:AA144"/>
  <sheetViews>
    <sheetView tabSelected="1" zoomScale="85" zoomScaleNormal="85" workbookViewId="0">
      <pane xSplit="8" ySplit="1" topLeftCell="I121" activePane="bottomRight" state="frozen"/>
      <selection pane="topRight" activeCell="H1" sqref="H1"/>
      <selection pane="bottomLeft" activeCell="A2" sqref="A2"/>
      <selection pane="bottomRight" activeCell="L125" sqref="L125"/>
    </sheetView>
  </sheetViews>
  <sheetFormatPr defaultRowHeight="12.5" x14ac:dyDescent="0.25"/>
  <cols>
    <col min="1" max="1" width="6.6328125" customWidth="1"/>
    <col min="2" max="2" width="10.1796875" customWidth="1"/>
    <col min="3" max="3" width="8.08984375" customWidth="1"/>
    <col min="4" max="4" width="10.36328125" style="20" customWidth="1"/>
    <col min="5" max="5" width="11.1796875" customWidth="1"/>
    <col min="6" max="6" width="11.26953125" customWidth="1"/>
    <col min="7" max="7" width="13.81640625" customWidth="1"/>
    <col min="9" max="9" width="14.81640625" style="12" bestFit="1" customWidth="1"/>
    <col min="10" max="15" width="14.81640625" style="55" customWidth="1"/>
    <col min="16" max="16" width="14.81640625" style="138" customWidth="1"/>
    <col min="17" max="17" width="7" style="55" customWidth="1"/>
    <col min="18" max="18" width="14.81640625" style="12" customWidth="1"/>
    <col min="19" max="20" width="16.08984375" style="12" customWidth="1"/>
    <col min="21" max="21" width="10.81640625" style="12" customWidth="1"/>
    <col min="22" max="22" width="9.54296875" style="12" customWidth="1"/>
    <col min="23" max="23" width="14.81640625" style="12" bestFit="1" customWidth="1"/>
    <col min="24" max="24" width="14.81640625" bestFit="1" customWidth="1"/>
    <col min="26" max="26" width="2.7265625" style="20" customWidth="1"/>
    <col min="27" max="27" width="17" style="20" customWidth="1"/>
  </cols>
  <sheetData>
    <row r="1" spans="1:27" ht="26" x14ac:dyDescent="0.25">
      <c r="A1" s="1" t="s">
        <v>438</v>
      </c>
      <c r="B1" s="11" t="s">
        <v>439</v>
      </c>
      <c r="C1" s="11" t="s">
        <v>446</v>
      </c>
      <c r="D1" s="21" t="s">
        <v>447</v>
      </c>
      <c r="E1" s="140" t="s">
        <v>898</v>
      </c>
      <c r="F1" s="28" t="s">
        <v>514</v>
      </c>
      <c r="G1" s="1" t="s">
        <v>448</v>
      </c>
      <c r="H1" s="24" t="s">
        <v>453</v>
      </c>
      <c r="I1" s="25" t="s">
        <v>508</v>
      </c>
      <c r="J1" s="25" t="s">
        <v>840</v>
      </c>
      <c r="K1" s="24" t="s">
        <v>841</v>
      </c>
      <c r="L1" s="22" t="s">
        <v>842</v>
      </c>
      <c r="M1" s="24" t="s">
        <v>843</v>
      </c>
      <c r="N1" s="24" t="s">
        <v>510</v>
      </c>
      <c r="O1" s="24" t="s">
        <v>511</v>
      </c>
      <c r="P1" s="134" t="s">
        <v>536</v>
      </c>
      <c r="Q1" s="93"/>
      <c r="R1" s="25" t="s">
        <v>512</v>
      </c>
      <c r="S1" s="24" t="s">
        <v>509</v>
      </c>
      <c r="T1" s="22" t="s">
        <v>728</v>
      </c>
      <c r="U1" s="24" t="s">
        <v>513</v>
      </c>
      <c r="V1" s="24" t="s">
        <v>510</v>
      </c>
      <c r="W1" s="24" t="s">
        <v>511</v>
      </c>
      <c r="X1" s="25" t="s">
        <v>536</v>
      </c>
      <c r="Z1" s="95" t="s">
        <v>547</v>
      </c>
      <c r="AA1" s="90" t="s">
        <v>844</v>
      </c>
    </row>
    <row r="2" spans="1:27" s="18" customFormat="1" ht="13" x14ac:dyDescent="0.25">
      <c r="A2" s="14"/>
      <c r="B2" s="15"/>
      <c r="C2" s="15"/>
      <c r="D2" s="19"/>
      <c r="F2" s="29"/>
      <c r="G2" s="14"/>
      <c r="H2" s="16"/>
      <c r="I2" s="17"/>
      <c r="J2" s="17"/>
      <c r="K2" s="17"/>
      <c r="L2" s="17"/>
      <c r="M2" s="17"/>
      <c r="N2" s="17"/>
      <c r="O2" s="17"/>
      <c r="P2" s="135"/>
      <c r="Q2" s="17"/>
      <c r="R2" s="17"/>
      <c r="S2" s="16"/>
      <c r="T2" s="16"/>
      <c r="U2" s="16"/>
      <c r="V2" s="16"/>
      <c r="W2" s="16"/>
      <c r="Z2" s="91"/>
      <c r="AA2" s="20" t="s">
        <v>3</v>
      </c>
    </row>
    <row r="3" spans="1:27" x14ac:dyDescent="0.25">
      <c r="A3" t="s">
        <v>276</v>
      </c>
      <c r="B3" t="s">
        <v>9</v>
      </c>
      <c r="C3" t="s">
        <v>11</v>
      </c>
      <c r="D3" s="20" t="s">
        <v>349</v>
      </c>
      <c r="F3" s="30" t="s">
        <v>350</v>
      </c>
      <c r="G3" t="s">
        <v>350</v>
      </c>
      <c r="H3" t="str">
        <f>VLOOKUP(B3,PTJ!D:E,2,0)</f>
        <v>BPLV</v>
      </c>
      <c r="I3" s="12">
        <v>290000000</v>
      </c>
      <c r="J3" s="55">
        <v>145000000</v>
      </c>
      <c r="K3" s="55">
        <v>183542434.19999999</v>
      </c>
      <c r="L3" s="55">
        <v>156519003.5</v>
      </c>
      <c r="M3" s="42">
        <f>K3/J3</f>
        <v>1.2658098910344826</v>
      </c>
      <c r="N3" s="13">
        <f t="shared" ref="N3" si="0">K3/I3</f>
        <v>0.6329049455172413</v>
      </c>
      <c r="O3" s="13">
        <f>K3/L3</f>
        <v>1.1726527137006721</v>
      </c>
      <c r="P3" s="136">
        <f>I3-K3</f>
        <v>106457565.80000001</v>
      </c>
      <c r="R3" s="12">
        <v>72500000</v>
      </c>
      <c r="S3" s="12">
        <v>85455558.950000003</v>
      </c>
      <c r="T3" s="12">
        <v>68409607.650000006</v>
      </c>
      <c r="U3" s="13">
        <f t="shared" ref="U3:U37" si="1">S3/R3</f>
        <v>1.1786973648275862</v>
      </c>
      <c r="V3" s="13">
        <f t="shared" ref="V3:V37" si="2">S3/I3</f>
        <v>0.29467434120689656</v>
      </c>
      <c r="W3" s="13">
        <f>S3/T3</f>
        <v>1.2491748145554522</v>
      </c>
      <c r="X3" s="39">
        <f t="shared" ref="X3:X37" si="3">I3-R3</f>
        <v>217500000</v>
      </c>
      <c r="Z3" s="89" t="s">
        <v>753</v>
      </c>
      <c r="AA3" s="20" t="s">
        <v>754</v>
      </c>
    </row>
    <row r="4" spans="1:27" x14ac:dyDescent="0.25">
      <c r="A4" t="s">
        <v>276</v>
      </c>
      <c r="B4" t="s">
        <v>50</v>
      </c>
      <c r="C4" t="s">
        <v>52</v>
      </c>
      <c r="D4" s="20" t="s">
        <v>355</v>
      </c>
      <c r="F4" t="s">
        <v>515</v>
      </c>
      <c r="G4" t="s">
        <v>356</v>
      </c>
      <c r="H4" t="str">
        <f>VLOOKUP(B4,PTJ!D:E,2,0)</f>
        <v>BPKPB</v>
      </c>
      <c r="I4" s="12">
        <v>48625000</v>
      </c>
      <c r="J4" s="55">
        <v>23000000</v>
      </c>
      <c r="K4" s="55">
        <v>22854695</v>
      </c>
      <c r="L4" s="55">
        <v>20636120</v>
      </c>
      <c r="M4" s="42">
        <f t="shared" ref="M4:M5" si="4">K4/J4</f>
        <v>0.99368239130434788</v>
      </c>
      <c r="N4" s="13">
        <f t="shared" ref="N4:N5" si="5">K4/I4</f>
        <v>0.47001943444730077</v>
      </c>
      <c r="O4" s="13">
        <f t="shared" ref="O4:O6" si="6">K4/L4</f>
        <v>1.1075093089204753</v>
      </c>
      <c r="P4" s="136">
        <f t="shared" ref="P4:P26" si="7">I4-K4</f>
        <v>25770305</v>
      </c>
      <c r="R4" s="12">
        <v>12156200</v>
      </c>
      <c r="S4" s="12">
        <v>9882600</v>
      </c>
      <c r="T4" s="12">
        <v>9687245</v>
      </c>
      <c r="U4" s="13">
        <f t="shared" si="1"/>
        <v>0.81296786824830125</v>
      </c>
      <c r="V4" s="13">
        <f t="shared" si="2"/>
        <v>0.20324113110539846</v>
      </c>
      <c r="W4" s="13">
        <f t="shared" ref="W4:W21" si="8">S4/T4</f>
        <v>1.0201662082459977</v>
      </c>
      <c r="X4" s="39">
        <f t="shared" si="3"/>
        <v>36468800</v>
      </c>
      <c r="Z4" s="89" t="s">
        <v>753</v>
      </c>
      <c r="AA4" s="20" t="s">
        <v>755</v>
      </c>
    </row>
    <row r="5" spans="1:27" x14ac:dyDescent="0.25">
      <c r="A5" t="s">
        <v>276</v>
      </c>
      <c r="B5" t="s">
        <v>50</v>
      </c>
      <c r="C5" t="s">
        <v>52</v>
      </c>
      <c r="D5" s="20" t="s">
        <v>357</v>
      </c>
      <c r="F5" t="s">
        <v>516</v>
      </c>
      <c r="G5" t="s">
        <v>358</v>
      </c>
      <c r="H5" t="str">
        <f>VLOOKUP(B5,PTJ!D:E,2,0)</f>
        <v>BPKPB</v>
      </c>
      <c r="I5" s="12">
        <v>48400000</v>
      </c>
      <c r="J5" s="55">
        <v>25600000</v>
      </c>
      <c r="K5" s="55">
        <v>25519175</v>
      </c>
      <c r="L5" s="55">
        <v>23185065</v>
      </c>
      <c r="M5" s="42">
        <f t="shared" si="4"/>
        <v>0.99684277343750005</v>
      </c>
      <c r="N5" s="13">
        <f t="shared" si="5"/>
        <v>0.52725568181818183</v>
      </c>
      <c r="O5" s="13">
        <f t="shared" si="6"/>
        <v>1.1006729978975689</v>
      </c>
      <c r="P5" s="136">
        <f t="shared" si="7"/>
        <v>22880825</v>
      </c>
      <c r="R5" s="12">
        <v>12100000</v>
      </c>
      <c r="S5" s="12">
        <v>11619225</v>
      </c>
      <c r="T5" s="12">
        <v>10882005</v>
      </c>
      <c r="U5" s="13">
        <f t="shared" si="1"/>
        <v>0.96026652892561981</v>
      </c>
      <c r="V5" s="13">
        <f t="shared" si="2"/>
        <v>0.24006663223140495</v>
      </c>
      <c r="W5" s="13">
        <f t="shared" si="8"/>
        <v>1.0677467066041597</v>
      </c>
      <c r="X5" s="39">
        <f t="shared" si="3"/>
        <v>36300000</v>
      </c>
      <c r="Z5" s="89" t="s">
        <v>753</v>
      </c>
      <c r="AA5" s="20" t="s">
        <v>756</v>
      </c>
    </row>
    <row r="6" spans="1:27" x14ac:dyDescent="0.25">
      <c r="A6" t="s">
        <v>276</v>
      </c>
      <c r="B6" t="s">
        <v>58</v>
      </c>
      <c r="C6" t="s">
        <v>60</v>
      </c>
      <c r="D6" s="20" t="s">
        <v>361</v>
      </c>
      <c r="F6" s="30" t="s">
        <v>518</v>
      </c>
      <c r="G6" t="s">
        <v>362</v>
      </c>
      <c r="H6" t="str">
        <f>VLOOKUP(B6,PTJ!D:E,2,0)</f>
        <v>BLA</v>
      </c>
      <c r="I6" s="12">
        <v>19103600</v>
      </c>
      <c r="J6" s="55">
        <v>10000000</v>
      </c>
      <c r="K6" s="55">
        <v>15481700</v>
      </c>
      <c r="L6" s="55">
        <v>8251490</v>
      </c>
      <c r="M6" s="42">
        <f t="shared" ref="M6" si="9">K6/J6</f>
        <v>1.54817</v>
      </c>
      <c r="N6" s="13">
        <f t="shared" ref="N6" si="10">K6/I6</f>
        <v>0.81040746246780715</v>
      </c>
      <c r="O6" s="13">
        <f t="shared" si="6"/>
        <v>1.8762308383092023</v>
      </c>
      <c r="P6" s="136">
        <f t="shared" si="7"/>
        <v>3621900</v>
      </c>
      <c r="R6" s="12">
        <v>4775900</v>
      </c>
      <c r="S6" s="12">
        <v>7515230</v>
      </c>
      <c r="T6" s="12">
        <v>3565360</v>
      </c>
      <c r="U6" s="13">
        <f t="shared" si="1"/>
        <v>1.5735735672857472</v>
      </c>
      <c r="V6" s="13">
        <f t="shared" si="2"/>
        <v>0.39339339182143679</v>
      </c>
      <c r="W6" s="13">
        <f t="shared" si="8"/>
        <v>2.107846052011578</v>
      </c>
      <c r="X6" s="39">
        <f t="shared" si="3"/>
        <v>14327700</v>
      </c>
      <c r="Z6" s="89" t="s">
        <v>753</v>
      </c>
      <c r="AA6" s="20" t="s">
        <v>757</v>
      </c>
    </row>
    <row r="7" spans="1:27" x14ac:dyDescent="0.25">
      <c r="A7" t="s">
        <v>276</v>
      </c>
      <c r="B7" t="s">
        <v>333</v>
      </c>
      <c r="C7" t="s">
        <v>334</v>
      </c>
      <c r="D7" s="20" t="s">
        <v>339</v>
      </c>
      <c r="F7" s="32" t="s">
        <v>517</v>
      </c>
      <c r="G7" t="s">
        <v>340</v>
      </c>
      <c r="H7" t="str">
        <f>VLOOKUP(B7,PTJ!D:E,2,0)</f>
        <v>BKA</v>
      </c>
      <c r="I7" s="12">
        <v>24782600</v>
      </c>
      <c r="J7" s="55">
        <v>12392600</v>
      </c>
      <c r="K7" s="55">
        <v>13213931.15</v>
      </c>
      <c r="L7" s="55">
        <v>12255022.029999999</v>
      </c>
      <c r="M7" s="42">
        <f t="shared" ref="M7:M25" si="11">K7/J7</f>
        <v>1.0662759348320772</v>
      </c>
      <c r="N7" s="13">
        <f t="shared" ref="N7:N25" si="12">K7/I7</f>
        <v>0.53319390015575441</v>
      </c>
      <c r="O7" s="13">
        <f t="shared" ref="O7:O25" si="13">K7/L7</f>
        <v>1.0782462175631031</v>
      </c>
      <c r="P7" s="136">
        <f t="shared" si="7"/>
        <v>11568668.85</v>
      </c>
      <c r="R7" s="12">
        <v>6195600</v>
      </c>
      <c r="S7" s="12">
        <v>6474873.1600000001</v>
      </c>
      <c r="T7" s="12">
        <v>5947757.1399999997</v>
      </c>
      <c r="U7" s="13">
        <f t="shared" si="1"/>
        <v>1.0450760475175931</v>
      </c>
      <c r="V7" s="13">
        <f t="shared" si="2"/>
        <v>0.26126690339189595</v>
      </c>
      <c r="W7" s="13">
        <f t="shared" si="8"/>
        <v>1.0886243347858013</v>
      </c>
      <c r="X7" s="39">
        <f t="shared" si="3"/>
        <v>18587000</v>
      </c>
      <c r="Z7" s="89" t="s">
        <v>753</v>
      </c>
      <c r="AA7" s="20" t="s">
        <v>758</v>
      </c>
    </row>
    <row r="8" spans="1:27" x14ac:dyDescent="0.25">
      <c r="A8" t="s">
        <v>276</v>
      </c>
      <c r="B8" t="s">
        <v>110</v>
      </c>
      <c r="C8" t="s">
        <v>112</v>
      </c>
      <c r="D8" s="20" t="s">
        <v>339</v>
      </c>
      <c r="F8" s="32" t="s">
        <v>517</v>
      </c>
      <c r="G8" t="s">
        <v>340</v>
      </c>
      <c r="H8" t="str">
        <f>VLOOKUP(B8,PTJ!D:E,2,0)</f>
        <v>PL</v>
      </c>
      <c r="I8" s="12">
        <v>100</v>
      </c>
      <c r="J8" s="12">
        <v>100</v>
      </c>
      <c r="K8" s="55">
        <v>28.57</v>
      </c>
      <c r="L8" s="55">
        <v>28.29</v>
      </c>
      <c r="M8" s="42">
        <f t="shared" si="11"/>
        <v>0.28570000000000001</v>
      </c>
      <c r="N8" s="13">
        <f t="shared" si="12"/>
        <v>0.28570000000000001</v>
      </c>
      <c r="O8" s="13">
        <f t="shared" si="13"/>
        <v>1.0098974902792506</v>
      </c>
      <c r="P8" s="136">
        <f t="shared" si="7"/>
        <v>71.430000000000007</v>
      </c>
      <c r="R8" s="12">
        <v>100</v>
      </c>
      <c r="S8" s="12">
        <v>11.96</v>
      </c>
      <c r="T8" s="12">
        <v>15.47</v>
      </c>
      <c r="U8" s="13">
        <f t="shared" si="1"/>
        <v>0.11960000000000001</v>
      </c>
      <c r="V8" s="13">
        <f t="shared" si="2"/>
        <v>0.11960000000000001</v>
      </c>
      <c r="W8" s="13">
        <f t="shared" si="8"/>
        <v>0.77310924369747902</v>
      </c>
      <c r="X8" s="39">
        <f t="shared" si="3"/>
        <v>0</v>
      </c>
      <c r="Z8" s="89" t="s">
        <v>753</v>
      </c>
      <c r="AA8" s="20" t="s">
        <v>759</v>
      </c>
    </row>
    <row r="9" spans="1:27" x14ac:dyDescent="0.25">
      <c r="A9" t="s">
        <v>276</v>
      </c>
      <c r="B9" t="s">
        <v>119</v>
      </c>
      <c r="C9" t="s">
        <v>121</v>
      </c>
      <c r="D9" s="20" t="s">
        <v>339</v>
      </c>
      <c r="F9" s="32" t="s">
        <v>517</v>
      </c>
      <c r="G9" t="s">
        <v>340</v>
      </c>
      <c r="H9" t="str">
        <f>VLOOKUP(B9,PTJ!D:E,2,0)</f>
        <v>KD</v>
      </c>
      <c r="I9" s="12">
        <v>3200</v>
      </c>
      <c r="J9" s="12">
        <v>1000</v>
      </c>
      <c r="K9" s="55">
        <v>948.49</v>
      </c>
      <c r="L9" s="55">
        <v>1653.14</v>
      </c>
      <c r="M9" s="42">
        <f t="shared" si="11"/>
        <v>0.94849000000000006</v>
      </c>
      <c r="N9" s="13">
        <f t="shared" si="12"/>
        <v>0.29640312499999999</v>
      </c>
      <c r="O9" s="13">
        <f t="shared" si="13"/>
        <v>0.57375055954123666</v>
      </c>
      <c r="P9" s="136">
        <f t="shared" si="7"/>
        <v>2251.5100000000002</v>
      </c>
      <c r="R9" s="12">
        <v>800</v>
      </c>
      <c r="S9" s="12">
        <v>152.63999999999999</v>
      </c>
      <c r="T9" s="12">
        <v>774.91</v>
      </c>
      <c r="U9" s="13">
        <f t="shared" si="1"/>
        <v>0.19079999999999997</v>
      </c>
      <c r="V9" s="13">
        <f t="shared" si="2"/>
        <v>4.7699999999999992E-2</v>
      </c>
      <c r="W9" s="13">
        <f t="shared" si="8"/>
        <v>0.19697771354092733</v>
      </c>
      <c r="X9" s="39">
        <f t="shared" si="3"/>
        <v>2400</v>
      </c>
      <c r="Z9" s="89" t="s">
        <v>753</v>
      </c>
      <c r="AA9" s="20" t="s">
        <v>760</v>
      </c>
    </row>
    <row r="10" spans="1:27" x14ac:dyDescent="0.25">
      <c r="A10" t="s">
        <v>276</v>
      </c>
      <c r="B10" t="s">
        <v>127</v>
      </c>
      <c r="C10" t="s">
        <v>128</v>
      </c>
      <c r="D10" s="20" t="s">
        <v>339</v>
      </c>
      <c r="F10" s="32" t="s">
        <v>517</v>
      </c>
      <c r="G10" t="s">
        <v>340</v>
      </c>
      <c r="H10" t="str">
        <f>VLOOKUP(B10,PTJ!D:E,2,0)</f>
        <v>PP</v>
      </c>
      <c r="I10" s="12">
        <v>600</v>
      </c>
      <c r="J10" s="12">
        <v>300</v>
      </c>
      <c r="K10" s="55">
        <v>213.49</v>
      </c>
      <c r="L10" s="55">
        <v>290.11</v>
      </c>
      <c r="M10" s="42">
        <f t="shared" si="11"/>
        <v>0.71163333333333334</v>
      </c>
      <c r="N10" s="13">
        <f t="shared" si="12"/>
        <v>0.35581666666666667</v>
      </c>
      <c r="O10" s="13">
        <f t="shared" si="13"/>
        <v>0.73589328185860536</v>
      </c>
      <c r="P10" s="136">
        <f t="shared" si="7"/>
        <v>386.51</v>
      </c>
      <c r="R10" s="12">
        <v>200</v>
      </c>
      <c r="S10" s="12">
        <v>191.77</v>
      </c>
      <c r="T10" s="12">
        <v>178.44</v>
      </c>
      <c r="U10" s="13">
        <f t="shared" si="1"/>
        <v>0.95885000000000009</v>
      </c>
      <c r="V10" s="13">
        <f t="shared" si="2"/>
        <v>0.31961666666666666</v>
      </c>
      <c r="W10" s="13">
        <f t="shared" si="8"/>
        <v>1.0747029813943063</v>
      </c>
      <c r="X10" s="39">
        <f t="shared" si="3"/>
        <v>400</v>
      </c>
      <c r="Z10" s="89" t="s">
        <v>753</v>
      </c>
      <c r="AA10" s="20" t="s">
        <v>761</v>
      </c>
    </row>
    <row r="11" spans="1:27" x14ac:dyDescent="0.25">
      <c r="A11" t="s">
        <v>276</v>
      </c>
      <c r="B11" t="s">
        <v>143</v>
      </c>
      <c r="C11" t="s">
        <v>145</v>
      </c>
      <c r="D11" s="20" t="s">
        <v>339</v>
      </c>
      <c r="F11" s="32" t="s">
        <v>517</v>
      </c>
      <c r="G11" t="s">
        <v>340</v>
      </c>
      <c r="H11" t="str">
        <f>VLOOKUP(B11,PTJ!D:E,2,0)</f>
        <v>SL</v>
      </c>
      <c r="I11" s="12">
        <v>1600</v>
      </c>
      <c r="J11" s="12">
        <v>500</v>
      </c>
      <c r="K11" s="55">
        <v>439.78</v>
      </c>
      <c r="L11" s="55">
        <v>1198.2</v>
      </c>
      <c r="M11" s="42">
        <f t="shared" si="11"/>
        <v>0.8795599999999999</v>
      </c>
      <c r="N11" s="13">
        <f t="shared" si="12"/>
        <v>0.27486250000000001</v>
      </c>
      <c r="O11" s="13">
        <f t="shared" si="13"/>
        <v>0.36703388415957267</v>
      </c>
      <c r="P11" s="136">
        <f t="shared" si="7"/>
        <v>1160.22</v>
      </c>
      <c r="R11" s="12">
        <v>400</v>
      </c>
      <c r="S11" s="12">
        <v>187.77</v>
      </c>
      <c r="T11" s="12">
        <v>717.32</v>
      </c>
      <c r="U11" s="13">
        <f t="shared" si="1"/>
        <v>0.46942500000000004</v>
      </c>
      <c r="V11" s="13">
        <f t="shared" si="2"/>
        <v>0.11735625000000001</v>
      </c>
      <c r="W11" s="13">
        <f t="shared" si="8"/>
        <v>0.26176601795572407</v>
      </c>
      <c r="X11" s="39">
        <f t="shared" si="3"/>
        <v>1200</v>
      </c>
      <c r="Z11" s="89" t="s">
        <v>753</v>
      </c>
      <c r="AA11" s="20" t="s">
        <v>762</v>
      </c>
    </row>
    <row r="12" spans="1:27" x14ac:dyDescent="0.25">
      <c r="A12" t="s">
        <v>276</v>
      </c>
      <c r="B12" t="s">
        <v>151</v>
      </c>
      <c r="C12" t="s">
        <v>153</v>
      </c>
      <c r="D12" s="20" t="s">
        <v>339</v>
      </c>
      <c r="F12" s="32" t="s">
        <v>517</v>
      </c>
      <c r="G12" t="s">
        <v>340</v>
      </c>
      <c r="H12" t="str">
        <f>VLOOKUP(B12,PTJ!D:E,2,0)</f>
        <v>WP</v>
      </c>
      <c r="I12" s="12">
        <v>1500</v>
      </c>
      <c r="J12" s="12">
        <v>600</v>
      </c>
      <c r="K12" s="55">
        <v>521.41999999999996</v>
      </c>
      <c r="L12" s="55">
        <v>882.19</v>
      </c>
      <c r="M12" s="42">
        <f t="shared" si="11"/>
        <v>0.86903333333333321</v>
      </c>
      <c r="N12" s="13">
        <f t="shared" si="12"/>
        <v>0.34761333333333333</v>
      </c>
      <c r="O12" s="13">
        <f t="shared" si="13"/>
        <v>0.59105181423502862</v>
      </c>
      <c r="P12" s="136">
        <f t="shared" si="7"/>
        <v>978.58</v>
      </c>
      <c r="R12" s="12">
        <v>300</v>
      </c>
      <c r="S12" s="12">
        <v>263.44</v>
      </c>
      <c r="T12" s="12">
        <v>349.71</v>
      </c>
      <c r="U12" s="13">
        <f t="shared" si="1"/>
        <v>0.87813333333333332</v>
      </c>
      <c r="V12" s="13">
        <f t="shared" si="2"/>
        <v>0.17562666666666665</v>
      </c>
      <c r="W12" s="13">
        <f t="shared" si="8"/>
        <v>0.75330988533356213</v>
      </c>
      <c r="X12" s="39">
        <f t="shared" si="3"/>
        <v>1200</v>
      </c>
      <c r="Z12" s="89" t="s">
        <v>753</v>
      </c>
      <c r="AA12" s="20" t="s">
        <v>763</v>
      </c>
    </row>
    <row r="13" spans="1:27" x14ac:dyDescent="0.25">
      <c r="A13" t="s">
        <v>276</v>
      </c>
      <c r="B13" t="s">
        <v>159</v>
      </c>
      <c r="C13" t="s">
        <v>161</v>
      </c>
      <c r="D13" s="20" t="s">
        <v>339</v>
      </c>
      <c r="F13" s="32" t="s">
        <v>517</v>
      </c>
      <c r="G13" t="s">
        <v>340</v>
      </c>
      <c r="H13" t="str">
        <f>VLOOKUP(B13,PTJ!D:E,2,0)</f>
        <v>NS</v>
      </c>
      <c r="I13" s="12">
        <v>200</v>
      </c>
      <c r="J13" s="12">
        <v>100</v>
      </c>
      <c r="K13" s="55">
        <v>13.76</v>
      </c>
      <c r="L13" s="55">
        <v>54.89</v>
      </c>
      <c r="M13" s="42">
        <f t="shared" si="11"/>
        <v>0.1376</v>
      </c>
      <c r="N13" s="13">
        <f t="shared" si="12"/>
        <v>6.88E-2</v>
      </c>
      <c r="O13" s="13">
        <f t="shared" si="13"/>
        <v>0.25068318455092004</v>
      </c>
      <c r="P13" s="136">
        <f t="shared" si="7"/>
        <v>186.24</v>
      </c>
      <c r="R13" s="12">
        <v>100</v>
      </c>
      <c r="S13" s="12">
        <v>11.5</v>
      </c>
      <c r="T13" s="12">
        <v>35.770000000000003</v>
      </c>
      <c r="U13" s="13">
        <f t="shared" si="1"/>
        <v>0.115</v>
      </c>
      <c r="V13" s="13">
        <f t="shared" si="2"/>
        <v>5.7500000000000002E-2</v>
      </c>
      <c r="W13" s="13">
        <f t="shared" si="8"/>
        <v>0.32149846239865809</v>
      </c>
      <c r="X13" s="39">
        <f t="shared" si="3"/>
        <v>100</v>
      </c>
      <c r="Z13" s="89" t="s">
        <v>753</v>
      </c>
      <c r="AA13" s="20" t="s">
        <v>764</v>
      </c>
    </row>
    <row r="14" spans="1:27" x14ac:dyDescent="0.25">
      <c r="A14" t="s">
        <v>276</v>
      </c>
      <c r="B14" t="s">
        <v>170</v>
      </c>
      <c r="C14" t="s">
        <v>172</v>
      </c>
      <c r="D14" s="20" t="s">
        <v>339</v>
      </c>
      <c r="F14" s="32" t="s">
        <v>517</v>
      </c>
      <c r="G14" t="s">
        <v>340</v>
      </c>
      <c r="H14" t="str">
        <f>VLOOKUP(B14,PTJ!D:E,2,0)</f>
        <v>ML</v>
      </c>
      <c r="I14" s="12">
        <v>600</v>
      </c>
      <c r="J14" s="12">
        <v>200</v>
      </c>
      <c r="K14" s="55">
        <v>156.81</v>
      </c>
      <c r="L14" s="55">
        <v>367.29</v>
      </c>
      <c r="M14" s="42">
        <f t="shared" si="11"/>
        <v>0.78405000000000002</v>
      </c>
      <c r="N14" s="13">
        <f t="shared" si="12"/>
        <v>0.26135000000000003</v>
      </c>
      <c r="O14" s="13">
        <f t="shared" si="13"/>
        <v>0.42693784203218166</v>
      </c>
      <c r="P14" s="136">
        <f t="shared" si="7"/>
        <v>443.19</v>
      </c>
      <c r="R14" s="12">
        <v>200</v>
      </c>
      <c r="S14" s="12">
        <v>156.81</v>
      </c>
      <c r="T14" s="12">
        <v>225.18</v>
      </c>
      <c r="U14" s="13">
        <f t="shared" si="1"/>
        <v>0.78405000000000002</v>
      </c>
      <c r="V14" s="13">
        <f t="shared" si="2"/>
        <v>0.26135000000000003</v>
      </c>
      <c r="W14" s="13">
        <f t="shared" si="8"/>
        <v>0.69637623234745538</v>
      </c>
      <c r="X14" s="39">
        <f t="shared" si="3"/>
        <v>400</v>
      </c>
      <c r="Z14" s="89" t="s">
        <v>753</v>
      </c>
      <c r="AA14" s="20" t="s">
        <v>765</v>
      </c>
    </row>
    <row r="15" spans="1:27" x14ac:dyDescent="0.25">
      <c r="A15" t="s">
        <v>276</v>
      </c>
      <c r="B15" t="s">
        <v>179</v>
      </c>
      <c r="C15" t="s">
        <v>181</v>
      </c>
      <c r="D15" s="20" t="s">
        <v>339</v>
      </c>
      <c r="F15" s="32" t="s">
        <v>517</v>
      </c>
      <c r="G15" t="s">
        <v>340</v>
      </c>
      <c r="H15" t="str">
        <f>VLOOKUP(B15,PTJ!D:E,2,0)</f>
        <v>JH</v>
      </c>
      <c r="I15" s="12">
        <v>2100</v>
      </c>
      <c r="J15" s="12">
        <v>1000</v>
      </c>
      <c r="K15" s="55">
        <v>854.56</v>
      </c>
      <c r="L15" s="55">
        <v>1156.07</v>
      </c>
      <c r="M15" s="42">
        <f t="shared" si="11"/>
        <v>0.85455999999999999</v>
      </c>
      <c r="N15" s="13">
        <f t="shared" si="12"/>
        <v>0.40693333333333331</v>
      </c>
      <c r="O15" s="13">
        <f t="shared" si="13"/>
        <v>0.73919399344330361</v>
      </c>
      <c r="P15" s="136">
        <f t="shared" si="7"/>
        <v>1245.44</v>
      </c>
      <c r="R15" s="12">
        <v>500</v>
      </c>
      <c r="S15" s="12">
        <v>195.36</v>
      </c>
      <c r="T15" s="12">
        <v>581.80999999999995</v>
      </c>
      <c r="U15" s="13">
        <f t="shared" si="1"/>
        <v>0.39072000000000001</v>
      </c>
      <c r="V15" s="13">
        <f t="shared" si="2"/>
        <v>9.3028571428571433E-2</v>
      </c>
      <c r="W15" s="13">
        <f t="shared" si="8"/>
        <v>0.33577972190233929</v>
      </c>
      <c r="X15" s="39">
        <f t="shared" si="3"/>
        <v>1600</v>
      </c>
      <c r="Z15" s="89" t="s">
        <v>753</v>
      </c>
      <c r="AA15" s="20" t="s">
        <v>766</v>
      </c>
    </row>
    <row r="16" spans="1:27" x14ac:dyDescent="0.25">
      <c r="A16" t="s">
        <v>276</v>
      </c>
      <c r="B16" t="s">
        <v>189</v>
      </c>
      <c r="C16" t="s">
        <v>191</v>
      </c>
      <c r="D16" s="20" t="s">
        <v>339</v>
      </c>
      <c r="F16" s="32" t="s">
        <v>517</v>
      </c>
      <c r="G16" t="s">
        <v>340</v>
      </c>
      <c r="H16" t="str">
        <f>VLOOKUP(B16,PTJ!D:E,2,0)</f>
        <v>PH</v>
      </c>
      <c r="I16" s="12">
        <v>800</v>
      </c>
      <c r="J16" s="12">
        <v>500</v>
      </c>
      <c r="K16" s="55">
        <v>419.05</v>
      </c>
      <c r="L16" s="55">
        <v>409.39</v>
      </c>
      <c r="M16" s="42">
        <f t="shared" si="11"/>
        <v>0.83810000000000007</v>
      </c>
      <c r="N16" s="13">
        <f t="shared" si="12"/>
        <v>0.52381250000000001</v>
      </c>
      <c r="O16" s="13">
        <f t="shared" si="13"/>
        <v>1.0235960819756222</v>
      </c>
      <c r="P16" s="136">
        <f t="shared" si="7"/>
        <v>380.95</v>
      </c>
      <c r="R16" s="12">
        <v>200</v>
      </c>
      <c r="S16" s="12">
        <v>282.49</v>
      </c>
      <c r="T16" s="12">
        <v>209.78</v>
      </c>
      <c r="U16" s="13">
        <f t="shared" si="1"/>
        <v>1.41245</v>
      </c>
      <c r="V16" s="13">
        <f t="shared" si="2"/>
        <v>0.3531125</v>
      </c>
      <c r="W16" s="13">
        <f t="shared" si="8"/>
        <v>1.3466012012584614</v>
      </c>
      <c r="X16" s="39">
        <f t="shared" si="3"/>
        <v>600</v>
      </c>
      <c r="Z16" s="89" t="s">
        <v>753</v>
      </c>
      <c r="AA16" s="20" t="s">
        <v>767</v>
      </c>
    </row>
    <row r="17" spans="1:27" x14ac:dyDescent="0.25">
      <c r="A17" t="s">
        <v>276</v>
      </c>
      <c r="B17" t="s">
        <v>206</v>
      </c>
      <c r="C17" t="s">
        <v>208</v>
      </c>
      <c r="D17" s="20" t="s">
        <v>339</v>
      </c>
      <c r="F17" s="32" t="s">
        <v>517</v>
      </c>
      <c r="G17" t="s">
        <v>340</v>
      </c>
      <c r="H17" t="str">
        <f>VLOOKUP(B17,PTJ!D:E,2,0)</f>
        <v>KN</v>
      </c>
      <c r="I17" s="12">
        <v>900</v>
      </c>
      <c r="J17" s="12">
        <v>400</v>
      </c>
      <c r="K17" s="55">
        <v>394.74</v>
      </c>
      <c r="L17" s="55">
        <v>455.57</v>
      </c>
      <c r="M17" s="42">
        <f t="shared" si="11"/>
        <v>0.98685</v>
      </c>
      <c r="N17" s="13">
        <f t="shared" si="12"/>
        <v>0.43859999999999999</v>
      </c>
      <c r="O17" s="13">
        <f t="shared" si="13"/>
        <v>0.86647496542792546</v>
      </c>
      <c r="P17" s="136">
        <f t="shared" si="7"/>
        <v>505.26</v>
      </c>
      <c r="R17" s="12">
        <v>300</v>
      </c>
      <c r="S17" s="12">
        <v>221.44</v>
      </c>
      <c r="T17" s="12">
        <v>227.37</v>
      </c>
      <c r="U17" s="13">
        <f t="shared" si="1"/>
        <v>0.73813333333333331</v>
      </c>
      <c r="V17" s="13">
        <f t="shared" si="2"/>
        <v>0.24604444444444445</v>
      </c>
      <c r="W17" s="13">
        <f t="shared" si="8"/>
        <v>0.97391916259840783</v>
      </c>
      <c r="X17" s="39">
        <f t="shared" si="3"/>
        <v>600</v>
      </c>
      <c r="Z17" s="89" t="s">
        <v>753</v>
      </c>
      <c r="AA17" s="20" t="s">
        <v>768</v>
      </c>
    </row>
    <row r="18" spans="1:27" x14ac:dyDescent="0.25">
      <c r="A18" t="s">
        <v>276</v>
      </c>
      <c r="B18" t="s">
        <v>214</v>
      </c>
      <c r="C18" t="s">
        <v>216</v>
      </c>
      <c r="D18" s="20" t="s">
        <v>339</v>
      </c>
      <c r="F18" s="32" t="s">
        <v>517</v>
      </c>
      <c r="G18" t="s">
        <v>340</v>
      </c>
      <c r="H18" t="str">
        <f>VLOOKUP(B18,PTJ!D:E,2,0)</f>
        <v>SR</v>
      </c>
      <c r="I18" s="12">
        <v>1600</v>
      </c>
      <c r="J18" s="12">
        <v>1100</v>
      </c>
      <c r="K18" s="55">
        <v>1021.27</v>
      </c>
      <c r="L18" s="55">
        <v>474.88</v>
      </c>
      <c r="M18" s="42">
        <f t="shared" si="11"/>
        <v>0.92842727272727266</v>
      </c>
      <c r="N18" s="13">
        <f t="shared" si="12"/>
        <v>0.63829374999999999</v>
      </c>
      <c r="O18" s="13">
        <f t="shared" si="13"/>
        <v>2.150585411051213</v>
      </c>
      <c r="P18" s="136">
        <f t="shared" si="7"/>
        <v>578.73</v>
      </c>
      <c r="R18" s="12">
        <v>400</v>
      </c>
      <c r="S18" s="12">
        <v>199.17</v>
      </c>
      <c r="T18" s="12">
        <v>289.33</v>
      </c>
      <c r="U18" s="13">
        <f t="shared" si="1"/>
        <v>0.49792499999999995</v>
      </c>
      <c r="V18" s="13">
        <f t="shared" si="2"/>
        <v>0.12448124999999999</v>
      </c>
      <c r="W18" s="13">
        <f t="shared" si="8"/>
        <v>0.68838350672242765</v>
      </c>
      <c r="X18" s="39">
        <f t="shared" si="3"/>
        <v>1200</v>
      </c>
      <c r="Z18" s="89" t="s">
        <v>753</v>
      </c>
      <c r="AA18" s="20" t="s">
        <v>769</v>
      </c>
    </row>
    <row r="19" spans="1:27" x14ac:dyDescent="0.25">
      <c r="A19" t="s">
        <v>276</v>
      </c>
      <c r="B19" t="s">
        <v>234</v>
      </c>
      <c r="C19" t="s">
        <v>236</v>
      </c>
      <c r="D19" s="20" t="s">
        <v>339</v>
      </c>
      <c r="F19" s="32" t="s">
        <v>517</v>
      </c>
      <c r="G19" t="s">
        <v>340</v>
      </c>
      <c r="H19" t="str">
        <f>VLOOKUP(B19,PTJ!D:E,2,0)</f>
        <v>BT</v>
      </c>
      <c r="I19" s="12">
        <v>100</v>
      </c>
      <c r="J19" s="12">
        <v>100</v>
      </c>
      <c r="K19" s="55">
        <v>33.700000000000003</v>
      </c>
      <c r="L19" s="55">
        <v>24.15</v>
      </c>
      <c r="M19" s="42">
        <f t="shared" si="11"/>
        <v>0.33700000000000002</v>
      </c>
      <c r="N19" s="13">
        <f t="shared" si="12"/>
        <v>0.33700000000000002</v>
      </c>
      <c r="O19" s="13">
        <f t="shared" si="13"/>
        <v>1.3954451345755696</v>
      </c>
      <c r="P19" s="136">
        <f t="shared" si="7"/>
        <v>66.3</v>
      </c>
      <c r="R19" s="12">
        <v>100</v>
      </c>
      <c r="S19" s="12">
        <v>16.329999999999998</v>
      </c>
      <c r="T19" s="12">
        <v>13.44</v>
      </c>
      <c r="U19" s="13">
        <f t="shared" si="1"/>
        <v>0.16329999999999997</v>
      </c>
      <c r="V19" s="13">
        <f t="shared" si="2"/>
        <v>0.16329999999999997</v>
      </c>
      <c r="W19" s="13">
        <f t="shared" si="8"/>
        <v>1.2150297619047619</v>
      </c>
      <c r="X19" s="39">
        <f t="shared" si="3"/>
        <v>0</v>
      </c>
      <c r="Z19" s="89" t="s">
        <v>753</v>
      </c>
      <c r="AA19" s="20" t="s">
        <v>770</v>
      </c>
    </row>
    <row r="20" spans="1:27" x14ac:dyDescent="0.25">
      <c r="A20" t="s">
        <v>276</v>
      </c>
      <c r="B20" t="s">
        <v>241</v>
      </c>
      <c r="C20" t="s">
        <v>243</v>
      </c>
      <c r="D20" s="20" t="s">
        <v>339</v>
      </c>
      <c r="F20" s="32" t="s">
        <v>517</v>
      </c>
      <c r="G20" t="s">
        <v>340</v>
      </c>
      <c r="H20" t="str">
        <f>VLOOKUP(B20,PTJ!D:E,2,0)</f>
        <v>SI</v>
      </c>
      <c r="I20" s="12">
        <v>100</v>
      </c>
      <c r="J20" s="12">
        <v>100</v>
      </c>
      <c r="K20" s="55">
        <v>35.5</v>
      </c>
      <c r="L20" s="55">
        <v>49.59</v>
      </c>
      <c r="M20" s="42">
        <f t="shared" si="11"/>
        <v>0.35499999999999998</v>
      </c>
      <c r="N20" s="13">
        <f t="shared" si="12"/>
        <v>0.35499999999999998</v>
      </c>
      <c r="O20" s="13">
        <f t="shared" si="13"/>
        <v>0.71587013510788455</v>
      </c>
      <c r="P20" s="136">
        <f t="shared" si="7"/>
        <v>64.5</v>
      </c>
      <c r="R20" s="12">
        <v>100</v>
      </c>
      <c r="S20" s="12">
        <v>19.14</v>
      </c>
      <c r="T20" s="12">
        <v>21.28</v>
      </c>
      <c r="U20" s="13">
        <f t="shared" si="1"/>
        <v>0.19140000000000001</v>
      </c>
      <c r="V20" s="13">
        <f t="shared" si="2"/>
        <v>0.19140000000000001</v>
      </c>
      <c r="W20" s="13">
        <f t="shared" si="8"/>
        <v>0.89943609022556392</v>
      </c>
      <c r="X20" s="39">
        <f t="shared" si="3"/>
        <v>0</v>
      </c>
      <c r="Z20" s="89" t="s">
        <v>753</v>
      </c>
      <c r="AA20" s="20" t="s">
        <v>771</v>
      </c>
    </row>
    <row r="21" spans="1:27" x14ac:dyDescent="0.25">
      <c r="A21" t="s">
        <v>276</v>
      </c>
      <c r="B21" t="s">
        <v>248</v>
      </c>
      <c r="C21" t="s">
        <v>250</v>
      </c>
      <c r="D21" s="20" t="s">
        <v>339</v>
      </c>
      <c r="F21" s="32" t="s">
        <v>517</v>
      </c>
      <c r="G21" t="s">
        <v>340</v>
      </c>
      <c r="H21" t="str">
        <f>VLOOKUP(B21,PTJ!D:E,2,0)</f>
        <v>SB</v>
      </c>
      <c r="I21" s="12">
        <v>2400</v>
      </c>
      <c r="J21" s="12">
        <v>1100</v>
      </c>
      <c r="K21" s="55">
        <v>1028.9100000000001</v>
      </c>
      <c r="L21" s="55">
        <v>1286.2</v>
      </c>
      <c r="M21" s="42">
        <f t="shared" si="11"/>
        <v>0.93537272727272736</v>
      </c>
      <c r="N21" s="13">
        <f t="shared" si="12"/>
        <v>0.42871250000000005</v>
      </c>
      <c r="O21" s="13">
        <f t="shared" si="13"/>
        <v>0.79996112579692125</v>
      </c>
      <c r="P21" s="136">
        <f t="shared" si="7"/>
        <v>1371.09</v>
      </c>
      <c r="R21" s="12">
        <v>600</v>
      </c>
      <c r="S21" s="12">
        <v>542.24</v>
      </c>
      <c r="T21" s="12">
        <v>437.15</v>
      </c>
      <c r="U21" s="13">
        <f t="shared" si="1"/>
        <v>0.90373333333333339</v>
      </c>
      <c r="V21" s="13">
        <f t="shared" si="2"/>
        <v>0.22593333333333335</v>
      </c>
      <c r="W21" s="13">
        <f t="shared" si="8"/>
        <v>1.240398032711884</v>
      </c>
      <c r="X21" s="39">
        <f t="shared" si="3"/>
        <v>1800</v>
      </c>
      <c r="Z21" s="89" t="s">
        <v>753</v>
      </c>
      <c r="AA21" s="20" t="s">
        <v>772</v>
      </c>
    </row>
    <row r="22" spans="1:27" x14ac:dyDescent="0.25">
      <c r="A22" t="s">
        <v>276</v>
      </c>
      <c r="B22" t="s">
        <v>259</v>
      </c>
      <c r="C22" t="s">
        <v>261</v>
      </c>
      <c r="D22" s="20" t="s">
        <v>339</v>
      </c>
      <c r="F22" s="32" t="s">
        <v>517</v>
      </c>
      <c r="G22" t="s">
        <v>340</v>
      </c>
      <c r="H22" t="str">
        <f>VLOOKUP(B22,PTJ!D:E,2,0)</f>
        <v>TW</v>
      </c>
      <c r="I22" s="12">
        <v>400</v>
      </c>
      <c r="J22" s="12">
        <v>200</v>
      </c>
      <c r="K22" s="55">
        <v>167.8</v>
      </c>
      <c r="L22" s="55">
        <v>144.26</v>
      </c>
      <c r="M22" s="42">
        <f t="shared" si="11"/>
        <v>0.83900000000000008</v>
      </c>
      <c r="N22" s="13">
        <f t="shared" si="12"/>
        <v>0.41950000000000004</v>
      </c>
      <c r="O22" s="13">
        <f t="shared" si="13"/>
        <v>1.1631775960072093</v>
      </c>
      <c r="P22" s="136">
        <f t="shared" si="7"/>
        <v>232.2</v>
      </c>
      <c r="R22" s="12">
        <v>100</v>
      </c>
      <c r="S22" s="12">
        <v>130.22999999999999</v>
      </c>
      <c r="T22" s="12">
        <v>92.69</v>
      </c>
      <c r="U22" s="13">
        <f t="shared" si="1"/>
        <v>1.3022999999999998</v>
      </c>
      <c r="V22" s="13">
        <f t="shared" si="2"/>
        <v>0.32557499999999995</v>
      </c>
      <c r="W22" s="13">
        <f>S22/T22</f>
        <v>1.4050059337576868</v>
      </c>
      <c r="X22" s="39">
        <f t="shared" si="3"/>
        <v>300</v>
      </c>
      <c r="Z22" s="89" t="s">
        <v>753</v>
      </c>
      <c r="AA22" s="20" t="s">
        <v>773</v>
      </c>
    </row>
    <row r="23" spans="1:27" x14ac:dyDescent="0.25">
      <c r="A23" t="s">
        <v>276</v>
      </c>
      <c r="B23" t="s">
        <v>268</v>
      </c>
      <c r="C23" t="s">
        <v>270</v>
      </c>
      <c r="D23" s="20" t="s">
        <v>339</v>
      </c>
      <c r="F23" s="32" t="s">
        <v>517</v>
      </c>
      <c r="G23" t="s">
        <v>340</v>
      </c>
      <c r="H23" t="str">
        <f>VLOOKUP(B23,PTJ!D:E,2,0)</f>
        <v>SD</v>
      </c>
      <c r="I23" s="12">
        <v>100</v>
      </c>
      <c r="J23" s="12">
        <v>100</v>
      </c>
      <c r="K23" s="55">
        <v>34.26</v>
      </c>
      <c r="L23" s="55">
        <v>29.2</v>
      </c>
      <c r="M23" s="42">
        <f t="shared" si="11"/>
        <v>0.34259999999999996</v>
      </c>
      <c r="N23" s="13">
        <f t="shared" si="12"/>
        <v>0.34259999999999996</v>
      </c>
      <c r="O23" s="13">
        <f t="shared" si="13"/>
        <v>1.1732876712328766</v>
      </c>
      <c r="P23" s="136">
        <f t="shared" si="7"/>
        <v>65.740000000000009</v>
      </c>
      <c r="R23" s="12">
        <v>100</v>
      </c>
      <c r="S23" s="12">
        <v>15.77</v>
      </c>
      <c r="T23" s="12">
        <v>14.31</v>
      </c>
      <c r="U23" s="13">
        <f t="shared" si="1"/>
        <v>0.15770000000000001</v>
      </c>
      <c r="V23" s="13">
        <f t="shared" si="2"/>
        <v>0.15770000000000001</v>
      </c>
      <c r="W23" s="13">
        <f t="shared" ref="W23:W34" si="14">S23/T23</f>
        <v>1.1020265548567434</v>
      </c>
      <c r="X23" s="39">
        <f t="shared" si="3"/>
        <v>0</v>
      </c>
      <c r="Z23" s="89" t="s">
        <v>753</v>
      </c>
      <c r="AA23" s="20" t="s">
        <v>774</v>
      </c>
    </row>
    <row r="24" spans="1:27" x14ac:dyDescent="0.25">
      <c r="A24" t="s">
        <v>276</v>
      </c>
      <c r="B24" t="s">
        <v>50</v>
      </c>
      <c r="C24" t="s">
        <v>52</v>
      </c>
      <c r="D24" s="20" t="s">
        <v>291</v>
      </c>
      <c r="E24" t="s">
        <v>899</v>
      </c>
      <c r="F24" s="30" t="s">
        <v>519</v>
      </c>
      <c r="G24" t="s">
        <v>292</v>
      </c>
      <c r="H24" t="str">
        <f>VLOOKUP(B24,PTJ!D:E,2,0)</f>
        <v>BPKPB</v>
      </c>
      <c r="I24" s="12">
        <v>385000</v>
      </c>
      <c r="J24" s="55">
        <v>75000</v>
      </c>
      <c r="K24" s="55">
        <v>63800</v>
      </c>
      <c r="L24" s="55">
        <v>110550</v>
      </c>
      <c r="M24" s="42">
        <f t="shared" si="11"/>
        <v>0.85066666666666668</v>
      </c>
      <c r="N24" s="13">
        <f t="shared" si="12"/>
        <v>0.1657142857142857</v>
      </c>
      <c r="O24" s="13">
        <f t="shared" si="13"/>
        <v>0.57711442786069655</v>
      </c>
      <c r="P24" s="136">
        <f t="shared" si="7"/>
        <v>321200</v>
      </c>
      <c r="R24" s="12">
        <v>96200</v>
      </c>
      <c r="S24" s="12">
        <v>3000</v>
      </c>
      <c r="T24" s="12">
        <v>33850</v>
      </c>
      <c r="U24" s="13">
        <f t="shared" si="1"/>
        <v>3.1185031185031187E-2</v>
      </c>
      <c r="V24" s="13">
        <f t="shared" si="2"/>
        <v>7.7922077922077922E-3</v>
      </c>
      <c r="W24" s="13">
        <f t="shared" si="14"/>
        <v>8.8626292466765136E-2</v>
      </c>
      <c r="X24" s="39">
        <f t="shared" si="3"/>
        <v>288800</v>
      </c>
      <c r="Z24" s="89" t="s">
        <v>753</v>
      </c>
      <c r="AA24" s="20" t="s">
        <v>775</v>
      </c>
    </row>
    <row r="25" spans="1:27" x14ac:dyDescent="0.25">
      <c r="A25" t="s">
        <v>276</v>
      </c>
      <c r="B25" t="s">
        <v>58</v>
      </c>
      <c r="C25" t="s">
        <v>60</v>
      </c>
      <c r="D25" s="20" t="s">
        <v>291</v>
      </c>
      <c r="E25" t="s">
        <v>899</v>
      </c>
      <c r="F25" s="31" t="s">
        <v>519</v>
      </c>
      <c r="G25" s="26" t="s">
        <v>292</v>
      </c>
      <c r="H25" s="26" t="str">
        <f>VLOOKUP(B25,PTJ!D:E,2,0)</f>
        <v>BLA</v>
      </c>
      <c r="I25" s="27">
        <v>9576000</v>
      </c>
      <c r="J25" s="55">
        <v>7425000</v>
      </c>
      <c r="K25" s="55">
        <v>5685525</v>
      </c>
      <c r="L25" s="55">
        <v>4545300</v>
      </c>
      <c r="M25" s="42">
        <f t="shared" si="11"/>
        <v>0.7657272727272727</v>
      </c>
      <c r="N25" s="13">
        <f t="shared" si="12"/>
        <v>0.59372650375939851</v>
      </c>
      <c r="O25" s="13">
        <f t="shared" si="13"/>
        <v>1.2508580291729918</v>
      </c>
      <c r="P25" s="136">
        <f t="shared" si="7"/>
        <v>3890475</v>
      </c>
      <c r="R25" s="12">
        <v>2394000</v>
      </c>
      <c r="S25" s="12">
        <v>2440400</v>
      </c>
      <c r="T25" s="12">
        <v>2273100</v>
      </c>
      <c r="U25" s="13">
        <f t="shared" si="1"/>
        <v>1.0193817878028404</v>
      </c>
      <c r="V25" s="13">
        <f t="shared" si="2"/>
        <v>0.2548454469507101</v>
      </c>
      <c r="W25" s="13">
        <f t="shared" si="14"/>
        <v>1.0735999296115437</v>
      </c>
      <c r="X25" s="39">
        <f t="shared" si="3"/>
        <v>7182000</v>
      </c>
      <c r="Z25" s="89" t="s">
        <v>753</v>
      </c>
      <c r="AA25" s="20" t="s">
        <v>776</v>
      </c>
    </row>
    <row r="26" spans="1:27" x14ac:dyDescent="0.25">
      <c r="A26" t="s">
        <v>276</v>
      </c>
      <c r="B26" t="s">
        <v>58</v>
      </c>
      <c r="C26" t="s">
        <v>60</v>
      </c>
      <c r="D26" s="20" t="s">
        <v>291</v>
      </c>
      <c r="E26" t="s">
        <v>900</v>
      </c>
      <c r="F26" s="31" t="s">
        <v>520</v>
      </c>
      <c r="G26" s="26" t="s">
        <v>292</v>
      </c>
      <c r="H26" s="26" t="str">
        <f>VLOOKUP(B26,PTJ!D:E,2,0)</f>
        <v>BLA</v>
      </c>
      <c r="I26" s="27">
        <v>2079000</v>
      </c>
      <c r="J26" s="55">
        <v>519700</v>
      </c>
      <c r="K26" s="55">
        <v>417450</v>
      </c>
      <c r="L26" s="55">
        <v>1001255</v>
      </c>
      <c r="M26" s="42">
        <f t="shared" ref="M26" si="15">K26/J26</f>
        <v>0.80325187608235515</v>
      </c>
      <c r="N26" s="13">
        <f t="shared" ref="N26" si="16">K26/I26</f>
        <v>0.2007936507936508</v>
      </c>
      <c r="O26" s="13">
        <f t="shared" ref="O26" si="17">K26/L26</f>
        <v>0.41692675692006531</v>
      </c>
      <c r="P26" s="136">
        <f t="shared" si="7"/>
        <v>1661550</v>
      </c>
      <c r="R26" s="12">
        <v>519700</v>
      </c>
      <c r="S26" s="12">
        <v>209225</v>
      </c>
      <c r="T26" s="12">
        <v>610305</v>
      </c>
      <c r="U26" s="13">
        <f t="shared" si="1"/>
        <v>0.40258803155666728</v>
      </c>
      <c r="V26" s="13">
        <f t="shared" si="2"/>
        <v>0.10063732563732564</v>
      </c>
      <c r="W26" s="13">
        <f t="shared" si="14"/>
        <v>0.34282039308214746</v>
      </c>
      <c r="X26" s="39">
        <f t="shared" si="3"/>
        <v>1559300</v>
      </c>
      <c r="Z26" s="89" t="s">
        <v>753</v>
      </c>
      <c r="AA26" s="20" t="s">
        <v>776</v>
      </c>
    </row>
    <row r="27" spans="1:27" x14ac:dyDescent="0.25">
      <c r="A27" t="s">
        <v>276</v>
      </c>
      <c r="B27" t="s">
        <v>41</v>
      </c>
      <c r="C27" t="s">
        <v>43</v>
      </c>
      <c r="D27" s="20" t="s">
        <v>291</v>
      </c>
      <c r="E27" t="s">
        <v>901</v>
      </c>
      <c r="F27" s="30" t="s">
        <v>521</v>
      </c>
      <c r="G27" t="s">
        <v>292</v>
      </c>
      <c r="H27" t="str">
        <f>VLOOKUP(B27,PTJ!D:E,2,0)</f>
        <v>BPS</v>
      </c>
      <c r="I27" s="12">
        <v>40000</v>
      </c>
      <c r="J27" s="55">
        <v>0</v>
      </c>
      <c r="K27" s="55">
        <v>0</v>
      </c>
      <c r="L27" s="55">
        <v>0</v>
      </c>
      <c r="M27" s="42" t="e">
        <f t="shared" ref="M27:M34" si="18">K27/J27</f>
        <v>#DIV/0!</v>
      </c>
      <c r="N27" s="13">
        <f t="shared" ref="N27:N34" si="19">K27/I27</f>
        <v>0</v>
      </c>
      <c r="O27" s="13" t="e">
        <f t="shared" ref="O27:O34" si="20">K27/L27</f>
        <v>#DIV/0!</v>
      </c>
      <c r="P27" s="136">
        <f t="shared" ref="P27:P34" si="21">I27-K27</f>
        <v>40000</v>
      </c>
      <c r="R27" s="12">
        <v>0</v>
      </c>
      <c r="S27" s="12">
        <v>0</v>
      </c>
      <c r="T27" s="12">
        <v>0</v>
      </c>
      <c r="U27" s="13" t="e">
        <f t="shared" si="1"/>
        <v>#DIV/0!</v>
      </c>
      <c r="V27" s="13">
        <f t="shared" si="2"/>
        <v>0</v>
      </c>
      <c r="W27" s="13" t="e">
        <f t="shared" si="14"/>
        <v>#DIV/0!</v>
      </c>
      <c r="X27" s="39">
        <f t="shared" si="3"/>
        <v>40000</v>
      </c>
      <c r="Z27" s="89" t="s">
        <v>753</v>
      </c>
      <c r="AA27" s="20" t="s">
        <v>777</v>
      </c>
    </row>
    <row r="28" spans="1:27" x14ac:dyDescent="0.25">
      <c r="A28" t="s">
        <v>276</v>
      </c>
      <c r="B28" t="s">
        <v>83</v>
      </c>
      <c r="C28" t="s">
        <v>85</v>
      </c>
      <c r="D28" s="20" t="s">
        <v>291</v>
      </c>
      <c r="E28" t="s">
        <v>902</v>
      </c>
      <c r="F28" t="s">
        <v>523</v>
      </c>
      <c r="G28" t="s">
        <v>292</v>
      </c>
      <c r="H28" t="str">
        <f>VLOOKUP(B28,PTJ!D:E,2,0)</f>
        <v>BKK</v>
      </c>
      <c r="I28" s="12">
        <v>100000</v>
      </c>
      <c r="J28" s="55">
        <v>0</v>
      </c>
      <c r="K28" s="55">
        <v>0</v>
      </c>
      <c r="L28" s="55">
        <v>0</v>
      </c>
      <c r="M28" s="42" t="e">
        <f t="shared" si="18"/>
        <v>#DIV/0!</v>
      </c>
      <c r="N28" s="13">
        <f t="shared" si="19"/>
        <v>0</v>
      </c>
      <c r="O28" s="13" t="e">
        <f t="shared" si="20"/>
        <v>#DIV/0!</v>
      </c>
      <c r="P28" s="136">
        <f t="shared" si="21"/>
        <v>100000</v>
      </c>
      <c r="R28" s="12">
        <v>0</v>
      </c>
      <c r="S28" s="12">
        <v>0</v>
      </c>
      <c r="T28" s="12">
        <v>0</v>
      </c>
      <c r="U28" s="13" t="e">
        <f t="shared" si="1"/>
        <v>#DIV/0!</v>
      </c>
      <c r="V28" s="13">
        <f t="shared" si="2"/>
        <v>0</v>
      </c>
      <c r="W28" s="13" t="e">
        <f t="shared" si="14"/>
        <v>#DIV/0!</v>
      </c>
      <c r="X28" s="39">
        <f t="shared" si="3"/>
        <v>100000</v>
      </c>
      <c r="Z28" s="89" t="s">
        <v>753</v>
      </c>
      <c r="AA28" s="20" t="s">
        <v>778</v>
      </c>
    </row>
    <row r="29" spans="1:27" x14ac:dyDescent="0.25">
      <c r="A29" s="30" t="s">
        <v>276</v>
      </c>
      <c r="B29" t="s">
        <v>31</v>
      </c>
      <c r="C29" t="s">
        <v>33</v>
      </c>
      <c r="D29" s="20" t="s">
        <v>291</v>
      </c>
      <c r="E29" t="s">
        <v>903</v>
      </c>
      <c r="F29" s="33" t="s">
        <v>905</v>
      </c>
      <c r="G29" t="s">
        <v>292</v>
      </c>
      <c r="H29" s="33" t="s">
        <v>471</v>
      </c>
      <c r="I29" s="35">
        <v>0</v>
      </c>
      <c r="J29" s="55">
        <v>0</v>
      </c>
      <c r="K29" s="55">
        <v>5695</v>
      </c>
      <c r="L29" s="55">
        <v>0</v>
      </c>
      <c r="M29" s="42" t="e">
        <f t="shared" ref="M29:M32" si="22">K29/J29</f>
        <v>#DIV/0!</v>
      </c>
      <c r="N29" s="13" t="e">
        <f t="shared" ref="N29:N32" si="23">K29/I29</f>
        <v>#DIV/0!</v>
      </c>
      <c r="O29" s="13" t="e">
        <f t="shared" ref="O29:O32" si="24">K29/L29</f>
        <v>#DIV/0!</v>
      </c>
      <c r="P29" s="136">
        <f t="shared" ref="P29:P32" si="25">I29-K29</f>
        <v>-5695</v>
      </c>
      <c r="U29" s="13"/>
      <c r="V29" s="13"/>
      <c r="W29" s="13"/>
      <c r="X29" s="39"/>
      <c r="Z29" s="89"/>
    </row>
    <row r="30" spans="1:27" x14ac:dyDescent="0.25">
      <c r="A30" s="30" t="s">
        <v>276</v>
      </c>
      <c r="B30" t="s">
        <v>31</v>
      </c>
      <c r="C30" t="s">
        <v>33</v>
      </c>
      <c r="D30" s="20" t="s">
        <v>291</v>
      </c>
      <c r="E30" s="30" t="s">
        <v>904</v>
      </c>
      <c r="F30" s="33" t="s">
        <v>525</v>
      </c>
      <c r="G30" t="s">
        <v>292</v>
      </c>
      <c r="H30" s="33" t="s">
        <v>471</v>
      </c>
      <c r="I30" s="35">
        <v>0</v>
      </c>
      <c r="J30" s="55">
        <v>0</v>
      </c>
      <c r="K30" s="55">
        <v>21700</v>
      </c>
      <c r="L30" s="55">
        <v>7900</v>
      </c>
      <c r="M30" s="42" t="e">
        <f t="shared" si="22"/>
        <v>#DIV/0!</v>
      </c>
      <c r="N30" s="13" t="e">
        <f t="shared" si="23"/>
        <v>#DIV/0!</v>
      </c>
      <c r="O30" s="13">
        <f t="shared" si="24"/>
        <v>2.7468354430379747</v>
      </c>
      <c r="P30" s="136">
        <f t="shared" si="25"/>
        <v>-21700</v>
      </c>
      <c r="S30" s="12">
        <v>5000</v>
      </c>
      <c r="T30" s="12">
        <v>0</v>
      </c>
      <c r="U30" s="13" t="e">
        <f>S30/#REF!</f>
        <v>#REF!</v>
      </c>
      <c r="V30" s="13" t="e">
        <f>S30/#REF!</f>
        <v>#REF!</v>
      </c>
      <c r="W30" s="13" t="e">
        <f>S30/T30</f>
        <v>#DIV/0!</v>
      </c>
      <c r="X30" s="39" t="e">
        <f>#REF!-#REF!</f>
        <v>#REF!</v>
      </c>
      <c r="Z30" s="89"/>
    </row>
    <row r="31" spans="1:27" x14ac:dyDescent="0.25">
      <c r="A31" s="30" t="s">
        <v>276</v>
      </c>
      <c r="B31" t="s">
        <v>19</v>
      </c>
      <c r="C31" t="s">
        <v>21</v>
      </c>
      <c r="D31" s="20" t="s">
        <v>291</v>
      </c>
      <c r="E31" t="s">
        <v>906</v>
      </c>
      <c r="F31" s="33" t="s">
        <v>522</v>
      </c>
      <c r="G31" t="s">
        <v>292</v>
      </c>
      <c r="H31" s="33" t="s">
        <v>469</v>
      </c>
      <c r="I31" s="35">
        <v>0</v>
      </c>
      <c r="J31" s="55">
        <v>0</v>
      </c>
      <c r="K31" s="55">
        <v>5450</v>
      </c>
      <c r="L31" s="55">
        <v>550</v>
      </c>
      <c r="M31" s="42" t="e">
        <f t="shared" si="22"/>
        <v>#DIV/0!</v>
      </c>
      <c r="N31" s="13" t="e">
        <f t="shared" si="23"/>
        <v>#DIV/0!</v>
      </c>
      <c r="O31" s="13">
        <f t="shared" si="24"/>
        <v>9.9090909090909083</v>
      </c>
      <c r="P31" s="136">
        <f t="shared" si="25"/>
        <v>-5450</v>
      </c>
      <c r="S31" s="12">
        <v>1500</v>
      </c>
      <c r="T31" s="12">
        <v>0</v>
      </c>
      <c r="U31" s="13" t="e">
        <f>S31/#REF!</f>
        <v>#REF!</v>
      </c>
      <c r="V31" s="13" t="e">
        <f>S31/#REF!</f>
        <v>#REF!</v>
      </c>
      <c r="W31" s="13" t="e">
        <f>S31/T31</f>
        <v>#DIV/0!</v>
      </c>
      <c r="X31" s="39" t="e">
        <f>#REF!-#REF!</f>
        <v>#REF!</v>
      </c>
      <c r="Z31" s="89"/>
    </row>
    <row r="32" spans="1:27" x14ac:dyDescent="0.25">
      <c r="A32" t="s">
        <v>276</v>
      </c>
      <c r="B32" t="s">
        <v>1</v>
      </c>
      <c r="C32" t="s">
        <v>4</v>
      </c>
      <c r="D32" s="20" t="s">
        <v>291</v>
      </c>
      <c r="E32" s="30" t="s">
        <v>907</v>
      </c>
      <c r="F32" t="s">
        <v>524</v>
      </c>
      <c r="G32" t="s">
        <v>292</v>
      </c>
      <c r="H32" t="str">
        <f>VLOOKUP(B32,PTJ!D:E,2,0)</f>
        <v>PPUU</v>
      </c>
      <c r="I32" s="12">
        <v>5000</v>
      </c>
      <c r="J32" s="55">
        <v>0</v>
      </c>
      <c r="K32" s="55">
        <v>0</v>
      </c>
      <c r="L32" s="55">
        <v>0</v>
      </c>
      <c r="M32" s="42" t="e">
        <f t="shared" si="22"/>
        <v>#DIV/0!</v>
      </c>
      <c r="N32" s="13">
        <f t="shared" si="23"/>
        <v>0</v>
      </c>
      <c r="O32" s="13" t="e">
        <f t="shared" si="24"/>
        <v>#DIV/0!</v>
      </c>
      <c r="P32" s="136">
        <f t="shared" si="25"/>
        <v>5000</v>
      </c>
      <c r="R32" s="12">
        <v>0</v>
      </c>
      <c r="S32" s="12">
        <v>0</v>
      </c>
      <c r="T32" s="12">
        <v>0</v>
      </c>
      <c r="U32" s="13" t="e">
        <f t="shared" si="1"/>
        <v>#DIV/0!</v>
      </c>
      <c r="V32" s="13">
        <f t="shared" si="2"/>
        <v>0</v>
      </c>
      <c r="W32" s="13" t="e">
        <f t="shared" si="14"/>
        <v>#DIV/0!</v>
      </c>
      <c r="X32" s="39">
        <f t="shared" si="3"/>
        <v>5000</v>
      </c>
      <c r="Z32" s="89" t="s">
        <v>753</v>
      </c>
      <c r="AA32" s="20" t="s">
        <v>779</v>
      </c>
    </row>
    <row r="33" spans="1:27" x14ac:dyDescent="0.25">
      <c r="A33" t="s">
        <v>276</v>
      </c>
      <c r="B33" t="s">
        <v>94</v>
      </c>
      <c r="C33" t="s">
        <v>96</v>
      </c>
      <c r="D33" s="20" t="s">
        <v>291</v>
      </c>
      <c r="E33" s="30" t="s">
        <v>907</v>
      </c>
      <c r="F33" t="s">
        <v>524</v>
      </c>
      <c r="G33" t="s">
        <v>292</v>
      </c>
      <c r="H33" t="str">
        <f>VLOOKUP(B33,PTJ!D:E,2,0)</f>
        <v>BPB</v>
      </c>
      <c r="I33" s="12">
        <v>70000</v>
      </c>
      <c r="J33" s="55">
        <v>0</v>
      </c>
      <c r="K33" s="55">
        <v>0</v>
      </c>
      <c r="L33" s="55">
        <v>0</v>
      </c>
      <c r="M33" s="42" t="e">
        <f t="shared" si="18"/>
        <v>#DIV/0!</v>
      </c>
      <c r="N33" s="13">
        <f t="shared" si="19"/>
        <v>0</v>
      </c>
      <c r="O33" s="13" t="e">
        <f t="shared" si="20"/>
        <v>#DIV/0!</v>
      </c>
      <c r="P33" s="136">
        <f t="shared" si="21"/>
        <v>70000</v>
      </c>
      <c r="R33" s="12">
        <v>0</v>
      </c>
      <c r="S33" s="12">
        <v>0</v>
      </c>
      <c r="T33" s="12">
        <v>0</v>
      </c>
      <c r="U33" s="13" t="e">
        <f t="shared" si="1"/>
        <v>#DIV/0!</v>
      </c>
      <c r="V33" s="13">
        <f t="shared" si="2"/>
        <v>0</v>
      </c>
      <c r="W33" s="13" t="e">
        <f t="shared" si="14"/>
        <v>#DIV/0!</v>
      </c>
      <c r="X33" s="39">
        <f t="shared" si="3"/>
        <v>70000</v>
      </c>
      <c r="Z33" s="89" t="s">
        <v>753</v>
      </c>
      <c r="AA33" s="20" t="s">
        <v>780</v>
      </c>
    </row>
    <row r="34" spans="1:27" x14ac:dyDescent="0.25">
      <c r="A34" t="s">
        <v>276</v>
      </c>
      <c r="B34" t="s">
        <v>101</v>
      </c>
      <c r="C34" t="s">
        <v>103</v>
      </c>
      <c r="D34" s="20" t="s">
        <v>291</v>
      </c>
      <c r="E34" s="30" t="s">
        <v>907</v>
      </c>
      <c r="F34" t="s">
        <v>524</v>
      </c>
      <c r="G34" t="s">
        <v>292</v>
      </c>
      <c r="H34" t="str">
        <f>VLOOKUP(B34,PTJ!D:E,2,0)</f>
        <v>BPK</v>
      </c>
      <c r="I34" s="12">
        <v>730500</v>
      </c>
      <c r="J34" s="55">
        <v>0</v>
      </c>
      <c r="K34" s="55">
        <v>0</v>
      </c>
      <c r="L34" s="55">
        <v>0</v>
      </c>
      <c r="M34" s="42" t="e">
        <f t="shared" si="18"/>
        <v>#DIV/0!</v>
      </c>
      <c r="N34" s="13">
        <f t="shared" si="19"/>
        <v>0</v>
      </c>
      <c r="O34" s="13" t="e">
        <f t="shared" si="20"/>
        <v>#DIV/0!</v>
      </c>
      <c r="P34" s="136">
        <f t="shared" si="21"/>
        <v>730500</v>
      </c>
      <c r="R34" s="12">
        <v>0</v>
      </c>
      <c r="S34" s="12">
        <v>0</v>
      </c>
      <c r="T34" s="12">
        <v>0</v>
      </c>
      <c r="U34" s="13" t="e">
        <f t="shared" si="1"/>
        <v>#DIV/0!</v>
      </c>
      <c r="V34" s="13">
        <f t="shared" si="2"/>
        <v>0</v>
      </c>
      <c r="W34" s="13" t="e">
        <f t="shared" si="14"/>
        <v>#DIV/0!</v>
      </c>
      <c r="X34" s="39">
        <f t="shared" si="3"/>
        <v>730500</v>
      </c>
      <c r="Z34" s="89" t="s">
        <v>753</v>
      </c>
      <c r="AA34" s="20" t="s">
        <v>781</v>
      </c>
    </row>
    <row r="35" spans="1:27" x14ac:dyDescent="0.25">
      <c r="A35" s="30" t="s">
        <v>276</v>
      </c>
      <c r="B35" t="s">
        <v>333</v>
      </c>
      <c r="C35" t="s">
        <v>334</v>
      </c>
      <c r="D35" s="20" t="s">
        <v>291</v>
      </c>
      <c r="E35" s="30" t="s">
        <v>907</v>
      </c>
      <c r="F35" s="34" t="s">
        <v>524</v>
      </c>
      <c r="G35" t="s">
        <v>292</v>
      </c>
      <c r="H35" s="33" t="s">
        <v>463</v>
      </c>
      <c r="I35" s="35">
        <v>0</v>
      </c>
      <c r="J35" s="55">
        <v>0</v>
      </c>
      <c r="K35" s="55">
        <v>2400</v>
      </c>
      <c r="L35" s="55">
        <v>0</v>
      </c>
      <c r="M35" s="42" t="e">
        <f t="shared" ref="M35:M36" si="26">K35/J35</f>
        <v>#DIV/0!</v>
      </c>
      <c r="N35" s="13" t="e">
        <f t="shared" ref="N35:N36" si="27">K35/I35</f>
        <v>#DIV/0!</v>
      </c>
      <c r="O35" s="13" t="e">
        <f t="shared" ref="O35:O36" si="28">K35/L35</f>
        <v>#DIV/0!</v>
      </c>
      <c r="P35" s="136">
        <f t="shared" ref="P35:P36" si="29">I35-K35</f>
        <v>-2400</v>
      </c>
      <c r="S35" s="12">
        <v>0</v>
      </c>
      <c r="T35" s="12">
        <v>0</v>
      </c>
      <c r="U35" s="13" t="e">
        <f t="shared" ref="U35:U36" si="30">S35/R35</f>
        <v>#DIV/0!</v>
      </c>
      <c r="V35" s="13" t="e">
        <f t="shared" ref="V35:V36" si="31">S35/I35</f>
        <v>#DIV/0!</v>
      </c>
      <c r="W35" s="13" t="e">
        <f t="shared" ref="W35:W36" si="32">S35/T35</f>
        <v>#DIV/0!</v>
      </c>
      <c r="X35" s="39">
        <f t="shared" ref="X35:X36" si="33">I35-R35</f>
        <v>0</v>
      </c>
      <c r="Z35" s="89"/>
    </row>
    <row r="36" spans="1:27" x14ac:dyDescent="0.25">
      <c r="A36" s="30" t="s">
        <v>276</v>
      </c>
      <c r="B36" t="s">
        <v>248</v>
      </c>
      <c r="C36" t="s">
        <v>250</v>
      </c>
      <c r="D36" s="20" t="s">
        <v>291</v>
      </c>
      <c r="E36" s="30" t="s">
        <v>907</v>
      </c>
      <c r="F36" s="34" t="s">
        <v>524</v>
      </c>
      <c r="G36" t="s">
        <v>292</v>
      </c>
      <c r="H36" s="33" t="s">
        <v>505</v>
      </c>
      <c r="I36" s="35">
        <v>0</v>
      </c>
      <c r="J36" s="55">
        <v>0</v>
      </c>
      <c r="K36" s="55">
        <v>0</v>
      </c>
      <c r="L36" s="55">
        <v>9900</v>
      </c>
      <c r="M36" s="42" t="e">
        <f t="shared" si="26"/>
        <v>#DIV/0!</v>
      </c>
      <c r="N36" s="13" t="e">
        <f t="shared" si="27"/>
        <v>#DIV/0!</v>
      </c>
      <c r="O36" s="13">
        <f t="shared" si="28"/>
        <v>0</v>
      </c>
      <c r="P36" s="136">
        <f t="shared" si="29"/>
        <v>0</v>
      </c>
      <c r="S36" s="12">
        <v>0</v>
      </c>
      <c r="T36" s="12">
        <v>0</v>
      </c>
      <c r="U36" s="13" t="e">
        <f t="shared" si="30"/>
        <v>#DIV/0!</v>
      </c>
      <c r="V36" s="13" t="e">
        <f t="shared" si="31"/>
        <v>#DIV/0!</v>
      </c>
      <c r="W36" s="13" t="e">
        <f t="shared" si="32"/>
        <v>#DIV/0!</v>
      </c>
      <c r="X36" s="39">
        <f t="shared" si="33"/>
        <v>0</v>
      </c>
      <c r="Z36" s="89"/>
    </row>
    <row r="37" spans="1:27" x14ac:dyDescent="0.25">
      <c r="A37" t="s">
        <v>276</v>
      </c>
      <c r="B37" t="s">
        <v>19</v>
      </c>
      <c r="C37" t="s">
        <v>21</v>
      </c>
      <c r="D37" s="20" t="s">
        <v>351</v>
      </c>
      <c r="E37" t="s">
        <v>908</v>
      </c>
      <c r="F37" s="31" t="s">
        <v>528</v>
      </c>
      <c r="G37" s="26" t="s">
        <v>352</v>
      </c>
      <c r="H37" s="26" t="str">
        <f>VLOOKUP(B37,PTJ!D:E,2,0)</f>
        <v>BPKB</v>
      </c>
      <c r="I37" s="27">
        <v>12650000</v>
      </c>
      <c r="J37" s="55">
        <v>9000000</v>
      </c>
      <c r="K37" s="55">
        <v>7127700</v>
      </c>
      <c r="L37" s="55">
        <v>6442300</v>
      </c>
      <c r="M37" s="42">
        <f t="shared" ref="M37:M38" si="34">K37/J37</f>
        <v>0.79196666666666671</v>
      </c>
      <c r="N37" s="13">
        <f t="shared" ref="N37:N38" si="35">K37/I37</f>
        <v>0.56345454545454543</v>
      </c>
      <c r="O37" s="13">
        <f t="shared" ref="O37:O38" si="36">K37/L37</f>
        <v>1.1063905747947163</v>
      </c>
      <c r="P37" s="136">
        <f t="shared" ref="P37:P38" si="37">I37-K37</f>
        <v>5522300</v>
      </c>
      <c r="R37" s="12">
        <v>3162500</v>
      </c>
      <c r="S37" s="12">
        <v>3372300</v>
      </c>
      <c r="T37" s="12">
        <v>2868900</v>
      </c>
      <c r="U37" s="13">
        <f t="shared" si="1"/>
        <v>1.0663399209486166</v>
      </c>
      <c r="V37" s="13">
        <f t="shared" si="2"/>
        <v>0.26658498023715416</v>
      </c>
      <c r="W37" s="13">
        <f>S37/T37</f>
        <v>1.1754679493882674</v>
      </c>
      <c r="X37" s="39">
        <f t="shared" si="3"/>
        <v>9487500</v>
      </c>
      <c r="Z37" s="89" t="s">
        <v>753</v>
      </c>
      <c r="AA37" s="20" t="s">
        <v>782</v>
      </c>
    </row>
    <row r="38" spans="1:27" x14ac:dyDescent="0.25">
      <c r="A38" t="s">
        <v>276</v>
      </c>
      <c r="B38" s="18" t="s">
        <v>19</v>
      </c>
      <c r="C38" t="s">
        <v>21</v>
      </c>
      <c r="D38" s="20" t="s">
        <v>351</v>
      </c>
      <c r="E38" t="s">
        <v>909</v>
      </c>
      <c r="F38" s="31" t="s">
        <v>529</v>
      </c>
      <c r="G38" s="26" t="s">
        <v>352</v>
      </c>
      <c r="H38" s="26" t="str">
        <f>VLOOKUP(B38,PTJ!D:E,2,0)</f>
        <v>BPKB</v>
      </c>
      <c r="I38" s="27">
        <v>1537500</v>
      </c>
      <c r="J38" s="55">
        <v>1000000</v>
      </c>
      <c r="K38" s="55">
        <v>816750</v>
      </c>
      <c r="L38" s="55">
        <v>769500</v>
      </c>
      <c r="M38" s="42">
        <f t="shared" si="34"/>
        <v>0.81674999999999998</v>
      </c>
      <c r="N38" s="13">
        <f t="shared" si="35"/>
        <v>0.53121951219512198</v>
      </c>
      <c r="O38" s="13">
        <f t="shared" si="36"/>
        <v>1.0614035087719298</v>
      </c>
      <c r="P38" s="136">
        <f t="shared" si="37"/>
        <v>720750</v>
      </c>
      <c r="R38" s="12">
        <v>384400</v>
      </c>
      <c r="S38" s="12">
        <v>392250</v>
      </c>
      <c r="T38" s="12">
        <v>411750</v>
      </c>
      <c r="U38" s="13">
        <f t="shared" ref="U38:U70" si="38">S38/R38</f>
        <v>1.0204214360041624</v>
      </c>
      <c r="V38" s="13">
        <f t="shared" ref="V38:V70" si="39">S38/I38</f>
        <v>0.2551219512195122</v>
      </c>
      <c r="W38" s="13">
        <f t="shared" ref="W38:W48" si="40">S38/T38</f>
        <v>0.95264116575591984</v>
      </c>
      <c r="X38" s="39">
        <f t="shared" ref="X38:X70" si="41">I38-R38</f>
        <v>1153100</v>
      </c>
      <c r="Z38" s="89" t="s">
        <v>753</v>
      </c>
      <c r="AA38" s="20" t="s">
        <v>782</v>
      </c>
    </row>
    <row r="39" spans="1:27" x14ac:dyDescent="0.25">
      <c r="A39" t="s">
        <v>276</v>
      </c>
      <c r="B39" s="18" t="s">
        <v>41</v>
      </c>
      <c r="C39" t="s">
        <v>43</v>
      </c>
      <c r="D39" s="20" t="s">
        <v>325</v>
      </c>
      <c r="E39" s="30" t="s">
        <v>910</v>
      </c>
      <c r="F39" s="30" t="s">
        <v>526</v>
      </c>
      <c r="G39" t="s">
        <v>326</v>
      </c>
      <c r="H39" t="str">
        <f>VLOOKUP(B39,PTJ!D:E,2,0)</f>
        <v>BPS</v>
      </c>
      <c r="I39" s="12">
        <v>22900</v>
      </c>
      <c r="J39" s="55">
        <v>6000</v>
      </c>
      <c r="K39" s="141">
        <v>0</v>
      </c>
      <c r="L39" s="141">
        <v>3045</v>
      </c>
      <c r="M39" s="42">
        <f t="shared" ref="M39" si="42">K39/J39</f>
        <v>0</v>
      </c>
      <c r="N39" s="13">
        <f t="shared" ref="N39" si="43">K39/I39</f>
        <v>0</v>
      </c>
      <c r="O39" s="13">
        <f t="shared" ref="O39" si="44">K39/L39</f>
        <v>0</v>
      </c>
      <c r="P39" s="136">
        <f t="shared" ref="P39" si="45">I39-K39</f>
        <v>22900</v>
      </c>
      <c r="R39" s="12">
        <v>0</v>
      </c>
      <c r="S39" s="12">
        <v>0</v>
      </c>
      <c r="T39" s="12">
        <v>2250</v>
      </c>
      <c r="U39" s="13" t="e">
        <f t="shared" si="38"/>
        <v>#DIV/0!</v>
      </c>
      <c r="V39" s="13">
        <f t="shared" si="39"/>
        <v>0</v>
      </c>
      <c r="W39" s="13">
        <f t="shared" si="40"/>
        <v>0</v>
      </c>
      <c r="X39" s="39">
        <f t="shared" si="41"/>
        <v>22900</v>
      </c>
      <c r="Z39" s="89" t="s">
        <v>753</v>
      </c>
      <c r="AA39" s="20" t="s">
        <v>783</v>
      </c>
    </row>
    <row r="40" spans="1:27" x14ac:dyDescent="0.25">
      <c r="A40" t="s">
        <v>276</v>
      </c>
      <c r="B40" s="18" t="s">
        <v>31</v>
      </c>
      <c r="D40" s="20" t="s">
        <v>325</v>
      </c>
      <c r="E40" s="30" t="s">
        <v>910</v>
      </c>
      <c r="F40" s="33" t="s">
        <v>526</v>
      </c>
      <c r="G40" t="s">
        <v>326</v>
      </c>
      <c r="H40" s="33" t="s">
        <v>471</v>
      </c>
      <c r="I40" s="35">
        <v>0</v>
      </c>
      <c r="J40" s="55">
        <v>0</v>
      </c>
      <c r="K40" s="141">
        <v>3045</v>
      </c>
      <c r="L40" s="141">
        <v>2325</v>
      </c>
      <c r="M40" s="42" t="e">
        <f t="shared" ref="M40:M46" si="46">K40/J40</f>
        <v>#DIV/0!</v>
      </c>
      <c r="N40" s="13" t="e">
        <f t="shared" ref="N40:N46" si="47">K40/I40</f>
        <v>#DIV/0!</v>
      </c>
      <c r="O40" s="13">
        <f t="shared" ref="O40:O46" si="48">K40/L40</f>
        <v>1.3096774193548386</v>
      </c>
      <c r="P40" s="136">
        <f t="shared" ref="P40:P46" si="49">I40-K40</f>
        <v>-3045</v>
      </c>
      <c r="R40" s="35">
        <v>0</v>
      </c>
      <c r="S40" s="12">
        <v>1470</v>
      </c>
      <c r="T40" s="12">
        <v>1065</v>
      </c>
      <c r="U40" s="13" t="e">
        <f t="shared" si="38"/>
        <v>#DIV/0!</v>
      </c>
      <c r="V40" s="13" t="e">
        <f t="shared" si="39"/>
        <v>#DIV/0!</v>
      </c>
      <c r="W40" s="13">
        <f>S40/T40</f>
        <v>1.380281690140845</v>
      </c>
      <c r="X40" s="39">
        <f t="shared" si="41"/>
        <v>0</v>
      </c>
      <c r="Z40" s="89" t="s">
        <v>753</v>
      </c>
      <c r="AA40" s="20" t="s">
        <v>784</v>
      </c>
    </row>
    <row r="41" spans="1:27" x14ac:dyDescent="0.25">
      <c r="A41" t="s">
        <v>276</v>
      </c>
      <c r="B41" s="18" t="s">
        <v>83</v>
      </c>
      <c r="D41" s="20" t="s">
        <v>325</v>
      </c>
      <c r="E41" s="30" t="s">
        <v>910</v>
      </c>
      <c r="F41" s="33" t="s">
        <v>526</v>
      </c>
      <c r="G41" t="s">
        <v>326</v>
      </c>
      <c r="H41" s="33" t="s">
        <v>482</v>
      </c>
      <c r="I41" s="35">
        <v>0</v>
      </c>
      <c r="J41" s="55">
        <v>0</v>
      </c>
      <c r="K41" s="141">
        <v>300</v>
      </c>
      <c r="L41" s="141">
        <v>0</v>
      </c>
      <c r="M41" s="42" t="e">
        <f t="shared" si="46"/>
        <v>#DIV/0!</v>
      </c>
      <c r="N41" s="13" t="e">
        <f t="shared" si="47"/>
        <v>#DIV/0!</v>
      </c>
      <c r="O41" s="13" t="e">
        <f t="shared" si="48"/>
        <v>#DIV/0!</v>
      </c>
      <c r="P41" s="136">
        <f t="shared" si="49"/>
        <v>-300</v>
      </c>
      <c r="R41" s="35">
        <v>0</v>
      </c>
      <c r="S41" s="12">
        <v>300</v>
      </c>
      <c r="T41" s="12">
        <v>0</v>
      </c>
      <c r="U41" s="13" t="e">
        <f t="shared" si="38"/>
        <v>#DIV/0!</v>
      </c>
      <c r="V41" s="13" t="e">
        <f t="shared" si="39"/>
        <v>#DIV/0!</v>
      </c>
      <c r="W41" s="13" t="e">
        <f>S41/T41</f>
        <v>#DIV/0!</v>
      </c>
      <c r="X41" s="39">
        <f t="shared" si="41"/>
        <v>0</v>
      </c>
      <c r="Z41" s="89" t="s">
        <v>753</v>
      </c>
      <c r="AA41" s="20" t="s">
        <v>785</v>
      </c>
    </row>
    <row r="42" spans="1:27" x14ac:dyDescent="0.25">
      <c r="A42" t="s">
        <v>276</v>
      </c>
      <c r="B42" s="18" t="s">
        <v>127</v>
      </c>
      <c r="D42" s="20" t="s">
        <v>325</v>
      </c>
      <c r="E42" s="30" t="s">
        <v>910</v>
      </c>
      <c r="F42" s="33" t="s">
        <v>526</v>
      </c>
      <c r="G42" t="s">
        <v>326</v>
      </c>
      <c r="H42" s="33" t="s">
        <v>489</v>
      </c>
      <c r="I42" s="35">
        <v>0</v>
      </c>
      <c r="J42" s="55">
        <v>0</v>
      </c>
      <c r="K42" s="141">
        <v>0</v>
      </c>
      <c r="L42" s="141">
        <v>150</v>
      </c>
      <c r="M42" s="42" t="e">
        <f t="shared" si="46"/>
        <v>#DIV/0!</v>
      </c>
      <c r="N42" s="13" t="e">
        <f t="shared" si="47"/>
        <v>#DIV/0!</v>
      </c>
      <c r="O42" s="13">
        <f t="shared" si="48"/>
        <v>0</v>
      </c>
      <c r="P42" s="136">
        <f t="shared" si="49"/>
        <v>0</v>
      </c>
      <c r="R42" s="35">
        <v>0</v>
      </c>
      <c r="S42" s="12">
        <v>0</v>
      </c>
      <c r="T42" s="12">
        <v>150</v>
      </c>
      <c r="U42" s="13" t="e">
        <f t="shared" si="38"/>
        <v>#DIV/0!</v>
      </c>
      <c r="V42" s="13" t="e">
        <f t="shared" si="39"/>
        <v>#DIV/0!</v>
      </c>
      <c r="W42" s="13">
        <f>S42/T42</f>
        <v>0</v>
      </c>
      <c r="X42" s="39">
        <f t="shared" si="41"/>
        <v>0</v>
      </c>
      <c r="Z42" s="89" t="s">
        <v>753</v>
      </c>
      <c r="AA42" s="20" t="s">
        <v>788</v>
      </c>
    </row>
    <row r="43" spans="1:27" x14ac:dyDescent="0.25">
      <c r="A43" t="s">
        <v>276</v>
      </c>
      <c r="B43" s="18" t="s">
        <v>135</v>
      </c>
      <c r="D43" s="20" t="s">
        <v>325</v>
      </c>
      <c r="E43" s="30" t="s">
        <v>910</v>
      </c>
      <c r="F43" s="33" t="s">
        <v>526</v>
      </c>
      <c r="G43" t="s">
        <v>326</v>
      </c>
      <c r="H43" s="33" t="s">
        <v>490</v>
      </c>
      <c r="I43" s="35">
        <v>0</v>
      </c>
      <c r="J43" s="55">
        <v>0</v>
      </c>
      <c r="K43" s="141">
        <v>1200</v>
      </c>
      <c r="L43" s="141">
        <v>300</v>
      </c>
      <c r="M43" s="42" t="e">
        <f t="shared" si="46"/>
        <v>#DIV/0!</v>
      </c>
      <c r="N43" s="13" t="e">
        <f t="shared" si="47"/>
        <v>#DIV/0!</v>
      </c>
      <c r="O43" s="13">
        <f t="shared" si="48"/>
        <v>4</v>
      </c>
      <c r="P43" s="136">
        <f t="shared" si="49"/>
        <v>-1200</v>
      </c>
      <c r="R43" s="35">
        <v>0</v>
      </c>
      <c r="S43" s="12">
        <v>150</v>
      </c>
      <c r="T43" s="12">
        <v>0</v>
      </c>
      <c r="U43" s="13" t="e">
        <f t="shared" si="38"/>
        <v>#DIV/0!</v>
      </c>
      <c r="V43" s="13" t="e">
        <f t="shared" si="39"/>
        <v>#DIV/0!</v>
      </c>
      <c r="W43" s="13" t="e">
        <f>S43/T43</f>
        <v>#DIV/0!</v>
      </c>
      <c r="X43" s="39">
        <f t="shared" si="41"/>
        <v>0</v>
      </c>
      <c r="Z43" s="89" t="s">
        <v>753</v>
      </c>
      <c r="AA43" s="20" t="s">
        <v>786</v>
      </c>
    </row>
    <row r="44" spans="1:27" x14ac:dyDescent="0.25">
      <c r="A44" t="s">
        <v>276</v>
      </c>
      <c r="B44" s="18" t="s">
        <v>206</v>
      </c>
      <c r="D44" s="20" t="s">
        <v>325</v>
      </c>
      <c r="E44" s="30" t="s">
        <v>910</v>
      </c>
      <c r="F44" s="33" t="s">
        <v>526</v>
      </c>
      <c r="G44" t="s">
        <v>326</v>
      </c>
      <c r="H44" s="33" t="s">
        <v>500</v>
      </c>
      <c r="I44" s="35">
        <v>0</v>
      </c>
      <c r="J44" s="55">
        <v>0</v>
      </c>
      <c r="K44" s="141">
        <v>300</v>
      </c>
      <c r="L44" s="141">
        <v>0</v>
      </c>
      <c r="M44" s="42" t="e">
        <f t="shared" si="46"/>
        <v>#DIV/0!</v>
      </c>
      <c r="N44" s="13" t="e">
        <f t="shared" si="47"/>
        <v>#DIV/0!</v>
      </c>
      <c r="O44" s="13" t="e">
        <f t="shared" si="48"/>
        <v>#DIV/0!</v>
      </c>
      <c r="P44" s="136">
        <f t="shared" si="49"/>
        <v>-300</v>
      </c>
      <c r="R44" s="35">
        <v>0</v>
      </c>
      <c r="S44" s="12">
        <v>150</v>
      </c>
      <c r="T44" s="12">
        <v>0</v>
      </c>
      <c r="U44" s="13" t="e">
        <f t="shared" si="38"/>
        <v>#DIV/0!</v>
      </c>
      <c r="V44" s="13" t="e">
        <f t="shared" si="39"/>
        <v>#DIV/0!</v>
      </c>
      <c r="W44" s="13" t="e">
        <f>S44/T44</f>
        <v>#DIV/0!</v>
      </c>
      <c r="X44" s="39">
        <f t="shared" si="41"/>
        <v>0</v>
      </c>
      <c r="Z44" s="89" t="s">
        <v>753</v>
      </c>
      <c r="AA44" s="20" t="s">
        <v>787</v>
      </c>
    </row>
    <row r="45" spans="1:27" x14ac:dyDescent="0.25">
      <c r="A45" t="s">
        <v>276</v>
      </c>
      <c r="B45" t="s">
        <v>179</v>
      </c>
      <c r="C45" t="s">
        <v>181</v>
      </c>
      <c r="D45" s="20" t="s">
        <v>325</v>
      </c>
      <c r="E45" s="30" t="s">
        <v>910</v>
      </c>
      <c r="F45" s="33" t="s">
        <v>526</v>
      </c>
      <c r="G45" t="s">
        <v>326</v>
      </c>
      <c r="H45" s="33" t="s">
        <v>497</v>
      </c>
      <c r="I45" s="35"/>
      <c r="J45" s="55">
        <v>0</v>
      </c>
      <c r="K45" s="141">
        <v>0</v>
      </c>
      <c r="L45" s="141">
        <v>300</v>
      </c>
      <c r="M45" s="42" t="e">
        <f t="shared" si="46"/>
        <v>#DIV/0!</v>
      </c>
      <c r="N45" s="13" t="e">
        <f t="shared" si="47"/>
        <v>#DIV/0!</v>
      </c>
      <c r="O45" s="13">
        <f t="shared" si="48"/>
        <v>0</v>
      </c>
      <c r="P45" s="136">
        <f t="shared" si="49"/>
        <v>0</v>
      </c>
      <c r="R45" s="35"/>
      <c r="U45" s="13"/>
      <c r="V45" s="13"/>
      <c r="W45" s="13"/>
      <c r="X45" s="39"/>
      <c r="Z45" s="89"/>
    </row>
    <row r="46" spans="1:27" x14ac:dyDescent="0.25">
      <c r="A46" t="s">
        <v>276</v>
      </c>
      <c r="B46" s="18" t="s">
        <v>295</v>
      </c>
      <c r="C46" t="s">
        <v>296</v>
      </c>
      <c r="D46" s="20" t="s">
        <v>325</v>
      </c>
      <c r="E46" s="30" t="s">
        <v>911</v>
      </c>
      <c r="F46" s="30" t="s">
        <v>527</v>
      </c>
      <c r="G46" t="s">
        <v>326</v>
      </c>
      <c r="H46" t="str">
        <f>VLOOKUP(B46,PTJ!D:E,2,0)</f>
        <v>BSM</v>
      </c>
      <c r="I46" s="12">
        <v>80000</v>
      </c>
      <c r="J46" s="55">
        <v>14000</v>
      </c>
      <c r="K46" s="55">
        <v>10750</v>
      </c>
      <c r="L46" s="55">
        <v>7600</v>
      </c>
      <c r="M46" s="42">
        <f t="shared" si="46"/>
        <v>0.7678571428571429</v>
      </c>
      <c r="N46" s="13">
        <f t="shared" si="47"/>
        <v>0.13437499999999999</v>
      </c>
      <c r="O46" s="13">
        <f t="shared" si="48"/>
        <v>1.4144736842105263</v>
      </c>
      <c r="P46" s="136">
        <f t="shared" si="49"/>
        <v>69250</v>
      </c>
      <c r="R46" s="12">
        <v>20000</v>
      </c>
      <c r="S46" s="12">
        <v>6400</v>
      </c>
      <c r="T46" s="12">
        <v>2100</v>
      </c>
      <c r="U46" s="13">
        <f t="shared" si="38"/>
        <v>0.32</v>
      </c>
      <c r="V46" s="13">
        <f t="shared" si="39"/>
        <v>0.08</v>
      </c>
      <c r="W46" s="13">
        <f t="shared" si="40"/>
        <v>3.0476190476190474</v>
      </c>
      <c r="X46" s="39">
        <f t="shared" si="41"/>
        <v>60000</v>
      </c>
      <c r="Z46" s="89" t="s">
        <v>753</v>
      </c>
      <c r="AA46" s="20" t="s">
        <v>789</v>
      </c>
    </row>
    <row r="47" spans="1:27" x14ac:dyDescent="0.25">
      <c r="A47" t="s">
        <v>276</v>
      </c>
      <c r="B47" s="18" t="s">
        <v>170</v>
      </c>
      <c r="D47" s="20" t="s">
        <v>325</v>
      </c>
      <c r="E47" t="s">
        <v>911</v>
      </c>
      <c r="F47" s="33" t="s">
        <v>527</v>
      </c>
      <c r="G47" t="s">
        <v>326</v>
      </c>
      <c r="H47" s="33" t="s">
        <v>496</v>
      </c>
      <c r="I47" s="35">
        <v>0</v>
      </c>
      <c r="J47" s="55">
        <v>0</v>
      </c>
      <c r="K47" s="55">
        <v>350</v>
      </c>
      <c r="L47" s="55">
        <v>50</v>
      </c>
      <c r="M47" s="42" t="e">
        <f t="shared" ref="M47:M62" si="50">K47/J47</f>
        <v>#DIV/0!</v>
      </c>
      <c r="N47" s="13" t="e">
        <f t="shared" ref="N47:N62" si="51">K47/I47</f>
        <v>#DIV/0!</v>
      </c>
      <c r="O47" s="13">
        <f t="shared" ref="O47:O62" si="52">K47/L47</f>
        <v>7</v>
      </c>
      <c r="P47" s="136">
        <f t="shared" ref="P47:P62" si="53">I47-K47</f>
        <v>-350</v>
      </c>
      <c r="R47" s="35">
        <v>0</v>
      </c>
      <c r="S47" s="12">
        <v>350</v>
      </c>
      <c r="T47" s="12">
        <v>50</v>
      </c>
      <c r="U47" s="13" t="e">
        <f t="shared" si="38"/>
        <v>#DIV/0!</v>
      </c>
      <c r="V47" s="13" t="e">
        <f t="shared" si="39"/>
        <v>#DIV/0!</v>
      </c>
      <c r="W47" s="13">
        <f t="shared" si="40"/>
        <v>7</v>
      </c>
      <c r="X47" s="39">
        <f t="shared" si="41"/>
        <v>0</v>
      </c>
      <c r="Z47" s="89" t="s">
        <v>753</v>
      </c>
      <c r="AA47" s="20" t="s">
        <v>790</v>
      </c>
    </row>
    <row r="48" spans="1:27" ht="13" thickBot="1" x14ac:dyDescent="0.3">
      <c r="A48" t="s">
        <v>276</v>
      </c>
      <c r="B48" s="18" t="s">
        <v>248</v>
      </c>
      <c r="D48" s="20" t="s">
        <v>325</v>
      </c>
      <c r="E48" t="s">
        <v>911</v>
      </c>
      <c r="F48" s="33" t="s">
        <v>527</v>
      </c>
      <c r="G48" t="s">
        <v>326</v>
      </c>
      <c r="H48" s="33" t="s">
        <v>505</v>
      </c>
      <c r="I48" s="35">
        <v>0</v>
      </c>
      <c r="J48" s="55">
        <v>0</v>
      </c>
      <c r="K48" s="55">
        <v>200</v>
      </c>
      <c r="L48" s="55">
        <v>70000</v>
      </c>
      <c r="M48" s="42" t="e">
        <f t="shared" si="50"/>
        <v>#DIV/0!</v>
      </c>
      <c r="N48" s="13" t="e">
        <f t="shared" si="51"/>
        <v>#DIV/0!</v>
      </c>
      <c r="O48" s="13">
        <f t="shared" si="52"/>
        <v>2.8571428571428571E-3</v>
      </c>
      <c r="P48" s="136">
        <f t="shared" si="53"/>
        <v>-200</v>
      </c>
      <c r="R48" s="35">
        <v>0</v>
      </c>
      <c r="S48" s="12">
        <v>200</v>
      </c>
      <c r="U48" s="13" t="e">
        <f t="shared" si="38"/>
        <v>#DIV/0!</v>
      </c>
      <c r="V48" s="13" t="e">
        <f t="shared" si="39"/>
        <v>#DIV/0!</v>
      </c>
      <c r="W48" s="13" t="e">
        <f t="shared" si="40"/>
        <v>#DIV/0!</v>
      </c>
      <c r="X48" s="39">
        <f t="shared" si="41"/>
        <v>0</v>
      </c>
      <c r="Z48" s="89" t="s">
        <v>753</v>
      </c>
      <c r="AA48" s="20" t="s">
        <v>791</v>
      </c>
    </row>
    <row r="49" spans="1:27" x14ac:dyDescent="0.25">
      <c r="A49" t="s">
        <v>276</v>
      </c>
      <c r="B49" s="18" t="s">
        <v>50</v>
      </c>
      <c r="C49" t="s">
        <v>52</v>
      </c>
      <c r="D49" s="20" t="s">
        <v>359</v>
      </c>
      <c r="E49" s="142" t="s">
        <v>920</v>
      </c>
      <c r="F49" s="30" t="s">
        <v>530</v>
      </c>
      <c r="G49" t="s">
        <v>360</v>
      </c>
      <c r="H49" t="str">
        <f>VLOOKUP(B49,PTJ!D:E,2,0)</f>
        <v>BPKPB</v>
      </c>
      <c r="I49" s="12">
        <v>650000</v>
      </c>
      <c r="J49" s="55">
        <v>284500</v>
      </c>
      <c r="K49" s="55">
        <v>240200</v>
      </c>
      <c r="L49" s="55">
        <v>366200</v>
      </c>
      <c r="M49" s="42">
        <f t="shared" si="50"/>
        <v>0.84428822495606326</v>
      </c>
      <c r="N49" s="13">
        <f t="shared" si="51"/>
        <v>0.36953846153846154</v>
      </c>
      <c r="O49" s="13">
        <f t="shared" si="52"/>
        <v>0.65592572364827961</v>
      </c>
      <c r="P49" s="136">
        <f t="shared" si="53"/>
        <v>409800</v>
      </c>
      <c r="R49" s="12">
        <v>162500</v>
      </c>
      <c r="S49" s="12">
        <v>105200</v>
      </c>
      <c r="T49" s="12">
        <v>204000</v>
      </c>
      <c r="U49" s="13">
        <f t="shared" si="38"/>
        <v>0.64738461538461534</v>
      </c>
      <c r="V49" s="13">
        <f t="shared" si="39"/>
        <v>0.16184615384615383</v>
      </c>
      <c r="W49" s="13">
        <f>S49/T49</f>
        <v>0.51568627450980398</v>
      </c>
      <c r="X49" s="39">
        <f t="shared" si="41"/>
        <v>487500</v>
      </c>
      <c r="Z49" s="89" t="s">
        <v>753</v>
      </c>
      <c r="AA49" s="20" t="s">
        <v>792</v>
      </c>
    </row>
    <row r="50" spans="1:27" x14ac:dyDescent="0.25">
      <c r="A50" t="s">
        <v>276</v>
      </c>
      <c r="B50" s="18" t="s">
        <v>110</v>
      </c>
      <c r="C50" t="s">
        <v>112</v>
      </c>
      <c r="D50" s="20" t="s">
        <v>359</v>
      </c>
      <c r="E50" s="143" t="s">
        <v>920</v>
      </c>
      <c r="F50" s="30" t="s">
        <v>530</v>
      </c>
      <c r="G50" t="s">
        <v>360</v>
      </c>
      <c r="H50" t="str">
        <f>VLOOKUP(B50,PTJ!D:E,2,0)</f>
        <v>PL</v>
      </c>
      <c r="I50" s="12">
        <v>57000</v>
      </c>
      <c r="J50" s="55">
        <v>55000</v>
      </c>
      <c r="K50" s="55">
        <v>45000</v>
      </c>
      <c r="L50" s="55">
        <v>3000</v>
      </c>
      <c r="M50" s="42">
        <f t="shared" si="50"/>
        <v>0.81818181818181823</v>
      </c>
      <c r="N50" s="13">
        <f t="shared" si="51"/>
        <v>0.78947368421052633</v>
      </c>
      <c r="O50" s="13">
        <f t="shared" si="52"/>
        <v>15</v>
      </c>
      <c r="P50" s="136">
        <f t="shared" si="53"/>
        <v>12000</v>
      </c>
      <c r="R50" s="12">
        <v>14200</v>
      </c>
      <c r="S50" s="12">
        <v>45000</v>
      </c>
      <c r="U50" s="13">
        <f t="shared" si="38"/>
        <v>3.1690140845070425</v>
      </c>
      <c r="V50" s="13">
        <f t="shared" si="39"/>
        <v>0.78947368421052633</v>
      </c>
      <c r="W50" s="13" t="e">
        <f t="shared" ref="W50:W67" si="54">S50/T50</f>
        <v>#DIV/0!</v>
      </c>
      <c r="X50" s="39">
        <f t="shared" si="41"/>
        <v>42800</v>
      </c>
      <c r="Z50" s="89" t="s">
        <v>753</v>
      </c>
      <c r="AA50" s="20" t="s">
        <v>793</v>
      </c>
    </row>
    <row r="51" spans="1:27" x14ac:dyDescent="0.25">
      <c r="A51" t="s">
        <v>276</v>
      </c>
      <c r="B51" t="s">
        <v>119</v>
      </c>
      <c r="C51" t="s">
        <v>121</v>
      </c>
      <c r="D51" s="20" t="s">
        <v>359</v>
      </c>
      <c r="E51" s="143" t="s">
        <v>920</v>
      </c>
      <c r="F51" s="30" t="s">
        <v>530</v>
      </c>
      <c r="G51" t="s">
        <v>360</v>
      </c>
      <c r="H51" t="str">
        <f>VLOOKUP(B51,PTJ!D:E,2,0)</f>
        <v>KD</v>
      </c>
      <c r="I51" s="12">
        <v>171000</v>
      </c>
      <c r="J51" s="55">
        <v>45000</v>
      </c>
      <c r="K51" s="55">
        <v>38000</v>
      </c>
      <c r="L51" s="55">
        <v>102000</v>
      </c>
      <c r="M51" s="42">
        <f t="shared" si="50"/>
        <v>0.84444444444444444</v>
      </c>
      <c r="N51" s="13">
        <f t="shared" si="51"/>
        <v>0.22222222222222221</v>
      </c>
      <c r="O51" s="13">
        <f t="shared" si="52"/>
        <v>0.37254901960784315</v>
      </c>
      <c r="P51" s="136">
        <f t="shared" si="53"/>
        <v>133000</v>
      </c>
      <c r="R51" s="12">
        <v>42700</v>
      </c>
      <c r="S51" s="12">
        <v>38000</v>
      </c>
      <c r="T51" s="12">
        <v>36000</v>
      </c>
      <c r="U51" s="13">
        <f t="shared" si="38"/>
        <v>0.88992974238875877</v>
      </c>
      <c r="V51" s="13">
        <f t="shared" si="39"/>
        <v>0.22222222222222221</v>
      </c>
      <c r="W51" s="13">
        <f t="shared" si="54"/>
        <v>1.0555555555555556</v>
      </c>
      <c r="X51" s="39">
        <f t="shared" si="41"/>
        <v>128300</v>
      </c>
      <c r="Z51" s="89" t="s">
        <v>753</v>
      </c>
      <c r="AA51" s="20" t="s">
        <v>794</v>
      </c>
    </row>
    <row r="52" spans="1:27" x14ac:dyDescent="0.25">
      <c r="A52" t="s">
        <v>276</v>
      </c>
      <c r="B52" t="s">
        <v>127</v>
      </c>
      <c r="C52" t="s">
        <v>128</v>
      </c>
      <c r="D52" s="20" t="s">
        <v>359</v>
      </c>
      <c r="E52" s="143" t="s">
        <v>920</v>
      </c>
      <c r="F52" s="30" t="s">
        <v>530</v>
      </c>
      <c r="G52" t="s">
        <v>360</v>
      </c>
      <c r="H52" t="str">
        <f>VLOOKUP(B52,PTJ!D:E,2,0)</f>
        <v>PP</v>
      </c>
      <c r="I52" s="12">
        <v>228000</v>
      </c>
      <c r="J52" s="55">
        <v>120000</v>
      </c>
      <c r="K52" s="55">
        <v>102000</v>
      </c>
      <c r="L52" s="55">
        <v>0</v>
      </c>
      <c r="M52" s="42">
        <f t="shared" si="50"/>
        <v>0.85</v>
      </c>
      <c r="N52" s="13">
        <f t="shared" si="51"/>
        <v>0.44736842105263158</v>
      </c>
      <c r="O52" s="13" t="e">
        <f t="shared" si="52"/>
        <v>#DIV/0!</v>
      </c>
      <c r="P52" s="136">
        <f t="shared" si="53"/>
        <v>126000</v>
      </c>
      <c r="R52" s="12">
        <v>57000</v>
      </c>
      <c r="S52" s="12">
        <v>102000</v>
      </c>
      <c r="U52" s="13">
        <f t="shared" si="38"/>
        <v>1.7894736842105263</v>
      </c>
      <c r="V52" s="13">
        <f t="shared" si="39"/>
        <v>0.44736842105263158</v>
      </c>
      <c r="W52" s="13" t="e">
        <f t="shared" si="54"/>
        <v>#DIV/0!</v>
      </c>
      <c r="X52" s="39">
        <f t="shared" si="41"/>
        <v>171000</v>
      </c>
      <c r="Z52" s="89" t="s">
        <v>753</v>
      </c>
      <c r="AA52" s="20" t="s">
        <v>795</v>
      </c>
    </row>
    <row r="53" spans="1:27" x14ac:dyDescent="0.25">
      <c r="A53" t="s">
        <v>276</v>
      </c>
      <c r="B53" t="s">
        <v>135</v>
      </c>
      <c r="C53" t="s">
        <v>137</v>
      </c>
      <c r="D53" s="20" t="s">
        <v>359</v>
      </c>
      <c r="E53" s="143" t="s">
        <v>920</v>
      </c>
      <c r="F53" s="30" t="s">
        <v>530</v>
      </c>
      <c r="G53" t="s">
        <v>360</v>
      </c>
      <c r="H53" t="str">
        <f>VLOOKUP(B53,PTJ!D:E,2,0)</f>
        <v>PR</v>
      </c>
      <c r="I53" s="12">
        <v>228000</v>
      </c>
      <c r="J53" s="55">
        <v>0</v>
      </c>
      <c r="K53" s="55">
        <v>0</v>
      </c>
      <c r="L53" s="55">
        <v>0</v>
      </c>
      <c r="M53" s="42" t="e">
        <f t="shared" si="50"/>
        <v>#DIV/0!</v>
      </c>
      <c r="N53" s="13">
        <f t="shared" si="51"/>
        <v>0</v>
      </c>
      <c r="O53" s="13" t="e">
        <f t="shared" si="52"/>
        <v>#DIV/0!</v>
      </c>
      <c r="P53" s="136">
        <f t="shared" si="53"/>
        <v>228000</v>
      </c>
      <c r="R53" s="12">
        <v>57000</v>
      </c>
      <c r="S53" s="12">
        <v>0</v>
      </c>
      <c r="T53" s="12">
        <v>0</v>
      </c>
      <c r="U53" s="13">
        <f t="shared" si="38"/>
        <v>0</v>
      </c>
      <c r="V53" s="13">
        <f t="shared" si="39"/>
        <v>0</v>
      </c>
      <c r="W53" s="13" t="e">
        <f t="shared" si="54"/>
        <v>#DIV/0!</v>
      </c>
      <c r="X53" s="39">
        <f t="shared" si="41"/>
        <v>171000</v>
      </c>
      <c r="Z53" s="89" t="s">
        <v>753</v>
      </c>
      <c r="AA53" s="20" t="s">
        <v>796</v>
      </c>
    </row>
    <row r="54" spans="1:27" x14ac:dyDescent="0.25">
      <c r="A54" t="s">
        <v>276</v>
      </c>
      <c r="B54" t="s">
        <v>143</v>
      </c>
      <c r="C54" t="s">
        <v>145</v>
      </c>
      <c r="D54" s="20" t="s">
        <v>359</v>
      </c>
      <c r="E54" s="143" t="s">
        <v>920</v>
      </c>
      <c r="F54" s="30" t="s">
        <v>530</v>
      </c>
      <c r="G54" t="s">
        <v>360</v>
      </c>
      <c r="H54" t="str">
        <f>VLOOKUP(B54,PTJ!D:E,2,0)</f>
        <v>SL</v>
      </c>
      <c r="I54" s="12">
        <v>285000</v>
      </c>
      <c r="J54" s="55">
        <v>195500</v>
      </c>
      <c r="K54" s="55">
        <v>167000</v>
      </c>
      <c r="L54" s="55">
        <v>6500</v>
      </c>
      <c r="M54" s="42">
        <f t="shared" si="50"/>
        <v>0.8542199488491049</v>
      </c>
      <c r="N54" s="13">
        <f t="shared" si="51"/>
        <v>0.5859649122807018</v>
      </c>
      <c r="O54" s="13">
        <f t="shared" si="52"/>
        <v>25.692307692307693</v>
      </c>
      <c r="P54" s="136">
        <f t="shared" si="53"/>
        <v>118000</v>
      </c>
      <c r="R54" s="12">
        <v>71200</v>
      </c>
      <c r="S54" s="12">
        <v>129000</v>
      </c>
      <c r="U54" s="13">
        <f t="shared" si="38"/>
        <v>1.8117977528089888</v>
      </c>
      <c r="V54" s="13">
        <f t="shared" si="39"/>
        <v>0.45263157894736844</v>
      </c>
      <c r="W54" s="13" t="e">
        <f t="shared" si="54"/>
        <v>#DIV/0!</v>
      </c>
      <c r="X54" s="39">
        <f t="shared" si="41"/>
        <v>213800</v>
      </c>
      <c r="Z54" s="89" t="s">
        <v>753</v>
      </c>
      <c r="AA54" s="20" t="s">
        <v>797</v>
      </c>
    </row>
    <row r="55" spans="1:27" x14ac:dyDescent="0.25">
      <c r="A55" t="s">
        <v>276</v>
      </c>
      <c r="B55" t="s">
        <v>151</v>
      </c>
      <c r="C55" t="s">
        <v>153</v>
      </c>
      <c r="D55" s="20" t="s">
        <v>359</v>
      </c>
      <c r="E55" s="143" t="s">
        <v>920</v>
      </c>
      <c r="F55" s="30" t="s">
        <v>530</v>
      </c>
      <c r="G55" t="s">
        <v>360</v>
      </c>
      <c r="H55" t="str">
        <f>VLOOKUP(B55,PTJ!D:E,2,0)</f>
        <v>WP</v>
      </c>
      <c r="I55" s="12">
        <v>285000</v>
      </c>
      <c r="J55" s="55">
        <v>50000</v>
      </c>
      <c r="K55" s="55">
        <v>43000</v>
      </c>
      <c r="L55" s="55">
        <v>67000</v>
      </c>
      <c r="M55" s="42">
        <f t="shared" si="50"/>
        <v>0.86</v>
      </c>
      <c r="N55" s="13">
        <f t="shared" si="51"/>
        <v>0.15087719298245614</v>
      </c>
      <c r="O55" s="13">
        <f t="shared" si="52"/>
        <v>0.64179104477611937</v>
      </c>
      <c r="P55" s="136">
        <f t="shared" si="53"/>
        <v>242000</v>
      </c>
      <c r="R55" s="12">
        <v>71200</v>
      </c>
      <c r="S55" s="12">
        <v>0</v>
      </c>
      <c r="T55" s="12">
        <v>45000</v>
      </c>
      <c r="U55" s="13">
        <f t="shared" si="38"/>
        <v>0</v>
      </c>
      <c r="V55" s="13">
        <f t="shared" si="39"/>
        <v>0</v>
      </c>
      <c r="W55" s="13">
        <f t="shared" si="54"/>
        <v>0</v>
      </c>
      <c r="X55" s="39">
        <f t="shared" si="41"/>
        <v>213800</v>
      </c>
      <c r="Z55" s="89" t="s">
        <v>753</v>
      </c>
      <c r="AA55" s="20" t="s">
        <v>798</v>
      </c>
    </row>
    <row r="56" spans="1:27" x14ac:dyDescent="0.25">
      <c r="A56" t="s">
        <v>276</v>
      </c>
      <c r="B56" t="s">
        <v>159</v>
      </c>
      <c r="C56" t="s">
        <v>161</v>
      </c>
      <c r="D56" s="20" t="s">
        <v>359</v>
      </c>
      <c r="E56" s="143" t="s">
        <v>920</v>
      </c>
      <c r="F56" s="30" t="s">
        <v>530</v>
      </c>
      <c r="G56" t="s">
        <v>360</v>
      </c>
      <c r="H56" t="str">
        <f>VLOOKUP(B56,PTJ!D:E,2,0)</f>
        <v>NS</v>
      </c>
      <c r="I56" s="12">
        <v>171000</v>
      </c>
      <c r="J56" s="55">
        <v>66000</v>
      </c>
      <c r="K56" s="55">
        <v>54500</v>
      </c>
      <c r="L56" s="55">
        <v>6500</v>
      </c>
      <c r="M56" s="42">
        <f t="shared" si="50"/>
        <v>0.8257575757575758</v>
      </c>
      <c r="N56" s="13">
        <f t="shared" si="51"/>
        <v>0.31871345029239767</v>
      </c>
      <c r="O56" s="13">
        <f t="shared" si="52"/>
        <v>8.384615384615385</v>
      </c>
      <c r="P56" s="136">
        <f t="shared" si="53"/>
        <v>116500</v>
      </c>
      <c r="R56" s="12">
        <v>42700</v>
      </c>
      <c r="S56" s="12">
        <v>0</v>
      </c>
      <c r="T56" s="12">
        <v>2000</v>
      </c>
      <c r="U56" s="13">
        <f t="shared" si="38"/>
        <v>0</v>
      </c>
      <c r="V56" s="13">
        <f t="shared" si="39"/>
        <v>0</v>
      </c>
      <c r="W56" s="13">
        <f t="shared" si="54"/>
        <v>0</v>
      </c>
      <c r="X56" s="39">
        <f t="shared" si="41"/>
        <v>128300</v>
      </c>
      <c r="Z56" s="89" t="s">
        <v>753</v>
      </c>
      <c r="AA56" s="20" t="s">
        <v>799</v>
      </c>
    </row>
    <row r="57" spans="1:27" x14ac:dyDescent="0.25">
      <c r="A57" t="s">
        <v>276</v>
      </c>
      <c r="B57" t="s">
        <v>170</v>
      </c>
      <c r="C57" t="s">
        <v>172</v>
      </c>
      <c r="D57" s="20" t="s">
        <v>359</v>
      </c>
      <c r="E57" s="143" t="s">
        <v>920</v>
      </c>
      <c r="F57" s="30" t="s">
        <v>530</v>
      </c>
      <c r="G57" t="s">
        <v>360</v>
      </c>
      <c r="H57" t="str">
        <f>VLOOKUP(B57,PTJ!D:E,2,0)</f>
        <v>ML</v>
      </c>
      <c r="I57" s="12">
        <v>171000</v>
      </c>
      <c r="J57" s="55">
        <v>13000</v>
      </c>
      <c r="K57" s="55">
        <v>11000</v>
      </c>
      <c r="L57" s="55">
        <v>18500</v>
      </c>
      <c r="M57" s="42">
        <f t="shared" si="50"/>
        <v>0.84615384615384615</v>
      </c>
      <c r="N57" s="13">
        <f t="shared" si="51"/>
        <v>6.4327485380116955E-2</v>
      </c>
      <c r="O57" s="13">
        <f t="shared" si="52"/>
        <v>0.59459459459459463</v>
      </c>
      <c r="P57" s="136">
        <f t="shared" si="53"/>
        <v>160000</v>
      </c>
      <c r="R57" s="12">
        <v>42700</v>
      </c>
      <c r="S57" s="12">
        <v>0</v>
      </c>
      <c r="T57" s="12">
        <v>18500</v>
      </c>
      <c r="U57" s="13">
        <f t="shared" si="38"/>
        <v>0</v>
      </c>
      <c r="V57" s="13">
        <f t="shared" si="39"/>
        <v>0</v>
      </c>
      <c r="W57" s="13">
        <f t="shared" si="54"/>
        <v>0</v>
      </c>
      <c r="X57" s="39">
        <f t="shared" si="41"/>
        <v>128300</v>
      </c>
      <c r="Z57" s="89" t="s">
        <v>753</v>
      </c>
      <c r="AA57" s="20" t="s">
        <v>800</v>
      </c>
    </row>
    <row r="58" spans="1:27" x14ac:dyDescent="0.25">
      <c r="A58" t="s">
        <v>276</v>
      </c>
      <c r="B58" t="s">
        <v>179</v>
      </c>
      <c r="C58" t="s">
        <v>181</v>
      </c>
      <c r="D58" s="20" t="s">
        <v>359</v>
      </c>
      <c r="E58" s="143" t="s">
        <v>920</v>
      </c>
      <c r="F58" s="30" t="s">
        <v>530</v>
      </c>
      <c r="G58" t="s">
        <v>360</v>
      </c>
      <c r="H58" t="str">
        <f>VLOOKUP(B58,PTJ!D:E,2,0)</f>
        <v>JH</v>
      </c>
      <c r="I58" s="12">
        <v>285000</v>
      </c>
      <c r="J58" s="55">
        <v>21000</v>
      </c>
      <c r="K58" s="55">
        <v>17000</v>
      </c>
      <c r="L58" s="55">
        <v>107000</v>
      </c>
      <c r="M58" s="42">
        <f t="shared" si="50"/>
        <v>0.80952380952380953</v>
      </c>
      <c r="N58" s="13">
        <f t="shared" si="51"/>
        <v>5.9649122807017542E-2</v>
      </c>
      <c r="O58" s="13">
        <f t="shared" si="52"/>
        <v>0.15887850467289719</v>
      </c>
      <c r="P58" s="136">
        <f t="shared" si="53"/>
        <v>268000</v>
      </c>
      <c r="R58" s="12">
        <v>71200</v>
      </c>
      <c r="S58" s="12">
        <v>2000</v>
      </c>
      <c r="T58" s="12">
        <v>107000</v>
      </c>
      <c r="U58" s="13">
        <f t="shared" si="38"/>
        <v>2.8089887640449437E-2</v>
      </c>
      <c r="V58" s="13">
        <f t="shared" si="39"/>
        <v>7.0175438596491229E-3</v>
      </c>
      <c r="W58" s="13">
        <f t="shared" si="54"/>
        <v>1.8691588785046728E-2</v>
      </c>
      <c r="X58" s="39">
        <f t="shared" si="41"/>
        <v>213800</v>
      </c>
      <c r="Z58" s="89" t="s">
        <v>753</v>
      </c>
      <c r="AA58" s="20" t="s">
        <v>801</v>
      </c>
    </row>
    <row r="59" spans="1:27" x14ac:dyDescent="0.25">
      <c r="A59" t="s">
        <v>276</v>
      </c>
      <c r="B59" t="s">
        <v>189</v>
      </c>
      <c r="C59" t="s">
        <v>191</v>
      </c>
      <c r="D59" s="20" t="s">
        <v>359</v>
      </c>
      <c r="E59" s="143" t="s">
        <v>920</v>
      </c>
      <c r="F59" s="30" t="s">
        <v>530</v>
      </c>
      <c r="G59" t="s">
        <v>360</v>
      </c>
      <c r="H59" t="str">
        <f>VLOOKUP(B59,PTJ!D:E,2,0)</f>
        <v>PH</v>
      </c>
      <c r="I59" s="12">
        <v>228000</v>
      </c>
      <c r="J59" s="55">
        <v>6000</v>
      </c>
      <c r="K59" s="55">
        <v>5000</v>
      </c>
      <c r="L59" s="55">
        <v>69000</v>
      </c>
      <c r="M59" s="42">
        <f t="shared" si="50"/>
        <v>0.83333333333333337</v>
      </c>
      <c r="N59" s="13">
        <f t="shared" si="51"/>
        <v>2.1929824561403508E-2</v>
      </c>
      <c r="O59" s="13">
        <f t="shared" si="52"/>
        <v>7.2463768115942032E-2</v>
      </c>
      <c r="P59" s="136">
        <f t="shared" si="53"/>
        <v>223000</v>
      </c>
      <c r="R59" s="12">
        <v>57000</v>
      </c>
      <c r="S59" s="12">
        <v>0</v>
      </c>
      <c r="T59" s="12">
        <v>17000</v>
      </c>
      <c r="U59" s="13">
        <f t="shared" si="38"/>
        <v>0</v>
      </c>
      <c r="V59" s="13">
        <f t="shared" si="39"/>
        <v>0</v>
      </c>
      <c r="W59" s="13">
        <f t="shared" si="54"/>
        <v>0</v>
      </c>
      <c r="X59" s="39">
        <f t="shared" si="41"/>
        <v>171000</v>
      </c>
      <c r="Z59" s="89" t="s">
        <v>753</v>
      </c>
      <c r="AA59" s="20" t="s">
        <v>802</v>
      </c>
    </row>
    <row r="60" spans="1:27" x14ac:dyDescent="0.25">
      <c r="A60" t="s">
        <v>276</v>
      </c>
      <c r="B60" t="s">
        <v>198</v>
      </c>
      <c r="C60" t="s">
        <v>200</v>
      </c>
      <c r="D60" s="20" t="s">
        <v>359</v>
      </c>
      <c r="E60" s="143" t="s">
        <v>920</v>
      </c>
      <c r="F60" s="30" t="s">
        <v>530</v>
      </c>
      <c r="G60" t="s">
        <v>360</v>
      </c>
      <c r="H60" t="str">
        <f>VLOOKUP(B60,PTJ!D:E,2,0)</f>
        <v>TR</v>
      </c>
      <c r="I60" s="12">
        <v>171000</v>
      </c>
      <c r="J60" s="55">
        <v>19000</v>
      </c>
      <c r="K60" s="55">
        <v>15500</v>
      </c>
      <c r="L60" s="55">
        <v>20000</v>
      </c>
      <c r="M60" s="42">
        <f t="shared" si="50"/>
        <v>0.81578947368421051</v>
      </c>
      <c r="N60" s="13">
        <f t="shared" si="51"/>
        <v>9.0643274853801165E-2</v>
      </c>
      <c r="O60" s="13">
        <f t="shared" si="52"/>
        <v>0.77500000000000002</v>
      </c>
      <c r="P60" s="136">
        <f t="shared" si="53"/>
        <v>155500</v>
      </c>
      <c r="R60" s="12">
        <v>42700</v>
      </c>
      <c r="S60" s="12">
        <v>15500</v>
      </c>
      <c r="T60" s="12">
        <v>15000</v>
      </c>
      <c r="U60" s="13">
        <f t="shared" si="38"/>
        <v>0.36299765807962531</v>
      </c>
      <c r="V60" s="13">
        <f t="shared" si="39"/>
        <v>9.0643274853801165E-2</v>
      </c>
      <c r="W60" s="13">
        <f t="shared" si="54"/>
        <v>1.0333333333333334</v>
      </c>
      <c r="X60" s="39">
        <f t="shared" si="41"/>
        <v>128300</v>
      </c>
      <c r="Z60" s="89" t="s">
        <v>753</v>
      </c>
      <c r="AA60" s="20" t="s">
        <v>803</v>
      </c>
    </row>
    <row r="61" spans="1:27" x14ac:dyDescent="0.25">
      <c r="A61" t="s">
        <v>276</v>
      </c>
      <c r="B61" t="s">
        <v>206</v>
      </c>
      <c r="C61" t="s">
        <v>208</v>
      </c>
      <c r="D61" s="20" t="s">
        <v>359</v>
      </c>
      <c r="E61" s="143" t="s">
        <v>920</v>
      </c>
      <c r="F61" s="30" t="s">
        <v>530</v>
      </c>
      <c r="G61" t="s">
        <v>360</v>
      </c>
      <c r="H61" t="str">
        <f>VLOOKUP(B61,PTJ!D:E,2,0)</f>
        <v>KN</v>
      </c>
      <c r="I61" s="12">
        <v>114000</v>
      </c>
      <c r="J61" s="55">
        <v>0</v>
      </c>
      <c r="K61" s="55">
        <v>0</v>
      </c>
      <c r="L61" s="55">
        <v>19500</v>
      </c>
      <c r="M61" s="42" t="e">
        <f t="shared" si="50"/>
        <v>#DIV/0!</v>
      </c>
      <c r="N61" s="13">
        <f t="shared" si="51"/>
        <v>0</v>
      </c>
      <c r="O61" s="13">
        <f t="shared" si="52"/>
        <v>0</v>
      </c>
      <c r="P61" s="136">
        <f t="shared" si="53"/>
        <v>114000</v>
      </c>
      <c r="R61" s="12">
        <v>28500</v>
      </c>
      <c r="S61" s="12">
        <v>0</v>
      </c>
      <c r="T61" s="12">
        <v>0</v>
      </c>
      <c r="U61" s="13">
        <f t="shared" si="38"/>
        <v>0</v>
      </c>
      <c r="V61" s="13">
        <f t="shared" si="39"/>
        <v>0</v>
      </c>
      <c r="W61" s="13" t="e">
        <f t="shared" si="54"/>
        <v>#DIV/0!</v>
      </c>
      <c r="X61" s="39">
        <f t="shared" si="41"/>
        <v>85500</v>
      </c>
      <c r="Z61" s="89" t="s">
        <v>753</v>
      </c>
      <c r="AA61" s="20" t="s">
        <v>804</v>
      </c>
    </row>
    <row r="62" spans="1:27" x14ac:dyDescent="0.25">
      <c r="A62" t="s">
        <v>276</v>
      </c>
      <c r="B62" t="s">
        <v>214</v>
      </c>
      <c r="C62" t="s">
        <v>216</v>
      </c>
      <c r="D62" s="20" t="s">
        <v>359</v>
      </c>
      <c r="E62" s="143" t="s">
        <v>920</v>
      </c>
      <c r="F62" s="30" t="s">
        <v>530</v>
      </c>
      <c r="G62" t="s">
        <v>360</v>
      </c>
      <c r="H62" t="str">
        <f>VLOOKUP(B62,PTJ!D:E,2,0)</f>
        <v>SR</v>
      </c>
      <c r="I62" s="12">
        <v>228000</v>
      </c>
      <c r="J62" s="55">
        <v>25000</v>
      </c>
      <c r="K62" s="55">
        <v>21500</v>
      </c>
      <c r="L62" s="55">
        <v>30000</v>
      </c>
      <c r="M62" s="42">
        <f t="shared" si="50"/>
        <v>0.86</v>
      </c>
      <c r="N62" s="13">
        <f t="shared" si="51"/>
        <v>9.4298245614035089E-2</v>
      </c>
      <c r="O62" s="13">
        <f t="shared" si="52"/>
        <v>0.71666666666666667</v>
      </c>
      <c r="P62" s="136">
        <f t="shared" si="53"/>
        <v>206500</v>
      </c>
      <c r="R62" s="12">
        <v>57000</v>
      </c>
      <c r="S62" s="12">
        <v>11500</v>
      </c>
      <c r="T62" s="12">
        <v>30000</v>
      </c>
      <c r="U62" s="13">
        <f t="shared" si="38"/>
        <v>0.20175438596491227</v>
      </c>
      <c r="V62" s="13">
        <f t="shared" si="39"/>
        <v>5.0438596491228067E-2</v>
      </c>
      <c r="W62" s="13">
        <f t="shared" si="54"/>
        <v>0.38333333333333336</v>
      </c>
      <c r="X62" s="39">
        <f t="shared" si="41"/>
        <v>171000</v>
      </c>
      <c r="Z62" s="89" t="s">
        <v>753</v>
      </c>
      <c r="AA62" s="20" t="s">
        <v>805</v>
      </c>
    </row>
    <row r="63" spans="1:27" x14ac:dyDescent="0.25">
      <c r="A63" t="s">
        <v>276</v>
      </c>
      <c r="B63" t="s">
        <v>248</v>
      </c>
      <c r="C63" t="s">
        <v>250</v>
      </c>
      <c r="D63" s="20" t="s">
        <v>359</v>
      </c>
      <c r="E63" s="143" t="s">
        <v>920</v>
      </c>
      <c r="F63" s="30" t="s">
        <v>530</v>
      </c>
      <c r="G63" t="s">
        <v>360</v>
      </c>
      <c r="H63" t="str">
        <f>VLOOKUP(B63,PTJ!D:E,2,0)</f>
        <v>SB</v>
      </c>
      <c r="I63" s="12">
        <v>228000</v>
      </c>
      <c r="J63" s="55">
        <v>0</v>
      </c>
      <c r="K63" s="55">
        <v>0</v>
      </c>
      <c r="L63" s="55">
        <v>42000</v>
      </c>
      <c r="M63" s="42" t="e">
        <f t="shared" ref="M63:M78" si="55">K63/J63</f>
        <v>#DIV/0!</v>
      </c>
      <c r="N63" s="13">
        <f t="shared" ref="N63:N78" si="56">K63/I63</f>
        <v>0</v>
      </c>
      <c r="O63" s="13">
        <f t="shared" ref="O63:O78" si="57">K63/L63</f>
        <v>0</v>
      </c>
      <c r="P63" s="136">
        <f t="shared" ref="P63:P78" si="58">I63-K63</f>
        <v>228000</v>
      </c>
      <c r="R63" s="12">
        <v>57000</v>
      </c>
      <c r="S63" s="12">
        <v>0</v>
      </c>
      <c r="T63" s="12">
        <v>42000</v>
      </c>
      <c r="U63" s="13">
        <f t="shared" si="38"/>
        <v>0</v>
      </c>
      <c r="V63" s="13">
        <f t="shared" si="39"/>
        <v>0</v>
      </c>
      <c r="W63" s="13">
        <f t="shared" si="54"/>
        <v>0</v>
      </c>
      <c r="X63" s="39">
        <f t="shared" si="41"/>
        <v>171000</v>
      </c>
      <c r="Z63" s="89" t="s">
        <v>753</v>
      </c>
      <c r="AA63" s="20" t="s">
        <v>806</v>
      </c>
    </row>
    <row r="64" spans="1:27" x14ac:dyDescent="0.25">
      <c r="A64" t="s">
        <v>276</v>
      </c>
      <c r="B64" t="s">
        <v>110</v>
      </c>
      <c r="C64" t="s">
        <v>112</v>
      </c>
      <c r="D64" s="20" t="s">
        <v>365</v>
      </c>
      <c r="E64" t="s">
        <v>921</v>
      </c>
      <c r="F64" s="30" t="s">
        <v>366</v>
      </c>
      <c r="G64" t="s">
        <v>366</v>
      </c>
      <c r="H64" t="str">
        <f>VLOOKUP(B64,PTJ!D:E,2,0)</f>
        <v>PL</v>
      </c>
      <c r="I64" s="12">
        <v>395200</v>
      </c>
      <c r="J64" s="55">
        <v>95000</v>
      </c>
      <c r="K64" s="55">
        <v>78000</v>
      </c>
      <c r="L64" s="55">
        <v>18300</v>
      </c>
      <c r="M64" s="42">
        <f t="shared" si="55"/>
        <v>0.82105263157894737</v>
      </c>
      <c r="N64" s="13">
        <f t="shared" si="56"/>
        <v>0.19736842105263158</v>
      </c>
      <c r="O64" s="13">
        <f t="shared" si="57"/>
        <v>4.2622950819672134</v>
      </c>
      <c r="P64" s="136">
        <f t="shared" si="58"/>
        <v>317200</v>
      </c>
      <c r="R64" s="12">
        <v>98800</v>
      </c>
      <c r="S64" s="12">
        <v>19000</v>
      </c>
      <c r="T64" s="12">
        <v>12500</v>
      </c>
      <c r="U64" s="13">
        <f t="shared" si="38"/>
        <v>0.19230769230769232</v>
      </c>
      <c r="V64" s="13">
        <f t="shared" si="39"/>
        <v>4.807692307692308E-2</v>
      </c>
      <c r="W64" s="13">
        <f t="shared" si="54"/>
        <v>1.52</v>
      </c>
      <c r="X64" s="39">
        <f t="shared" si="41"/>
        <v>296400</v>
      </c>
      <c r="Z64" s="89" t="s">
        <v>753</v>
      </c>
      <c r="AA64" s="20" t="s">
        <v>807</v>
      </c>
    </row>
    <row r="65" spans="1:27" x14ac:dyDescent="0.25">
      <c r="A65" t="s">
        <v>276</v>
      </c>
      <c r="B65" t="s">
        <v>119</v>
      </c>
      <c r="C65" t="s">
        <v>121</v>
      </c>
      <c r="D65" s="20" t="s">
        <v>365</v>
      </c>
      <c r="E65" t="s">
        <v>921</v>
      </c>
      <c r="F65" s="30" t="s">
        <v>366</v>
      </c>
      <c r="G65" t="s">
        <v>366</v>
      </c>
      <c r="H65" t="str">
        <f>VLOOKUP(B65,PTJ!D:E,2,0)</f>
        <v>KD</v>
      </c>
      <c r="I65" s="12">
        <v>1185700</v>
      </c>
      <c r="J65" s="55">
        <v>285000</v>
      </c>
      <c r="K65" s="55">
        <v>246900</v>
      </c>
      <c r="L65" s="55">
        <v>155000</v>
      </c>
      <c r="M65" s="42">
        <f t="shared" si="55"/>
        <v>0.86631578947368426</v>
      </c>
      <c r="N65" s="13">
        <f t="shared" si="56"/>
        <v>0.20823142447499368</v>
      </c>
      <c r="O65" s="13">
        <f t="shared" si="57"/>
        <v>1.5929032258064517</v>
      </c>
      <c r="P65" s="136">
        <f t="shared" si="58"/>
        <v>938800</v>
      </c>
      <c r="R65" s="12">
        <v>296400</v>
      </c>
      <c r="S65" s="12">
        <v>192200</v>
      </c>
      <c r="T65" s="12">
        <v>97500</v>
      </c>
      <c r="U65" s="13">
        <f t="shared" si="38"/>
        <v>0.64844804318488525</v>
      </c>
      <c r="V65" s="13">
        <f t="shared" si="39"/>
        <v>0.16209833853419919</v>
      </c>
      <c r="W65" s="13">
        <f t="shared" si="54"/>
        <v>1.9712820512820513</v>
      </c>
      <c r="X65" s="39">
        <f t="shared" si="41"/>
        <v>889300</v>
      </c>
      <c r="Z65" s="89" t="s">
        <v>753</v>
      </c>
      <c r="AA65" s="20" t="s">
        <v>808</v>
      </c>
    </row>
    <row r="66" spans="1:27" x14ac:dyDescent="0.25">
      <c r="A66" t="s">
        <v>276</v>
      </c>
      <c r="B66" t="s">
        <v>127</v>
      </c>
      <c r="C66" t="s">
        <v>128</v>
      </c>
      <c r="D66" s="20" t="s">
        <v>365</v>
      </c>
      <c r="E66" t="s">
        <v>921</v>
      </c>
      <c r="F66" s="30" t="s">
        <v>366</v>
      </c>
      <c r="G66" t="s">
        <v>366</v>
      </c>
      <c r="H66" t="str">
        <f>VLOOKUP(B66,PTJ!D:E,2,0)</f>
        <v>PP</v>
      </c>
      <c r="I66" s="12">
        <v>1580900</v>
      </c>
      <c r="J66" s="55">
        <v>355000</v>
      </c>
      <c r="K66" s="55">
        <v>306500</v>
      </c>
      <c r="L66" s="55">
        <v>169050</v>
      </c>
      <c r="M66" s="42">
        <f t="shared" si="55"/>
        <v>0.86338028169014081</v>
      </c>
      <c r="N66" s="13">
        <f t="shared" si="56"/>
        <v>0.19387690556012399</v>
      </c>
      <c r="O66" s="13">
        <f t="shared" si="57"/>
        <v>1.8130730553090801</v>
      </c>
      <c r="P66" s="136">
        <f t="shared" si="58"/>
        <v>1274400</v>
      </c>
      <c r="R66" s="12">
        <v>395200</v>
      </c>
      <c r="S66" s="12">
        <v>230500</v>
      </c>
      <c r="T66" s="12">
        <v>35550</v>
      </c>
      <c r="U66" s="13">
        <f t="shared" si="38"/>
        <v>0.58324898785425106</v>
      </c>
      <c r="V66" s="13">
        <f t="shared" si="39"/>
        <v>0.14580302359415523</v>
      </c>
      <c r="W66" s="13">
        <f t="shared" si="54"/>
        <v>6.4838255977496484</v>
      </c>
      <c r="X66" s="39">
        <f t="shared" si="41"/>
        <v>1185700</v>
      </c>
      <c r="Z66" s="89" t="s">
        <v>753</v>
      </c>
      <c r="AA66" s="20" t="s">
        <v>809</v>
      </c>
    </row>
    <row r="67" spans="1:27" x14ac:dyDescent="0.25">
      <c r="A67" t="s">
        <v>276</v>
      </c>
      <c r="B67" t="s">
        <v>135</v>
      </c>
      <c r="C67" t="s">
        <v>137</v>
      </c>
      <c r="D67" s="20" t="s">
        <v>365</v>
      </c>
      <c r="E67" t="s">
        <v>921</v>
      </c>
      <c r="F67" s="30" t="s">
        <v>366</v>
      </c>
      <c r="G67" t="s">
        <v>366</v>
      </c>
      <c r="H67" t="str">
        <f>VLOOKUP(B67,PTJ!D:E,2,0)</f>
        <v>PR</v>
      </c>
      <c r="I67" s="12">
        <v>1580900</v>
      </c>
      <c r="J67" s="55">
        <v>455400</v>
      </c>
      <c r="K67" s="55">
        <v>429400</v>
      </c>
      <c r="L67" s="55">
        <v>158050</v>
      </c>
      <c r="M67" s="42">
        <f t="shared" si="55"/>
        <v>0.94290733421168205</v>
      </c>
      <c r="N67" s="13">
        <f t="shared" si="56"/>
        <v>0.27161743310772346</v>
      </c>
      <c r="O67" s="13">
        <f t="shared" si="57"/>
        <v>2.7168617526099337</v>
      </c>
      <c r="P67" s="136">
        <f t="shared" si="58"/>
        <v>1151500</v>
      </c>
      <c r="R67" s="12">
        <v>395200</v>
      </c>
      <c r="S67" s="12">
        <v>222900</v>
      </c>
      <c r="T67" s="12">
        <v>128500</v>
      </c>
      <c r="U67" s="13">
        <f t="shared" si="38"/>
        <v>0.56401821862348178</v>
      </c>
      <c r="V67" s="13">
        <f t="shared" si="39"/>
        <v>0.14099563539755836</v>
      </c>
      <c r="W67" s="13">
        <f t="shared" si="54"/>
        <v>1.7346303501945526</v>
      </c>
      <c r="X67" s="39">
        <f t="shared" si="41"/>
        <v>1185700</v>
      </c>
      <c r="Z67" s="89" t="s">
        <v>753</v>
      </c>
      <c r="AA67" s="20" t="s">
        <v>810</v>
      </c>
    </row>
    <row r="68" spans="1:27" x14ac:dyDescent="0.25">
      <c r="A68" t="s">
        <v>276</v>
      </c>
      <c r="B68" t="s">
        <v>143</v>
      </c>
      <c r="C68" t="s">
        <v>145</v>
      </c>
      <c r="D68" s="20" t="s">
        <v>365</v>
      </c>
      <c r="E68" t="s">
        <v>921</v>
      </c>
      <c r="F68" s="30" t="s">
        <v>366</v>
      </c>
      <c r="G68" t="s">
        <v>366</v>
      </c>
      <c r="H68" t="str">
        <f>VLOOKUP(B68,PTJ!D:E,2,0)</f>
        <v>SL</v>
      </c>
      <c r="I68" s="12">
        <v>1976200</v>
      </c>
      <c r="J68" s="55">
        <v>269000</v>
      </c>
      <c r="K68" s="55">
        <v>233000</v>
      </c>
      <c r="L68" s="55">
        <v>265000</v>
      </c>
      <c r="M68" s="42">
        <f t="shared" si="55"/>
        <v>0.86617100371747213</v>
      </c>
      <c r="N68" s="13">
        <f t="shared" si="56"/>
        <v>0.11790304625037952</v>
      </c>
      <c r="O68" s="13">
        <f t="shared" si="57"/>
        <v>0.87924528301886795</v>
      </c>
      <c r="P68" s="136">
        <f t="shared" si="58"/>
        <v>1743200</v>
      </c>
      <c r="R68" s="12">
        <v>494000</v>
      </c>
      <c r="S68" s="12">
        <v>156500</v>
      </c>
      <c r="T68" s="12">
        <v>207000</v>
      </c>
      <c r="U68" s="13">
        <f t="shared" si="38"/>
        <v>0.3168016194331984</v>
      </c>
      <c r="V68" s="13">
        <f t="shared" si="39"/>
        <v>7.919238943426779E-2</v>
      </c>
      <c r="W68" s="13">
        <f>S68/T68</f>
        <v>0.7560386473429952</v>
      </c>
      <c r="X68" s="39">
        <f t="shared" si="41"/>
        <v>1482200</v>
      </c>
      <c r="Z68" s="89" t="s">
        <v>753</v>
      </c>
      <c r="AA68" s="20" t="s">
        <v>811</v>
      </c>
    </row>
    <row r="69" spans="1:27" x14ac:dyDescent="0.25">
      <c r="A69" t="s">
        <v>276</v>
      </c>
      <c r="B69" t="s">
        <v>151</v>
      </c>
      <c r="C69" t="s">
        <v>153</v>
      </c>
      <c r="D69" s="20" t="s">
        <v>365</v>
      </c>
      <c r="E69" t="s">
        <v>921</v>
      </c>
      <c r="F69" s="30" t="s">
        <v>366</v>
      </c>
      <c r="G69" t="s">
        <v>366</v>
      </c>
      <c r="H69" t="str">
        <f>VLOOKUP(B69,PTJ!D:E,2,0)</f>
        <v>WP</v>
      </c>
      <c r="I69" s="12">
        <v>1976200</v>
      </c>
      <c r="J69" s="55">
        <v>510000</v>
      </c>
      <c r="K69" s="55">
        <v>443500</v>
      </c>
      <c r="L69" s="55">
        <v>388200</v>
      </c>
      <c r="M69" s="42">
        <f t="shared" si="55"/>
        <v>0.86960784313725492</v>
      </c>
      <c r="N69" s="13">
        <f t="shared" si="56"/>
        <v>0.22442060520190263</v>
      </c>
      <c r="O69" s="13">
        <f t="shared" si="57"/>
        <v>1.1424523441524987</v>
      </c>
      <c r="P69" s="136">
        <f t="shared" si="58"/>
        <v>1532700</v>
      </c>
      <c r="R69" s="12">
        <v>494000</v>
      </c>
      <c r="S69" s="12">
        <v>168000</v>
      </c>
      <c r="T69" s="12">
        <v>195500</v>
      </c>
      <c r="U69" s="13">
        <f t="shared" si="38"/>
        <v>0.34008097165991902</v>
      </c>
      <c r="V69" s="13">
        <f t="shared" si="39"/>
        <v>8.501163849812772E-2</v>
      </c>
      <c r="W69" s="13">
        <f t="shared" ref="W69:W84" si="59">S69/T69</f>
        <v>0.85933503836317138</v>
      </c>
      <c r="X69" s="39">
        <f t="shared" si="41"/>
        <v>1482200</v>
      </c>
      <c r="Z69" s="89" t="s">
        <v>753</v>
      </c>
      <c r="AA69" s="20" t="s">
        <v>812</v>
      </c>
    </row>
    <row r="70" spans="1:27" x14ac:dyDescent="0.25">
      <c r="A70" t="s">
        <v>276</v>
      </c>
      <c r="B70" t="s">
        <v>159</v>
      </c>
      <c r="C70" t="s">
        <v>161</v>
      </c>
      <c r="D70" s="20" t="s">
        <v>365</v>
      </c>
      <c r="E70" t="s">
        <v>921</v>
      </c>
      <c r="F70" s="30" t="s">
        <v>366</v>
      </c>
      <c r="G70" t="s">
        <v>366</v>
      </c>
      <c r="H70" t="str">
        <f>VLOOKUP(B70,PTJ!D:E,2,0)</f>
        <v>NS</v>
      </c>
      <c r="I70" s="12">
        <v>1185700</v>
      </c>
      <c r="J70" s="55">
        <v>220000</v>
      </c>
      <c r="K70" s="55">
        <v>193000</v>
      </c>
      <c r="L70" s="55">
        <v>339500</v>
      </c>
      <c r="M70" s="42">
        <f t="shared" si="55"/>
        <v>0.87727272727272732</v>
      </c>
      <c r="N70" s="13">
        <f t="shared" si="56"/>
        <v>0.16277304545837901</v>
      </c>
      <c r="O70" s="13">
        <f t="shared" si="57"/>
        <v>0.56848306332842413</v>
      </c>
      <c r="P70" s="136">
        <f t="shared" si="58"/>
        <v>992700</v>
      </c>
      <c r="R70" s="12">
        <v>296400</v>
      </c>
      <c r="S70" s="12">
        <v>103500</v>
      </c>
      <c r="T70" s="12">
        <v>112000</v>
      </c>
      <c r="U70" s="13">
        <f t="shared" si="38"/>
        <v>0.34919028340080971</v>
      </c>
      <c r="V70" s="13">
        <f t="shared" si="39"/>
        <v>8.7290208315762841E-2</v>
      </c>
      <c r="W70" s="13">
        <f t="shared" si="59"/>
        <v>0.9241071428571429</v>
      </c>
      <c r="X70" s="39">
        <f t="shared" si="41"/>
        <v>889300</v>
      </c>
      <c r="Z70" s="89" t="s">
        <v>753</v>
      </c>
      <c r="AA70" s="20" t="s">
        <v>813</v>
      </c>
    </row>
    <row r="71" spans="1:27" x14ac:dyDescent="0.25">
      <c r="A71" t="s">
        <v>276</v>
      </c>
      <c r="B71" t="s">
        <v>170</v>
      </c>
      <c r="C71" t="s">
        <v>172</v>
      </c>
      <c r="D71" s="20" t="s">
        <v>365</v>
      </c>
      <c r="E71" t="s">
        <v>921</v>
      </c>
      <c r="F71" s="30" t="s">
        <v>366</v>
      </c>
      <c r="G71" t="s">
        <v>366</v>
      </c>
      <c r="H71" t="str">
        <f>VLOOKUP(B71,PTJ!D:E,2,0)</f>
        <v>ML</v>
      </c>
      <c r="I71" s="12">
        <v>1185700</v>
      </c>
      <c r="J71" s="55">
        <v>210000</v>
      </c>
      <c r="K71" s="55">
        <v>186000</v>
      </c>
      <c r="L71" s="55">
        <v>281000</v>
      </c>
      <c r="M71" s="42">
        <f t="shared" si="55"/>
        <v>0.88571428571428568</v>
      </c>
      <c r="N71" s="13">
        <f t="shared" si="56"/>
        <v>0.1568693598718057</v>
      </c>
      <c r="O71" s="13">
        <f t="shared" si="57"/>
        <v>0.66192170818505336</v>
      </c>
      <c r="P71" s="136">
        <f t="shared" si="58"/>
        <v>999700</v>
      </c>
      <c r="R71" s="12">
        <v>296400</v>
      </c>
      <c r="S71" s="12">
        <v>105000</v>
      </c>
      <c r="T71" s="12">
        <v>115500</v>
      </c>
      <c r="U71" s="13">
        <f t="shared" ref="U71:U84" si="60">S71/R71</f>
        <v>0.354251012145749</v>
      </c>
      <c r="V71" s="13">
        <f t="shared" ref="V71:V84" si="61">S71/I71</f>
        <v>8.8555283798599976E-2</v>
      </c>
      <c r="W71" s="13">
        <f t="shared" si="59"/>
        <v>0.90909090909090906</v>
      </c>
      <c r="X71" s="39">
        <f t="shared" ref="X71:X84" si="62">I71-R71</f>
        <v>889300</v>
      </c>
      <c r="Z71" s="89" t="s">
        <v>753</v>
      </c>
      <c r="AA71" s="20" t="s">
        <v>814</v>
      </c>
    </row>
    <row r="72" spans="1:27" x14ac:dyDescent="0.25">
      <c r="A72" t="s">
        <v>276</v>
      </c>
      <c r="B72" t="s">
        <v>179</v>
      </c>
      <c r="C72" t="s">
        <v>181</v>
      </c>
      <c r="D72" s="20" t="s">
        <v>365</v>
      </c>
      <c r="E72" t="s">
        <v>921</v>
      </c>
      <c r="F72" s="30" t="s">
        <v>366</v>
      </c>
      <c r="G72" t="s">
        <v>366</v>
      </c>
      <c r="H72" t="str">
        <f>VLOOKUP(B72,PTJ!D:E,2,0)</f>
        <v>JH</v>
      </c>
      <c r="I72" s="12">
        <v>1976000</v>
      </c>
      <c r="J72" s="55">
        <v>100000</v>
      </c>
      <c r="K72" s="55">
        <v>94000</v>
      </c>
      <c r="L72" s="55">
        <v>556200</v>
      </c>
      <c r="M72" s="42">
        <f t="shared" si="55"/>
        <v>0.94</v>
      </c>
      <c r="N72" s="13">
        <f t="shared" si="56"/>
        <v>4.7570850202429148E-2</v>
      </c>
      <c r="O72" s="13">
        <f t="shared" si="57"/>
        <v>0.16900395541172239</v>
      </c>
      <c r="P72" s="136">
        <f t="shared" si="58"/>
        <v>1882000</v>
      </c>
      <c r="R72" s="12">
        <v>494000</v>
      </c>
      <c r="S72" s="12">
        <v>27000</v>
      </c>
      <c r="T72" s="12">
        <v>167700</v>
      </c>
      <c r="U72" s="13">
        <f t="shared" si="60"/>
        <v>5.4655870445344132E-2</v>
      </c>
      <c r="V72" s="13">
        <f t="shared" si="61"/>
        <v>1.3663967611336033E-2</v>
      </c>
      <c r="W72" s="13">
        <f t="shared" si="59"/>
        <v>0.16100178890876565</v>
      </c>
      <c r="X72" s="39">
        <f t="shared" si="62"/>
        <v>1482000</v>
      </c>
      <c r="Z72" s="89" t="s">
        <v>753</v>
      </c>
      <c r="AA72" s="20" t="s">
        <v>815</v>
      </c>
    </row>
    <row r="73" spans="1:27" x14ac:dyDescent="0.25">
      <c r="A73" t="s">
        <v>276</v>
      </c>
      <c r="B73" t="s">
        <v>189</v>
      </c>
      <c r="C73" t="s">
        <v>191</v>
      </c>
      <c r="D73" s="20" t="s">
        <v>365</v>
      </c>
      <c r="E73" t="s">
        <v>921</v>
      </c>
      <c r="F73" s="30" t="s">
        <v>366</v>
      </c>
      <c r="G73" t="s">
        <v>366</v>
      </c>
      <c r="H73" t="str">
        <f>VLOOKUP(B73,PTJ!D:E,2,0)</f>
        <v>PH</v>
      </c>
      <c r="I73" s="12">
        <v>1580900</v>
      </c>
      <c r="J73" s="55">
        <v>100000</v>
      </c>
      <c r="K73" s="55">
        <v>88500</v>
      </c>
      <c r="L73" s="55">
        <v>211500</v>
      </c>
      <c r="M73" s="42">
        <f t="shared" si="55"/>
        <v>0.88500000000000001</v>
      </c>
      <c r="N73" s="13">
        <f t="shared" si="56"/>
        <v>5.5980770447213613E-2</v>
      </c>
      <c r="O73" s="13">
        <f t="shared" si="57"/>
        <v>0.41843971631205673</v>
      </c>
      <c r="P73" s="136">
        <f t="shared" si="58"/>
        <v>1492400</v>
      </c>
      <c r="R73" s="12">
        <v>395200</v>
      </c>
      <c r="S73" s="12">
        <v>14000</v>
      </c>
      <c r="T73" s="12">
        <v>177000</v>
      </c>
      <c r="U73" s="13">
        <f t="shared" si="60"/>
        <v>3.54251012145749E-2</v>
      </c>
      <c r="V73" s="13">
        <f t="shared" si="61"/>
        <v>8.8557150989942435E-3</v>
      </c>
      <c r="W73" s="13">
        <f t="shared" si="59"/>
        <v>7.909604519774012E-2</v>
      </c>
      <c r="X73" s="39">
        <f t="shared" si="62"/>
        <v>1185700</v>
      </c>
      <c r="Z73" s="89" t="s">
        <v>753</v>
      </c>
      <c r="AA73" s="20" t="s">
        <v>816</v>
      </c>
    </row>
    <row r="74" spans="1:27" x14ac:dyDescent="0.25">
      <c r="A74" t="s">
        <v>276</v>
      </c>
      <c r="B74" t="s">
        <v>198</v>
      </c>
      <c r="C74" t="s">
        <v>200</v>
      </c>
      <c r="D74" s="20" t="s">
        <v>365</v>
      </c>
      <c r="E74" t="s">
        <v>921</v>
      </c>
      <c r="F74" s="30" t="s">
        <v>366</v>
      </c>
      <c r="G74" t="s">
        <v>366</v>
      </c>
      <c r="H74" t="str">
        <f>VLOOKUP(B74,PTJ!D:E,2,0)</f>
        <v>TR</v>
      </c>
      <c r="I74" s="12">
        <v>1185700</v>
      </c>
      <c r="J74" s="55">
        <v>60000</v>
      </c>
      <c r="K74" s="55">
        <v>50400</v>
      </c>
      <c r="L74" s="55">
        <v>158050</v>
      </c>
      <c r="M74" s="42">
        <f t="shared" si="55"/>
        <v>0.84</v>
      </c>
      <c r="N74" s="13">
        <f t="shared" si="56"/>
        <v>4.2506536223327993E-2</v>
      </c>
      <c r="O74" s="13">
        <f t="shared" si="57"/>
        <v>0.31888642834546027</v>
      </c>
      <c r="P74" s="136">
        <f t="shared" si="58"/>
        <v>1135300</v>
      </c>
      <c r="R74" s="12">
        <v>296400</v>
      </c>
      <c r="S74" s="12">
        <v>38100</v>
      </c>
      <c r="T74" s="12">
        <v>71200</v>
      </c>
      <c r="U74" s="13">
        <f t="shared" si="60"/>
        <v>0.12854251012145748</v>
      </c>
      <c r="V74" s="13">
        <f t="shared" si="61"/>
        <v>3.2132917264063421E-2</v>
      </c>
      <c r="W74" s="13">
        <f t="shared" si="59"/>
        <v>0.5351123595505618</v>
      </c>
      <c r="X74" s="39">
        <f t="shared" si="62"/>
        <v>889300</v>
      </c>
      <c r="Z74" s="89" t="s">
        <v>753</v>
      </c>
      <c r="AA74" s="20" t="s">
        <v>817</v>
      </c>
    </row>
    <row r="75" spans="1:27" x14ac:dyDescent="0.25">
      <c r="A75" t="s">
        <v>276</v>
      </c>
      <c r="B75" t="s">
        <v>206</v>
      </c>
      <c r="C75" t="s">
        <v>208</v>
      </c>
      <c r="D75" s="20" t="s">
        <v>365</v>
      </c>
      <c r="E75" t="s">
        <v>921</v>
      </c>
      <c r="F75" s="30" t="s">
        <v>366</v>
      </c>
      <c r="G75" t="s">
        <v>366</v>
      </c>
      <c r="H75" t="str">
        <f>VLOOKUP(B75,PTJ!D:E,2,0)</f>
        <v>KN</v>
      </c>
      <c r="I75" s="12">
        <v>790500</v>
      </c>
      <c r="J75" s="55">
        <v>100000</v>
      </c>
      <c r="K75" s="55">
        <v>97000</v>
      </c>
      <c r="L75" s="55">
        <v>73000</v>
      </c>
      <c r="M75" s="42">
        <f t="shared" si="55"/>
        <v>0.97</v>
      </c>
      <c r="N75" s="13">
        <f t="shared" si="56"/>
        <v>0.12270714737507907</v>
      </c>
      <c r="O75" s="13">
        <f t="shared" si="57"/>
        <v>1.3287671232876712</v>
      </c>
      <c r="P75" s="136">
        <f t="shared" si="58"/>
        <v>693500</v>
      </c>
      <c r="R75" s="12">
        <v>197600</v>
      </c>
      <c r="S75" s="12">
        <v>65500</v>
      </c>
      <c r="T75" s="12">
        <v>45500</v>
      </c>
      <c r="U75" s="13">
        <f t="shared" si="60"/>
        <v>0.33147773279352227</v>
      </c>
      <c r="V75" s="13">
        <f t="shared" si="61"/>
        <v>8.285895003162555E-2</v>
      </c>
      <c r="W75" s="13">
        <f t="shared" si="59"/>
        <v>1.4395604395604396</v>
      </c>
      <c r="X75" s="39">
        <f t="shared" si="62"/>
        <v>592900</v>
      </c>
      <c r="Z75" s="89" t="s">
        <v>753</v>
      </c>
      <c r="AA75" s="20" t="s">
        <v>818</v>
      </c>
    </row>
    <row r="76" spans="1:27" x14ac:dyDescent="0.25">
      <c r="A76" t="s">
        <v>276</v>
      </c>
      <c r="B76" t="s">
        <v>214</v>
      </c>
      <c r="C76" t="s">
        <v>216</v>
      </c>
      <c r="D76" s="20" t="s">
        <v>365</v>
      </c>
      <c r="E76" t="s">
        <v>921</v>
      </c>
      <c r="F76" s="30" t="s">
        <v>366</v>
      </c>
      <c r="G76" t="s">
        <v>366</v>
      </c>
      <c r="H76" t="str">
        <f>VLOOKUP(B76,PTJ!D:E,2,0)</f>
        <v>SR</v>
      </c>
      <c r="I76" s="12">
        <v>1580900</v>
      </c>
      <c r="J76" s="55">
        <v>550000</v>
      </c>
      <c r="K76" s="55">
        <v>508950</v>
      </c>
      <c r="L76" s="55">
        <v>619580.88</v>
      </c>
      <c r="M76" s="42">
        <f t="shared" si="55"/>
        <v>0.92536363636363639</v>
      </c>
      <c r="N76" s="13">
        <f t="shared" si="56"/>
        <v>0.32193687140236577</v>
      </c>
      <c r="O76" s="13">
        <f t="shared" si="57"/>
        <v>0.82144239183107137</v>
      </c>
      <c r="P76" s="136">
        <f t="shared" si="58"/>
        <v>1071950</v>
      </c>
      <c r="R76" s="12">
        <v>395200</v>
      </c>
      <c r="S76" s="12">
        <v>73500</v>
      </c>
      <c r="T76" s="12">
        <v>327000</v>
      </c>
      <c r="U76" s="13">
        <f t="shared" si="60"/>
        <v>0.18598178137651822</v>
      </c>
      <c r="V76" s="13">
        <f t="shared" si="61"/>
        <v>4.6492504269719778E-2</v>
      </c>
      <c r="W76" s="13">
        <f t="shared" si="59"/>
        <v>0.22477064220183487</v>
      </c>
      <c r="X76" s="39">
        <f t="shared" si="62"/>
        <v>1185700</v>
      </c>
      <c r="Z76" s="89" t="s">
        <v>753</v>
      </c>
      <c r="AA76" s="20" t="s">
        <v>819</v>
      </c>
    </row>
    <row r="77" spans="1:27" x14ac:dyDescent="0.25">
      <c r="A77" t="s">
        <v>276</v>
      </c>
      <c r="B77" t="s">
        <v>248</v>
      </c>
      <c r="C77" t="s">
        <v>250</v>
      </c>
      <c r="D77" s="20" t="s">
        <v>365</v>
      </c>
      <c r="E77" t="s">
        <v>921</v>
      </c>
      <c r="F77" s="30" t="s">
        <v>366</v>
      </c>
      <c r="G77" t="s">
        <v>366</v>
      </c>
      <c r="H77" t="str">
        <f>VLOOKUP(B77,PTJ!D:E,2,0)</f>
        <v>SB</v>
      </c>
      <c r="I77" s="12">
        <v>1580900</v>
      </c>
      <c r="J77" s="55">
        <v>70000</v>
      </c>
      <c r="K77" s="55">
        <v>59000</v>
      </c>
      <c r="L77" s="55">
        <v>272000</v>
      </c>
      <c r="M77" s="42">
        <f t="shared" si="55"/>
        <v>0.84285714285714286</v>
      </c>
      <c r="N77" s="13">
        <f t="shared" si="56"/>
        <v>3.7320513631475739E-2</v>
      </c>
      <c r="O77" s="13">
        <f t="shared" si="57"/>
        <v>0.21691176470588236</v>
      </c>
      <c r="P77" s="136">
        <f t="shared" si="58"/>
        <v>1521900</v>
      </c>
      <c r="R77" s="12">
        <v>395200</v>
      </c>
      <c r="S77" s="12">
        <v>53500</v>
      </c>
      <c r="T77" s="12">
        <v>67500</v>
      </c>
      <c r="U77" s="13">
        <f t="shared" si="60"/>
        <v>0.1353744939271255</v>
      </c>
      <c r="V77" s="13">
        <f t="shared" si="61"/>
        <v>3.3841482699728004E-2</v>
      </c>
      <c r="W77" s="13">
        <f t="shared" si="59"/>
        <v>0.79259259259259263</v>
      </c>
      <c r="X77" s="39">
        <f t="shared" si="62"/>
        <v>1185700</v>
      </c>
      <c r="Z77" s="89" t="s">
        <v>753</v>
      </c>
      <c r="AA77" s="20" t="s">
        <v>820</v>
      </c>
    </row>
    <row r="78" spans="1:27" x14ac:dyDescent="0.25">
      <c r="A78" t="s">
        <v>276</v>
      </c>
      <c r="B78" t="s">
        <v>19</v>
      </c>
      <c r="C78" t="s">
        <v>21</v>
      </c>
      <c r="D78" s="20" t="s">
        <v>353</v>
      </c>
      <c r="E78" t="s">
        <v>925</v>
      </c>
      <c r="F78" s="30" t="s">
        <v>354</v>
      </c>
      <c r="G78" t="s">
        <v>354</v>
      </c>
      <c r="H78" t="str">
        <f>VLOOKUP(B78,PTJ!D:E,2,0)</f>
        <v>BPKB</v>
      </c>
      <c r="I78" s="12">
        <v>240300</v>
      </c>
      <c r="J78" s="55">
        <v>0</v>
      </c>
      <c r="K78" s="55">
        <v>0</v>
      </c>
      <c r="L78" s="55">
        <v>4734440.79</v>
      </c>
      <c r="M78" s="42" t="e">
        <f t="shared" si="55"/>
        <v>#DIV/0!</v>
      </c>
      <c r="N78" s="13">
        <f t="shared" si="56"/>
        <v>0</v>
      </c>
      <c r="O78" s="13">
        <f t="shared" si="57"/>
        <v>0</v>
      </c>
      <c r="P78" s="136">
        <f t="shared" si="58"/>
        <v>240300</v>
      </c>
      <c r="R78" s="12">
        <v>0</v>
      </c>
      <c r="S78" s="12">
        <v>0</v>
      </c>
      <c r="T78" s="12">
        <v>0</v>
      </c>
      <c r="U78" s="13" t="e">
        <f t="shared" si="60"/>
        <v>#DIV/0!</v>
      </c>
      <c r="V78" s="13">
        <f t="shared" si="61"/>
        <v>0</v>
      </c>
      <c r="W78" s="13" t="e">
        <f t="shared" si="59"/>
        <v>#DIV/0!</v>
      </c>
      <c r="X78" s="39">
        <f t="shared" si="62"/>
        <v>240300</v>
      </c>
      <c r="Z78" s="89" t="s">
        <v>753</v>
      </c>
      <c r="AA78" s="20" t="s">
        <v>821</v>
      </c>
    </row>
    <row r="79" spans="1:27" ht="14.5" x14ac:dyDescent="0.35">
      <c r="A79" t="s">
        <v>276</v>
      </c>
      <c r="B79" t="s">
        <v>94</v>
      </c>
      <c r="C79" t="s">
        <v>96</v>
      </c>
      <c r="D79" s="20" t="s">
        <v>353</v>
      </c>
      <c r="E79" t="s">
        <v>924</v>
      </c>
      <c r="F79" s="30" t="s">
        <v>354</v>
      </c>
      <c r="G79" t="s">
        <v>354</v>
      </c>
      <c r="H79" t="str">
        <f>VLOOKUP(B79,PTJ!D:E,2,0)</f>
        <v>BPB</v>
      </c>
      <c r="I79" s="12">
        <v>250000</v>
      </c>
      <c r="J79" s="144">
        <v>40000</v>
      </c>
      <c r="K79" s="55">
        <v>33517.339999999997</v>
      </c>
      <c r="L79" s="55">
        <v>133406.71</v>
      </c>
      <c r="M79" s="42">
        <f t="shared" ref="M79" si="63">K79/J79</f>
        <v>0.83793349999999989</v>
      </c>
      <c r="N79" s="13">
        <f t="shared" ref="N79" si="64">K79/I79</f>
        <v>0.13406936</v>
      </c>
      <c r="O79" s="13">
        <f t="shared" ref="O79" si="65">K79/L79</f>
        <v>0.25124178536446928</v>
      </c>
      <c r="P79" s="136">
        <f t="shared" ref="P79" si="66">I79-K79</f>
        <v>216482.66</v>
      </c>
      <c r="R79" s="12">
        <v>0</v>
      </c>
      <c r="S79" s="12">
        <v>0</v>
      </c>
      <c r="T79" s="12">
        <v>0</v>
      </c>
      <c r="U79" s="13" t="e">
        <f t="shared" si="60"/>
        <v>#DIV/0!</v>
      </c>
      <c r="V79" s="13">
        <f t="shared" si="61"/>
        <v>0</v>
      </c>
      <c r="W79" s="13" t="e">
        <f t="shared" si="59"/>
        <v>#DIV/0!</v>
      </c>
      <c r="X79" s="39">
        <f t="shared" si="62"/>
        <v>250000</v>
      </c>
      <c r="Z79" s="89" t="s">
        <v>753</v>
      </c>
      <c r="AA79" s="20" t="s">
        <v>822</v>
      </c>
    </row>
    <row r="80" spans="1:27" x14ac:dyDescent="0.25">
      <c r="A80" t="s">
        <v>276</v>
      </c>
      <c r="B80" s="34" t="s">
        <v>101</v>
      </c>
      <c r="D80" s="20" t="s">
        <v>353</v>
      </c>
      <c r="E80" t="s">
        <v>926</v>
      </c>
      <c r="F80" s="30" t="s">
        <v>354</v>
      </c>
      <c r="G80" t="s">
        <v>354</v>
      </c>
      <c r="H80" s="33" t="s">
        <v>486</v>
      </c>
      <c r="I80" s="35">
        <v>0</v>
      </c>
      <c r="J80" s="55">
        <v>0</v>
      </c>
      <c r="K80" s="55">
        <v>0</v>
      </c>
      <c r="L80" s="12">
        <v>527978.02</v>
      </c>
      <c r="M80" s="42" t="e">
        <f t="shared" ref="M80:M84" si="67">K80/J80</f>
        <v>#DIV/0!</v>
      </c>
      <c r="N80" s="13" t="e">
        <f t="shared" ref="N80:N84" si="68">K80/I80</f>
        <v>#DIV/0!</v>
      </c>
      <c r="O80" s="13">
        <f t="shared" ref="O80:O84" si="69">K80/L80</f>
        <v>0</v>
      </c>
      <c r="P80" s="136">
        <f t="shared" ref="P80:P84" si="70">I80-K80</f>
        <v>0</v>
      </c>
      <c r="R80" s="35">
        <v>0</v>
      </c>
      <c r="S80" s="12">
        <v>0</v>
      </c>
      <c r="T80" s="12">
        <v>527978.02</v>
      </c>
      <c r="U80" s="13" t="e">
        <f t="shared" si="60"/>
        <v>#DIV/0!</v>
      </c>
      <c r="V80" s="13" t="e">
        <f t="shared" si="61"/>
        <v>#DIV/0!</v>
      </c>
      <c r="W80" s="13">
        <f t="shared" si="59"/>
        <v>0</v>
      </c>
      <c r="X80" s="39">
        <f t="shared" si="62"/>
        <v>0</v>
      </c>
      <c r="Z80" s="89" t="s">
        <v>753</v>
      </c>
      <c r="AA80" s="20" t="s">
        <v>823</v>
      </c>
    </row>
    <row r="81" spans="1:27" x14ac:dyDescent="0.25">
      <c r="A81" t="s">
        <v>276</v>
      </c>
      <c r="B81" s="34" t="s">
        <v>19</v>
      </c>
      <c r="D81" s="145" t="s">
        <v>922</v>
      </c>
      <c r="E81" t="s">
        <v>923</v>
      </c>
      <c r="F81" s="33" t="s">
        <v>531</v>
      </c>
      <c r="G81" s="33" t="s">
        <v>531</v>
      </c>
      <c r="H81" s="33" t="s">
        <v>469</v>
      </c>
      <c r="J81" s="55">
        <v>0</v>
      </c>
      <c r="K81" s="55">
        <v>0</v>
      </c>
      <c r="L81" s="55">
        <v>200000</v>
      </c>
      <c r="M81" s="42" t="e">
        <f t="shared" si="67"/>
        <v>#DIV/0!</v>
      </c>
      <c r="N81" s="13" t="e">
        <f t="shared" si="68"/>
        <v>#DIV/0!</v>
      </c>
      <c r="O81" s="13">
        <f t="shared" si="69"/>
        <v>0</v>
      </c>
      <c r="P81" s="136">
        <f t="shared" si="70"/>
        <v>0</v>
      </c>
    </row>
    <row r="82" spans="1:27" x14ac:dyDescent="0.25">
      <c r="A82" t="s">
        <v>276</v>
      </c>
      <c r="B82" s="34" t="s">
        <v>41</v>
      </c>
      <c r="D82" s="145" t="s">
        <v>922</v>
      </c>
      <c r="E82" t="s">
        <v>923</v>
      </c>
      <c r="F82" s="33" t="s">
        <v>531</v>
      </c>
      <c r="G82" s="33" t="s">
        <v>531</v>
      </c>
      <c r="H82" s="33" t="s">
        <v>473</v>
      </c>
      <c r="I82" s="35">
        <v>0</v>
      </c>
      <c r="J82" s="55">
        <v>0</v>
      </c>
      <c r="K82" s="55">
        <v>0</v>
      </c>
      <c r="L82" s="12">
        <v>1000000</v>
      </c>
      <c r="M82" s="42" t="e">
        <f t="shared" si="67"/>
        <v>#DIV/0!</v>
      </c>
      <c r="N82" s="13" t="e">
        <f t="shared" si="68"/>
        <v>#DIV/0!</v>
      </c>
      <c r="O82" s="13">
        <f t="shared" si="69"/>
        <v>0</v>
      </c>
      <c r="P82" s="136">
        <f t="shared" si="70"/>
        <v>0</v>
      </c>
      <c r="R82" s="35">
        <v>0</v>
      </c>
      <c r="S82" s="12">
        <v>0</v>
      </c>
      <c r="T82" s="12">
        <v>1000000</v>
      </c>
      <c r="U82" s="13" t="e">
        <f>S82/R82</f>
        <v>#DIV/0!</v>
      </c>
      <c r="V82" s="13" t="e">
        <f>S82/I82</f>
        <v>#DIV/0!</v>
      </c>
      <c r="W82" s="13">
        <f>S82/T82</f>
        <v>0</v>
      </c>
      <c r="X82" s="39">
        <f>I82-R82</f>
        <v>0</v>
      </c>
      <c r="Z82" s="89" t="s">
        <v>753</v>
      </c>
      <c r="AA82" s="20" t="s">
        <v>824</v>
      </c>
    </row>
    <row r="83" spans="1:27" x14ac:dyDescent="0.25">
      <c r="A83" t="s">
        <v>276</v>
      </c>
      <c r="B83" s="34" t="s">
        <v>58</v>
      </c>
      <c r="D83" s="145" t="s">
        <v>922</v>
      </c>
      <c r="E83" t="s">
        <v>923</v>
      </c>
      <c r="F83" s="33" t="s">
        <v>531</v>
      </c>
      <c r="G83" s="33" t="s">
        <v>531</v>
      </c>
      <c r="H83" s="33" t="s">
        <v>477</v>
      </c>
      <c r="I83" s="35"/>
      <c r="J83" s="55">
        <v>0</v>
      </c>
      <c r="K83" s="55">
        <v>0</v>
      </c>
      <c r="L83" s="12">
        <v>1165400</v>
      </c>
      <c r="M83" s="42" t="e">
        <f t="shared" si="67"/>
        <v>#DIV/0!</v>
      </c>
      <c r="N83" s="13" t="e">
        <f t="shared" si="68"/>
        <v>#DIV/0!</v>
      </c>
      <c r="O83" s="13">
        <f t="shared" si="69"/>
        <v>0</v>
      </c>
      <c r="P83" s="136">
        <f t="shared" si="70"/>
        <v>0</v>
      </c>
      <c r="R83" s="35"/>
      <c r="U83" s="13"/>
      <c r="V83" s="13"/>
      <c r="W83" s="13"/>
      <c r="X83" s="39"/>
      <c r="Z83" s="89"/>
    </row>
    <row r="84" spans="1:27" x14ac:dyDescent="0.25">
      <c r="A84" t="s">
        <v>276</v>
      </c>
      <c r="B84" t="s">
        <v>295</v>
      </c>
      <c r="C84" t="s">
        <v>296</v>
      </c>
      <c r="D84" s="20" t="s">
        <v>327</v>
      </c>
      <c r="E84" t="s">
        <v>913</v>
      </c>
      <c r="F84" s="30" t="s">
        <v>532</v>
      </c>
      <c r="G84" t="s">
        <v>328</v>
      </c>
      <c r="H84" t="str">
        <f>VLOOKUP(B84,PTJ!D:E,2,0)</f>
        <v>BSM</v>
      </c>
      <c r="I84" s="92">
        <f>1000000-85100</f>
        <v>914900</v>
      </c>
      <c r="J84" s="55">
        <v>202000</v>
      </c>
      <c r="K84" s="55">
        <v>158066.16</v>
      </c>
      <c r="L84" s="55">
        <v>162221.79999999999</v>
      </c>
      <c r="M84" s="42">
        <f t="shared" si="67"/>
        <v>0.78250574257425742</v>
      </c>
      <c r="N84" s="13">
        <f t="shared" si="68"/>
        <v>0.17276878347360367</v>
      </c>
      <c r="O84" s="13">
        <f t="shared" si="69"/>
        <v>0.9743829744214404</v>
      </c>
      <c r="P84" s="136">
        <f t="shared" si="70"/>
        <v>756833.84</v>
      </c>
      <c r="R84" s="12">
        <v>250000</v>
      </c>
      <c r="S84" s="12">
        <v>79033.08</v>
      </c>
      <c r="T84" s="12">
        <v>53188.72</v>
      </c>
      <c r="U84" s="13">
        <f t="shared" si="60"/>
        <v>0.31613232000000002</v>
      </c>
      <c r="V84" s="13">
        <f t="shared" si="61"/>
        <v>8.6384391736801833E-2</v>
      </c>
      <c r="W84" s="13">
        <f t="shared" si="59"/>
        <v>1.4858992658593777</v>
      </c>
      <c r="X84" s="39">
        <f t="shared" si="62"/>
        <v>664900</v>
      </c>
      <c r="Z84" s="89" t="s">
        <v>753</v>
      </c>
      <c r="AA84" s="20" t="s">
        <v>825</v>
      </c>
    </row>
    <row r="85" spans="1:27" x14ac:dyDescent="0.25">
      <c r="A85" s="18" t="s">
        <v>276</v>
      </c>
      <c r="B85" s="34" t="s">
        <v>135</v>
      </c>
      <c r="D85" s="20" t="s">
        <v>327</v>
      </c>
      <c r="E85" t="s">
        <v>913</v>
      </c>
      <c r="F85" s="30" t="s">
        <v>532</v>
      </c>
      <c r="G85" t="s">
        <v>328</v>
      </c>
      <c r="H85" s="33" t="s">
        <v>490</v>
      </c>
      <c r="I85" s="92">
        <v>16000</v>
      </c>
      <c r="J85" s="55">
        <v>16000</v>
      </c>
      <c r="K85" s="55">
        <v>15642.48</v>
      </c>
      <c r="L85" s="55">
        <v>0</v>
      </c>
      <c r="M85" s="42">
        <f t="shared" ref="M85:M94" si="71">K85/J85</f>
        <v>0.97765499999999994</v>
      </c>
      <c r="N85" s="13">
        <f t="shared" ref="N85:N94" si="72">K85/I85</f>
        <v>0.97765499999999994</v>
      </c>
      <c r="O85" s="13" t="e">
        <f t="shared" ref="O85:O94" si="73">K85/L85</f>
        <v>#DIV/0!</v>
      </c>
      <c r="P85" s="136">
        <f t="shared" ref="P85:P94" si="74">I85-K85</f>
        <v>357.52000000000044</v>
      </c>
      <c r="R85" s="35"/>
      <c r="U85" s="13"/>
      <c r="V85" s="13"/>
      <c r="W85" s="13"/>
      <c r="X85" s="39"/>
      <c r="Z85" s="89" t="s">
        <v>753</v>
      </c>
      <c r="AA85" s="20" t="s">
        <v>832</v>
      </c>
    </row>
    <row r="86" spans="1:27" x14ac:dyDescent="0.25">
      <c r="A86" t="s">
        <v>276</v>
      </c>
      <c r="B86" s="34" t="s">
        <v>151</v>
      </c>
      <c r="D86" s="20" t="s">
        <v>327</v>
      </c>
      <c r="E86" t="s">
        <v>913</v>
      </c>
      <c r="F86" s="30" t="s">
        <v>532</v>
      </c>
      <c r="G86" t="s">
        <v>328</v>
      </c>
      <c r="H86" s="33" t="s">
        <v>493</v>
      </c>
      <c r="I86" s="92">
        <v>100</v>
      </c>
      <c r="K86" s="55">
        <v>100</v>
      </c>
      <c r="L86" s="55">
        <v>0</v>
      </c>
      <c r="M86" s="42" t="e">
        <f t="shared" si="71"/>
        <v>#DIV/0!</v>
      </c>
      <c r="N86" s="13">
        <f t="shared" si="72"/>
        <v>1</v>
      </c>
      <c r="O86" s="13" t="e">
        <f t="shared" si="73"/>
        <v>#DIV/0!</v>
      </c>
      <c r="P86" s="136">
        <f t="shared" si="74"/>
        <v>0</v>
      </c>
      <c r="R86" s="35">
        <v>0</v>
      </c>
      <c r="S86" s="12">
        <v>100</v>
      </c>
      <c r="U86" s="13" t="e">
        <f t="shared" ref="U86:U136" si="75">S86/R86</f>
        <v>#DIV/0!</v>
      </c>
      <c r="V86" s="13">
        <f t="shared" ref="V86:V136" si="76">S86/I86</f>
        <v>1</v>
      </c>
      <c r="W86" s="13" t="e">
        <f t="shared" ref="W86:W91" si="77">S86/T86</f>
        <v>#DIV/0!</v>
      </c>
      <c r="X86" s="39">
        <f t="shared" ref="X86:X135" si="78">I86-R86</f>
        <v>100</v>
      </c>
      <c r="Z86" s="89" t="s">
        <v>753</v>
      </c>
      <c r="AA86" s="20" t="s">
        <v>833</v>
      </c>
    </row>
    <row r="87" spans="1:27" x14ac:dyDescent="0.25">
      <c r="A87" s="38" t="s">
        <v>276</v>
      </c>
      <c r="B87" s="34" t="s">
        <v>214</v>
      </c>
      <c r="D87" s="20" t="s">
        <v>327</v>
      </c>
      <c r="E87" t="s">
        <v>913</v>
      </c>
      <c r="F87" s="30" t="s">
        <v>532</v>
      </c>
      <c r="G87" t="s">
        <v>328</v>
      </c>
      <c r="H87" s="33" t="s">
        <v>501</v>
      </c>
      <c r="I87" s="92">
        <v>68000</v>
      </c>
      <c r="J87" s="55">
        <v>25000</v>
      </c>
      <c r="K87" s="55">
        <v>20440</v>
      </c>
      <c r="L87" s="55">
        <v>29430</v>
      </c>
      <c r="M87" s="42">
        <f t="shared" si="71"/>
        <v>0.81759999999999999</v>
      </c>
      <c r="N87" s="13">
        <f t="shared" si="72"/>
        <v>0.30058823529411766</v>
      </c>
      <c r="O87" s="13">
        <f t="shared" si="73"/>
        <v>0.69452939177709816</v>
      </c>
      <c r="P87" s="136">
        <f t="shared" si="74"/>
        <v>47560</v>
      </c>
      <c r="R87" s="35">
        <v>0</v>
      </c>
      <c r="S87" s="12">
        <v>10030</v>
      </c>
      <c r="T87" s="37">
        <v>14710</v>
      </c>
      <c r="U87" s="13" t="e">
        <f t="shared" si="75"/>
        <v>#DIV/0!</v>
      </c>
      <c r="V87" s="13">
        <f t="shared" si="76"/>
        <v>0.14749999999999999</v>
      </c>
      <c r="W87" s="13">
        <f t="shared" si="77"/>
        <v>0.68184908225696805</v>
      </c>
      <c r="X87" s="39">
        <f t="shared" si="78"/>
        <v>68000</v>
      </c>
      <c r="Z87" s="89" t="s">
        <v>753</v>
      </c>
      <c r="AA87" s="20" t="s">
        <v>835</v>
      </c>
    </row>
    <row r="88" spans="1:27" x14ac:dyDescent="0.25">
      <c r="A88" t="s">
        <v>276</v>
      </c>
      <c r="B88" s="34" t="s">
        <v>226</v>
      </c>
      <c r="D88" s="20" t="s">
        <v>327</v>
      </c>
      <c r="E88" t="s">
        <v>913</v>
      </c>
      <c r="F88" s="30" t="s">
        <v>532</v>
      </c>
      <c r="G88" t="s">
        <v>328</v>
      </c>
      <c r="H88" s="33" t="s">
        <v>502</v>
      </c>
      <c r="I88" s="92">
        <v>500</v>
      </c>
      <c r="J88" s="55">
        <v>500</v>
      </c>
      <c r="K88" s="55">
        <v>500</v>
      </c>
      <c r="L88" s="55">
        <v>0</v>
      </c>
      <c r="M88" s="42">
        <f t="shared" si="71"/>
        <v>1</v>
      </c>
      <c r="N88" s="13">
        <f t="shared" si="72"/>
        <v>1</v>
      </c>
      <c r="O88" s="13" t="e">
        <f t="shared" si="73"/>
        <v>#DIV/0!</v>
      </c>
      <c r="P88" s="136">
        <f t="shared" si="74"/>
        <v>0</v>
      </c>
      <c r="R88" s="35">
        <v>0</v>
      </c>
      <c r="S88" s="12">
        <v>500</v>
      </c>
      <c r="U88" s="13" t="e">
        <f t="shared" si="75"/>
        <v>#DIV/0!</v>
      </c>
      <c r="V88" s="13">
        <f t="shared" si="76"/>
        <v>1</v>
      </c>
      <c r="W88" s="13" t="e">
        <f t="shared" si="77"/>
        <v>#DIV/0!</v>
      </c>
      <c r="X88" s="39">
        <f t="shared" si="78"/>
        <v>500</v>
      </c>
      <c r="Z88" s="89" t="s">
        <v>753</v>
      </c>
      <c r="AA88" s="20" t="s">
        <v>836</v>
      </c>
    </row>
    <row r="89" spans="1:27" x14ac:dyDescent="0.25">
      <c r="A89" s="18" t="s">
        <v>276</v>
      </c>
      <c r="B89" s="34" t="s">
        <v>241</v>
      </c>
      <c r="D89" s="20" t="s">
        <v>327</v>
      </c>
      <c r="E89" t="s">
        <v>913</v>
      </c>
      <c r="F89" s="30" t="s">
        <v>532</v>
      </c>
      <c r="G89" t="s">
        <v>328</v>
      </c>
      <c r="H89" s="33" t="s">
        <v>504</v>
      </c>
      <c r="I89" s="92">
        <v>500</v>
      </c>
      <c r="J89" s="55">
        <v>500</v>
      </c>
      <c r="K89" s="55">
        <v>500</v>
      </c>
      <c r="L89" s="55">
        <v>0</v>
      </c>
      <c r="M89" s="42">
        <f t="shared" si="71"/>
        <v>1</v>
      </c>
      <c r="N89" s="13">
        <f t="shared" si="72"/>
        <v>1</v>
      </c>
      <c r="O89" s="13" t="e">
        <f t="shared" si="73"/>
        <v>#DIV/0!</v>
      </c>
      <c r="P89" s="136">
        <f t="shared" si="74"/>
        <v>0</v>
      </c>
      <c r="R89" s="35">
        <v>0</v>
      </c>
      <c r="S89" s="12">
        <v>500</v>
      </c>
      <c r="U89" s="13" t="e">
        <f t="shared" si="75"/>
        <v>#DIV/0!</v>
      </c>
      <c r="V89" s="13">
        <f t="shared" si="76"/>
        <v>1</v>
      </c>
      <c r="W89" s="13" t="e">
        <f t="shared" si="77"/>
        <v>#DIV/0!</v>
      </c>
      <c r="X89" s="39">
        <f t="shared" si="78"/>
        <v>500</v>
      </c>
      <c r="Z89" s="89" t="s">
        <v>753</v>
      </c>
      <c r="AA89" s="20" t="s">
        <v>837</v>
      </c>
    </row>
    <row r="90" spans="1:27" x14ac:dyDescent="0.25">
      <c r="A90" t="s">
        <v>276</v>
      </c>
      <c r="B90" t="s">
        <v>341</v>
      </c>
      <c r="C90" t="s">
        <v>342</v>
      </c>
      <c r="D90" s="20" t="s">
        <v>327</v>
      </c>
      <c r="E90" t="s">
        <v>913</v>
      </c>
      <c r="F90" s="30" t="s">
        <v>532</v>
      </c>
      <c r="G90" t="s">
        <v>328</v>
      </c>
      <c r="H90" t="str">
        <f>VLOOKUP(B90,PTJ!D:E,2,0)</f>
        <v>UPF</v>
      </c>
      <c r="I90" s="92">
        <f>576000-18000</f>
        <v>558000</v>
      </c>
      <c r="J90" s="55">
        <v>356000</v>
      </c>
      <c r="K90" s="55">
        <v>288000</v>
      </c>
      <c r="L90" s="55">
        <v>240000</v>
      </c>
      <c r="M90" s="42">
        <f t="shared" si="71"/>
        <v>0.8089887640449438</v>
      </c>
      <c r="N90" s="13">
        <f t="shared" si="72"/>
        <v>0.5161290322580645</v>
      </c>
      <c r="O90" s="13">
        <f t="shared" si="73"/>
        <v>1.2</v>
      </c>
      <c r="P90" s="136">
        <f t="shared" si="74"/>
        <v>270000</v>
      </c>
      <c r="R90" s="12">
        <v>144000</v>
      </c>
      <c r="S90" s="12">
        <v>144000</v>
      </c>
      <c r="T90" s="12">
        <v>120000</v>
      </c>
      <c r="U90" s="13">
        <f t="shared" si="75"/>
        <v>1</v>
      </c>
      <c r="V90" s="13">
        <f t="shared" si="76"/>
        <v>0.25806451612903225</v>
      </c>
      <c r="W90" s="13">
        <f t="shared" si="77"/>
        <v>1.2</v>
      </c>
      <c r="X90" s="39">
        <f t="shared" si="78"/>
        <v>414000</v>
      </c>
      <c r="Z90" s="89" t="s">
        <v>753</v>
      </c>
      <c r="AA90" s="20" t="s">
        <v>826</v>
      </c>
    </row>
    <row r="91" spans="1:27" x14ac:dyDescent="0.25">
      <c r="A91" s="38" t="s">
        <v>276</v>
      </c>
      <c r="B91" s="34" t="s">
        <v>179</v>
      </c>
      <c r="D91" s="20" t="s">
        <v>327</v>
      </c>
      <c r="E91" t="s">
        <v>912</v>
      </c>
      <c r="F91" s="30" t="s">
        <v>533</v>
      </c>
      <c r="G91" t="s">
        <v>328</v>
      </c>
      <c r="H91" s="33" t="s">
        <v>497</v>
      </c>
      <c r="I91" s="92">
        <v>18000</v>
      </c>
      <c r="J91" s="55">
        <v>9000</v>
      </c>
      <c r="K91" s="55">
        <v>9000</v>
      </c>
      <c r="L91" s="55">
        <v>9000</v>
      </c>
      <c r="M91" s="42">
        <f t="shared" si="71"/>
        <v>1</v>
      </c>
      <c r="N91" s="13">
        <f t="shared" si="72"/>
        <v>0.5</v>
      </c>
      <c r="O91" s="13">
        <f t="shared" si="73"/>
        <v>1</v>
      </c>
      <c r="P91" s="136">
        <f t="shared" si="74"/>
        <v>9000</v>
      </c>
      <c r="R91" s="35">
        <v>0</v>
      </c>
      <c r="S91" s="12">
        <v>4500</v>
      </c>
      <c r="T91" s="12">
        <v>6000</v>
      </c>
      <c r="U91" s="13" t="e">
        <f t="shared" si="75"/>
        <v>#DIV/0!</v>
      </c>
      <c r="V91" s="13">
        <f t="shared" si="76"/>
        <v>0.25</v>
      </c>
      <c r="W91" s="13">
        <f t="shared" si="77"/>
        <v>0.75</v>
      </c>
      <c r="X91" s="39">
        <f t="shared" si="78"/>
        <v>18000</v>
      </c>
      <c r="Z91" s="89" t="s">
        <v>753</v>
      </c>
      <c r="AA91" s="20" t="s">
        <v>834</v>
      </c>
    </row>
    <row r="92" spans="1:27" x14ac:dyDescent="0.25">
      <c r="A92" t="s">
        <v>276</v>
      </c>
      <c r="B92" t="s">
        <v>50</v>
      </c>
      <c r="C92" t="s">
        <v>52</v>
      </c>
      <c r="D92" s="20" t="s">
        <v>327</v>
      </c>
      <c r="E92" t="s">
        <v>915</v>
      </c>
      <c r="F92" s="30" t="s">
        <v>537</v>
      </c>
      <c r="G92" t="s">
        <v>328</v>
      </c>
      <c r="H92" t="str">
        <f>VLOOKUP(B92,PTJ!D:E,2,0)</f>
        <v>BPKPB</v>
      </c>
      <c r="I92" s="12">
        <v>752500</v>
      </c>
      <c r="J92" s="12">
        <v>252500</v>
      </c>
      <c r="K92" s="55">
        <v>186050</v>
      </c>
      <c r="L92" s="55">
        <v>0</v>
      </c>
      <c r="M92" s="42">
        <f t="shared" si="71"/>
        <v>0.73683168316831682</v>
      </c>
      <c r="N92" s="13">
        <f t="shared" si="72"/>
        <v>0.24724252491694351</v>
      </c>
      <c r="O92" s="13" t="e">
        <f t="shared" si="73"/>
        <v>#DIV/0!</v>
      </c>
      <c r="P92" s="136">
        <f t="shared" si="74"/>
        <v>566450</v>
      </c>
      <c r="R92" s="12">
        <v>188100</v>
      </c>
      <c r="S92" s="12">
        <v>94050</v>
      </c>
      <c r="T92" s="12">
        <v>0</v>
      </c>
      <c r="U92" s="13">
        <f t="shared" si="75"/>
        <v>0.5</v>
      </c>
      <c r="V92" s="13">
        <f t="shared" si="76"/>
        <v>0.12498338870431894</v>
      </c>
      <c r="W92" s="13" t="e">
        <f t="shared" ref="W92:W95" si="79">S92/T92</f>
        <v>#DIV/0!</v>
      </c>
      <c r="X92" s="39">
        <f t="shared" si="78"/>
        <v>564400</v>
      </c>
      <c r="Z92" s="89" t="s">
        <v>753</v>
      </c>
      <c r="AA92" s="20" t="s">
        <v>827</v>
      </c>
    </row>
    <row r="93" spans="1:27" x14ac:dyDescent="0.25">
      <c r="A93" t="s">
        <v>276</v>
      </c>
      <c r="B93" s="34" t="s">
        <v>13</v>
      </c>
      <c r="D93" s="20" t="s">
        <v>327</v>
      </c>
      <c r="E93" t="s">
        <v>915</v>
      </c>
      <c r="F93" s="30" t="s">
        <v>537</v>
      </c>
      <c r="G93" t="s">
        <v>328</v>
      </c>
      <c r="H93" s="33" t="s">
        <v>467</v>
      </c>
      <c r="I93" s="87">
        <v>0</v>
      </c>
      <c r="J93" s="55">
        <v>0</v>
      </c>
      <c r="K93" s="55">
        <v>925000</v>
      </c>
      <c r="L93" s="55">
        <f>375650-350</f>
        <v>375300</v>
      </c>
      <c r="M93" s="42" t="e">
        <f t="shared" si="71"/>
        <v>#DIV/0!</v>
      </c>
      <c r="N93" s="13" t="e">
        <f t="shared" si="72"/>
        <v>#DIV/0!</v>
      </c>
      <c r="O93" s="13">
        <f t="shared" si="73"/>
        <v>2.4646949107380762</v>
      </c>
      <c r="P93" s="136">
        <f t="shared" si="74"/>
        <v>-925000</v>
      </c>
      <c r="R93" s="35">
        <v>0</v>
      </c>
      <c r="S93" s="12">
        <v>81600</v>
      </c>
      <c r="T93" s="12">
        <v>207700</v>
      </c>
      <c r="U93" s="13" t="e">
        <f t="shared" si="75"/>
        <v>#DIV/0!</v>
      </c>
      <c r="V93" s="13" t="e">
        <f t="shared" si="76"/>
        <v>#DIV/0!</v>
      </c>
      <c r="W93" s="13">
        <f t="shared" si="79"/>
        <v>0.39287433798748195</v>
      </c>
      <c r="X93" s="39">
        <f t="shared" si="78"/>
        <v>0</v>
      </c>
      <c r="Z93" s="89" t="s">
        <v>753</v>
      </c>
      <c r="AA93" s="20" t="s">
        <v>845</v>
      </c>
    </row>
    <row r="94" spans="1:27" x14ac:dyDescent="0.25">
      <c r="A94" t="s">
        <v>276</v>
      </c>
      <c r="B94" t="s">
        <v>19</v>
      </c>
      <c r="C94" t="s">
        <v>21</v>
      </c>
      <c r="D94" s="20" t="s">
        <v>327</v>
      </c>
      <c r="E94" t="s">
        <v>914</v>
      </c>
      <c r="F94" s="30" t="s">
        <v>538</v>
      </c>
      <c r="G94" t="s">
        <v>328</v>
      </c>
      <c r="H94" t="str">
        <f>VLOOKUP(B94,PTJ!D:E,2,0)</f>
        <v>BPKB</v>
      </c>
      <c r="I94" s="12">
        <v>115000</v>
      </c>
      <c r="J94" s="55">
        <v>0</v>
      </c>
      <c r="K94" s="55">
        <v>0</v>
      </c>
      <c r="L94" s="55">
        <v>0</v>
      </c>
      <c r="M94" s="42" t="e">
        <f t="shared" si="71"/>
        <v>#DIV/0!</v>
      </c>
      <c r="N94" s="13">
        <f t="shared" si="72"/>
        <v>0</v>
      </c>
      <c r="O94" s="13" t="e">
        <f t="shared" si="73"/>
        <v>#DIV/0!</v>
      </c>
      <c r="P94" s="136">
        <f t="shared" si="74"/>
        <v>115000</v>
      </c>
      <c r="R94" s="12">
        <v>0</v>
      </c>
      <c r="S94" s="12">
        <v>0</v>
      </c>
      <c r="T94" s="12">
        <v>0</v>
      </c>
      <c r="U94" s="13" t="e">
        <f t="shared" si="75"/>
        <v>#DIV/0!</v>
      </c>
      <c r="V94" s="13">
        <f t="shared" si="76"/>
        <v>0</v>
      </c>
      <c r="W94" s="13" t="e">
        <f t="shared" si="79"/>
        <v>#DIV/0!</v>
      </c>
      <c r="X94" s="39">
        <f t="shared" si="78"/>
        <v>115000</v>
      </c>
      <c r="Z94" s="89" t="s">
        <v>753</v>
      </c>
      <c r="AA94" s="20" t="s">
        <v>828</v>
      </c>
    </row>
    <row r="95" spans="1:27" x14ac:dyDescent="0.25">
      <c r="A95" t="s">
        <v>276</v>
      </c>
      <c r="B95" t="s">
        <v>83</v>
      </c>
      <c r="C95" t="s">
        <v>85</v>
      </c>
      <c r="D95" s="20" t="s">
        <v>327</v>
      </c>
      <c r="E95" t="s">
        <v>914</v>
      </c>
      <c r="F95" s="30" t="s">
        <v>538</v>
      </c>
      <c r="G95" t="s">
        <v>328</v>
      </c>
      <c r="H95" t="str">
        <f>VLOOKUP(B95,PTJ!D:E,2,0)</f>
        <v>BKK</v>
      </c>
      <c r="I95" s="12">
        <v>235000</v>
      </c>
      <c r="J95" s="55">
        <v>0</v>
      </c>
      <c r="K95" s="55">
        <v>0</v>
      </c>
      <c r="L95" s="55">
        <v>0</v>
      </c>
      <c r="M95" s="42" t="e">
        <f t="shared" ref="M95" si="80">K95/J95</f>
        <v>#DIV/0!</v>
      </c>
      <c r="N95" s="13">
        <f t="shared" ref="N95" si="81">K95/I95</f>
        <v>0</v>
      </c>
      <c r="O95" s="13" t="e">
        <f t="shared" ref="O95" si="82">K95/L95</f>
        <v>#DIV/0!</v>
      </c>
      <c r="P95" s="136">
        <f t="shared" ref="P95:P136" si="83">I95-K95</f>
        <v>235000</v>
      </c>
      <c r="R95" s="12">
        <v>0</v>
      </c>
      <c r="S95" s="12">
        <v>0</v>
      </c>
      <c r="T95" s="12">
        <v>0</v>
      </c>
      <c r="U95" s="13" t="e">
        <f t="shared" si="75"/>
        <v>#DIV/0!</v>
      </c>
      <c r="V95" s="13">
        <f t="shared" si="76"/>
        <v>0</v>
      </c>
      <c r="W95" s="13" t="e">
        <f t="shared" si="79"/>
        <v>#DIV/0!</v>
      </c>
      <c r="X95" s="39">
        <f t="shared" si="78"/>
        <v>235000</v>
      </c>
      <c r="Z95" s="89" t="s">
        <v>753</v>
      </c>
      <c r="AA95" s="20" t="s">
        <v>829</v>
      </c>
    </row>
    <row r="96" spans="1:27" x14ac:dyDescent="0.25">
      <c r="A96" t="s">
        <v>276</v>
      </c>
      <c r="B96" s="34" t="s">
        <v>295</v>
      </c>
      <c r="D96" s="20" t="s">
        <v>327</v>
      </c>
      <c r="E96" t="s">
        <v>914</v>
      </c>
      <c r="F96" s="30" t="s">
        <v>538</v>
      </c>
      <c r="G96" t="s">
        <v>328</v>
      </c>
      <c r="H96" s="33" t="s">
        <v>460</v>
      </c>
      <c r="I96" s="88">
        <v>0</v>
      </c>
      <c r="J96" s="55">
        <v>0</v>
      </c>
      <c r="K96" s="55">
        <v>10</v>
      </c>
      <c r="L96" s="55">
        <v>0</v>
      </c>
      <c r="M96" s="42" t="e">
        <f t="shared" ref="M96:M102" si="84">K96/J96</f>
        <v>#DIV/0!</v>
      </c>
      <c r="N96" s="13" t="e">
        <f t="shared" ref="N96:N102" si="85">K96/I96</f>
        <v>#DIV/0!</v>
      </c>
      <c r="O96" s="13" t="e">
        <f t="shared" ref="O96:O102" si="86">K96/L96</f>
        <v>#DIV/0!</v>
      </c>
      <c r="P96" s="136">
        <f t="shared" ref="P96:P102" si="87">I96-K96</f>
        <v>-10</v>
      </c>
      <c r="R96" s="35">
        <v>0</v>
      </c>
      <c r="S96" s="12">
        <v>10</v>
      </c>
      <c r="T96" s="12">
        <v>0</v>
      </c>
      <c r="U96" s="13" t="e">
        <f t="shared" si="75"/>
        <v>#DIV/0!</v>
      </c>
      <c r="V96" s="13" t="e">
        <f t="shared" si="76"/>
        <v>#DIV/0!</v>
      </c>
      <c r="W96" s="13" t="e">
        <f t="shared" ref="W96:W103" si="88">S96/T96</f>
        <v>#DIV/0!</v>
      </c>
      <c r="X96" s="39">
        <f t="shared" si="78"/>
        <v>0</v>
      </c>
      <c r="Z96" s="89" t="s">
        <v>753</v>
      </c>
      <c r="AA96" s="20" t="s">
        <v>825</v>
      </c>
    </row>
    <row r="97" spans="1:27" x14ac:dyDescent="0.25">
      <c r="A97" t="s">
        <v>276</v>
      </c>
      <c r="B97" s="34" t="s">
        <v>31</v>
      </c>
      <c r="D97" s="20" t="s">
        <v>327</v>
      </c>
      <c r="E97" t="s">
        <v>914</v>
      </c>
      <c r="F97" s="30" t="s">
        <v>538</v>
      </c>
      <c r="G97" t="s">
        <v>328</v>
      </c>
      <c r="H97" s="33" t="s">
        <v>471</v>
      </c>
      <c r="I97" s="88">
        <v>0</v>
      </c>
      <c r="J97" s="55">
        <v>0</v>
      </c>
      <c r="K97" s="55">
        <v>15700</v>
      </c>
      <c r="L97" s="55">
        <v>6300</v>
      </c>
      <c r="M97" s="42" t="e">
        <f t="shared" si="84"/>
        <v>#DIV/0!</v>
      </c>
      <c r="N97" s="13" t="e">
        <f t="shared" si="85"/>
        <v>#DIV/0!</v>
      </c>
      <c r="O97" s="13">
        <f t="shared" si="86"/>
        <v>2.4920634920634921</v>
      </c>
      <c r="P97" s="136">
        <f t="shared" si="87"/>
        <v>-15700</v>
      </c>
      <c r="R97" s="35">
        <v>0</v>
      </c>
      <c r="S97" s="12">
        <v>6400</v>
      </c>
      <c r="T97" s="12">
        <v>2700</v>
      </c>
      <c r="U97" s="13" t="e">
        <f t="shared" si="75"/>
        <v>#DIV/0!</v>
      </c>
      <c r="V97" s="13" t="e">
        <f t="shared" si="76"/>
        <v>#DIV/0!</v>
      </c>
      <c r="W97" s="13">
        <f t="shared" si="88"/>
        <v>2.3703703703703702</v>
      </c>
      <c r="X97" s="39">
        <f t="shared" si="78"/>
        <v>0</v>
      </c>
      <c r="Z97" s="89" t="s">
        <v>753</v>
      </c>
      <c r="AA97" s="20" t="s">
        <v>846</v>
      </c>
    </row>
    <row r="98" spans="1:27" x14ac:dyDescent="0.25">
      <c r="A98" t="s">
        <v>276</v>
      </c>
      <c r="B98" s="34" t="s">
        <v>58</v>
      </c>
      <c r="D98" s="20" t="s">
        <v>327</v>
      </c>
      <c r="E98" t="s">
        <v>914</v>
      </c>
      <c r="F98" s="30" t="s">
        <v>538</v>
      </c>
      <c r="G98" t="s">
        <v>328</v>
      </c>
      <c r="H98" s="33" t="s">
        <v>477</v>
      </c>
      <c r="I98" s="88">
        <v>0</v>
      </c>
      <c r="J98" s="55">
        <v>0</v>
      </c>
      <c r="K98" s="55">
        <v>795750</v>
      </c>
      <c r="L98" s="55">
        <v>312450</v>
      </c>
      <c r="M98" s="42" t="e">
        <f t="shared" si="84"/>
        <v>#DIV/0!</v>
      </c>
      <c r="N98" s="13" t="e">
        <f t="shared" si="85"/>
        <v>#DIV/0!</v>
      </c>
      <c r="O98" s="13">
        <f t="shared" si="86"/>
        <v>2.5468074891982719</v>
      </c>
      <c r="P98" s="136">
        <f t="shared" si="87"/>
        <v>-795750</v>
      </c>
      <c r="R98" s="35">
        <v>0</v>
      </c>
      <c r="S98" s="12">
        <v>370350</v>
      </c>
      <c r="T98" s="12">
        <v>82550</v>
      </c>
      <c r="U98" s="13" t="e">
        <f t="shared" si="75"/>
        <v>#DIV/0!</v>
      </c>
      <c r="V98" s="13" t="e">
        <f t="shared" si="76"/>
        <v>#DIV/0!</v>
      </c>
      <c r="W98" s="13">
        <f t="shared" si="88"/>
        <v>4.4863718958207146</v>
      </c>
      <c r="X98" s="39">
        <f t="shared" si="78"/>
        <v>0</v>
      </c>
      <c r="Z98" s="89" t="s">
        <v>753</v>
      </c>
      <c r="AA98" s="20" t="s">
        <v>847</v>
      </c>
    </row>
    <row r="99" spans="1:27" x14ac:dyDescent="0.25">
      <c r="A99" t="s">
        <v>276</v>
      </c>
      <c r="B99" s="34" t="s">
        <v>101</v>
      </c>
      <c r="D99" s="20" t="s">
        <v>327</v>
      </c>
      <c r="E99" t="s">
        <v>914</v>
      </c>
      <c r="F99" s="30" t="s">
        <v>538</v>
      </c>
      <c r="G99" t="s">
        <v>328</v>
      </c>
      <c r="H99" s="33" t="s">
        <v>486</v>
      </c>
      <c r="I99" s="88">
        <v>0</v>
      </c>
      <c r="J99" s="55">
        <v>0</v>
      </c>
      <c r="K99" s="55">
        <v>0</v>
      </c>
      <c r="L99" s="55">
        <v>434650</v>
      </c>
      <c r="M99" s="42" t="e">
        <f t="shared" si="84"/>
        <v>#DIV/0!</v>
      </c>
      <c r="N99" s="13" t="e">
        <f t="shared" si="85"/>
        <v>#DIV/0!</v>
      </c>
      <c r="O99" s="13">
        <f t="shared" si="86"/>
        <v>0</v>
      </c>
      <c r="P99" s="136">
        <f t="shared" si="87"/>
        <v>0</v>
      </c>
      <c r="R99" s="35">
        <v>0</v>
      </c>
      <c r="S99" s="12">
        <v>0</v>
      </c>
      <c r="T99" s="12">
        <v>269900</v>
      </c>
      <c r="U99" s="13" t="e">
        <f t="shared" si="75"/>
        <v>#DIV/0!</v>
      </c>
      <c r="V99" s="13" t="e">
        <f t="shared" si="76"/>
        <v>#DIV/0!</v>
      </c>
      <c r="W99" s="13">
        <f t="shared" si="88"/>
        <v>0</v>
      </c>
      <c r="X99" s="39">
        <f t="shared" si="78"/>
        <v>0</v>
      </c>
      <c r="Z99" s="89" t="s">
        <v>753</v>
      </c>
      <c r="AA99" s="20" t="s">
        <v>848</v>
      </c>
    </row>
    <row r="100" spans="1:27" x14ac:dyDescent="0.25">
      <c r="A100" t="s">
        <v>276</v>
      </c>
      <c r="B100" s="34" t="s">
        <v>151</v>
      </c>
      <c r="D100" s="20" t="s">
        <v>327</v>
      </c>
      <c r="E100" t="s">
        <v>914</v>
      </c>
      <c r="F100" s="30" t="s">
        <v>538</v>
      </c>
      <c r="G100" t="s">
        <v>328</v>
      </c>
      <c r="H100" s="33" t="s">
        <v>493</v>
      </c>
      <c r="I100" s="88">
        <v>0</v>
      </c>
      <c r="J100" s="55">
        <v>0</v>
      </c>
      <c r="K100" s="55">
        <v>5</v>
      </c>
      <c r="L100" s="55">
        <v>0</v>
      </c>
      <c r="M100" s="42" t="e">
        <f t="shared" si="84"/>
        <v>#DIV/0!</v>
      </c>
      <c r="N100" s="13" t="e">
        <f t="shared" si="85"/>
        <v>#DIV/0!</v>
      </c>
      <c r="O100" s="13" t="e">
        <f t="shared" si="86"/>
        <v>#DIV/0!</v>
      </c>
      <c r="P100" s="136">
        <f t="shared" si="87"/>
        <v>-5</v>
      </c>
      <c r="R100" s="35">
        <v>0</v>
      </c>
      <c r="S100" s="12">
        <v>5</v>
      </c>
      <c r="T100" s="12">
        <v>0</v>
      </c>
      <c r="U100" s="13" t="e">
        <f t="shared" si="75"/>
        <v>#DIV/0!</v>
      </c>
      <c r="V100" s="13" t="e">
        <f t="shared" si="76"/>
        <v>#DIV/0!</v>
      </c>
      <c r="W100" s="13" t="e">
        <f t="shared" si="88"/>
        <v>#DIV/0!</v>
      </c>
      <c r="X100" s="39">
        <f t="shared" si="78"/>
        <v>0</v>
      </c>
      <c r="Z100" s="89" t="s">
        <v>753</v>
      </c>
      <c r="AA100" s="20" t="s">
        <v>833</v>
      </c>
    </row>
    <row r="101" spans="1:27" x14ac:dyDescent="0.25">
      <c r="A101" t="s">
        <v>276</v>
      </c>
      <c r="B101" s="34" t="s">
        <v>170</v>
      </c>
      <c r="D101" s="20" t="s">
        <v>327</v>
      </c>
      <c r="E101" t="s">
        <v>914</v>
      </c>
      <c r="F101" s="30" t="s">
        <v>538</v>
      </c>
      <c r="G101" t="s">
        <v>328</v>
      </c>
      <c r="H101" s="33" t="s">
        <v>496</v>
      </c>
      <c r="I101" s="88">
        <v>0</v>
      </c>
      <c r="J101" s="55">
        <v>0</v>
      </c>
      <c r="K101" s="55">
        <v>0</v>
      </c>
      <c r="L101" s="55">
        <v>10</v>
      </c>
      <c r="M101" s="42" t="e">
        <f t="shared" si="84"/>
        <v>#DIV/0!</v>
      </c>
      <c r="N101" s="13" t="e">
        <f t="shared" si="85"/>
        <v>#DIV/0!</v>
      </c>
      <c r="O101" s="13">
        <f t="shared" si="86"/>
        <v>0</v>
      </c>
      <c r="P101" s="136">
        <f t="shared" si="87"/>
        <v>0</v>
      </c>
      <c r="R101" s="35"/>
      <c r="U101" s="13"/>
      <c r="V101" s="13"/>
      <c r="W101" s="13"/>
      <c r="X101" s="39"/>
      <c r="Z101" s="89"/>
    </row>
    <row r="102" spans="1:27" x14ac:dyDescent="0.25">
      <c r="A102" t="s">
        <v>276</v>
      </c>
      <c r="B102" s="34" t="s">
        <v>179</v>
      </c>
      <c r="D102" s="20" t="s">
        <v>327</v>
      </c>
      <c r="E102" t="s">
        <v>914</v>
      </c>
      <c r="F102" s="30" t="s">
        <v>538</v>
      </c>
      <c r="G102" t="s">
        <v>328</v>
      </c>
      <c r="H102" s="33" t="s">
        <v>497</v>
      </c>
      <c r="I102" s="88">
        <v>0</v>
      </c>
      <c r="J102" s="55">
        <v>0</v>
      </c>
      <c r="K102" s="55">
        <v>5</v>
      </c>
      <c r="L102" s="55">
        <v>0</v>
      </c>
      <c r="M102" s="42" t="e">
        <f t="shared" si="84"/>
        <v>#DIV/0!</v>
      </c>
      <c r="N102" s="13" t="e">
        <f t="shared" si="85"/>
        <v>#DIV/0!</v>
      </c>
      <c r="O102" s="13" t="e">
        <f t="shared" si="86"/>
        <v>#DIV/0!</v>
      </c>
      <c r="P102" s="136">
        <f t="shared" si="87"/>
        <v>-5</v>
      </c>
      <c r="R102" s="35"/>
      <c r="U102" s="13"/>
      <c r="V102" s="13"/>
      <c r="W102" s="13"/>
      <c r="X102" s="39"/>
      <c r="Z102" s="89"/>
    </row>
    <row r="103" spans="1:27" x14ac:dyDescent="0.25">
      <c r="A103" t="s">
        <v>276</v>
      </c>
      <c r="B103" t="s">
        <v>341</v>
      </c>
      <c r="C103" t="s">
        <v>342</v>
      </c>
      <c r="D103" s="20" t="s">
        <v>347</v>
      </c>
      <c r="E103" t="s">
        <v>916</v>
      </c>
      <c r="F103" s="30" t="s">
        <v>535</v>
      </c>
      <c r="G103" t="s">
        <v>348</v>
      </c>
      <c r="H103" t="str">
        <f>VLOOKUP(B103,PTJ!D:E,2,0)</f>
        <v>UPF</v>
      </c>
      <c r="I103" s="92">
        <f>100000-1000</f>
        <v>99000</v>
      </c>
      <c r="J103" s="55">
        <v>12000</v>
      </c>
      <c r="K103" s="55">
        <v>10564.57</v>
      </c>
      <c r="L103" s="55">
        <v>129950.07</v>
      </c>
      <c r="M103" s="42">
        <f t="shared" ref="M103:M111" si="89">K103/J103</f>
        <v>0.88038083333333328</v>
      </c>
      <c r="N103" s="13">
        <f t="shared" ref="N103:N111" si="90">K103/I103</f>
        <v>0.10671282828282828</v>
      </c>
      <c r="O103" s="13">
        <f t="shared" ref="O103:O111" si="91">K103/L103</f>
        <v>8.1297147435164904E-2</v>
      </c>
      <c r="P103" s="136">
        <f t="shared" ref="P103:P111" si="92">I103-K103</f>
        <v>88435.43</v>
      </c>
      <c r="R103" s="12">
        <v>25000</v>
      </c>
      <c r="S103" s="12">
        <v>7802.5</v>
      </c>
      <c r="T103" s="12">
        <v>124778.97</v>
      </c>
      <c r="U103" s="13">
        <f t="shared" si="75"/>
        <v>0.31209999999999999</v>
      </c>
      <c r="V103" s="13">
        <f t="shared" si="76"/>
        <v>7.8813131313131307E-2</v>
      </c>
      <c r="W103" s="13">
        <f t="shared" si="88"/>
        <v>6.2530569053423024E-2</v>
      </c>
      <c r="X103" s="39">
        <f t="shared" si="78"/>
        <v>74000</v>
      </c>
      <c r="Z103" s="89" t="s">
        <v>753</v>
      </c>
      <c r="AA103" s="20" t="s">
        <v>830</v>
      </c>
    </row>
    <row r="104" spans="1:27" x14ac:dyDescent="0.25">
      <c r="A104" s="30" t="s">
        <v>276</v>
      </c>
      <c r="B104" s="34" t="s">
        <v>329</v>
      </c>
      <c r="D104" s="20" t="s">
        <v>347</v>
      </c>
      <c r="E104" t="s">
        <v>916</v>
      </c>
      <c r="F104" s="30" t="s">
        <v>535</v>
      </c>
      <c r="G104" t="s">
        <v>348</v>
      </c>
      <c r="H104" s="33" t="s">
        <v>462</v>
      </c>
      <c r="I104" s="92"/>
      <c r="J104" s="55">
        <v>0</v>
      </c>
      <c r="K104" s="55">
        <v>28</v>
      </c>
      <c r="L104" s="55">
        <v>0</v>
      </c>
      <c r="M104" s="42" t="e">
        <f t="shared" si="89"/>
        <v>#DIV/0!</v>
      </c>
      <c r="N104" s="13" t="e">
        <f t="shared" si="90"/>
        <v>#DIV/0!</v>
      </c>
      <c r="O104" s="13" t="e">
        <f t="shared" si="91"/>
        <v>#DIV/0!</v>
      </c>
      <c r="P104" s="136">
        <f t="shared" si="92"/>
        <v>-28</v>
      </c>
      <c r="U104" s="13"/>
      <c r="V104" s="13"/>
      <c r="W104" s="13"/>
      <c r="X104" s="39"/>
      <c r="Z104" s="89"/>
    </row>
    <row r="105" spans="1:27" x14ac:dyDescent="0.25">
      <c r="A105" t="s">
        <v>276</v>
      </c>
      <c r="B105" s="34" t="s">
        <v>110</v>
      </c>
      <c r="D105" s="20" t="s">
        <v>347</v>
      </c>
      <c r="E105" t="s">
        <v>916</v>
      </c>
      <c r="F105" s="30" t="s">
        <v>535</v>
      </c>
      <c r="G105" t="s">
        <v>348</v>
      </c>
      <c r="H105" s="33" t="s">
        <v>487</v>
      </c>
      <c r="I105" s="92"/>
      <c r="J105" s="55">
        <v>0</v>
      </c>
      <c r="K105" s="55">
        <v>0</v>
      </c>
      <c r="L105" s="55">
        <v>382.2</v>
      </c>
      <c r="M105" s="42" t="e">
        <f t="shared" si="89"/>
        <v>#DIV/0!</v>
      </c>
      <c r="N105" s="13" t="e">
        <f t="shared" si="90"/>
        <v>#DIV/0!</v>
      </c>
      <c r="O105" s="13">
        <f t="shared" si="91"/>
        <v>0</v>
      </c>
      <c r="P105" s="136">
        <f t="shared" si="92"/>
        <v>0</v>
      </c>
      <c r="U105" s="13"/>
      <c r="V105" s="13"/>
      <c r="W105" s="13"/>
      <c r="X105" s="39"/>
      <c r="Z105" s="89"/>
    </row>
    <row r="106" spans="1:27" x14ac:dyDescent="0.25">
      <c r="A106" t="s">
        <v>276</v>
      </c>
      <c r="B106" s="34" t="s">
        <v>151</v>
      </c>
      <c r="D106" s="20" t="s">
        <v>347</v>
      </c>
      <c r="E106" t="s">
        <v>916</v>
      </c>
      <c r="F106" s="30" t="s">
        <v>535</v>
      </c>
      <c r="G106" t="s">
        <v>348</v>
      </c>
      <c r="H106" s="34" t="s">
        <v>493</v>
      </c>
      <c r="I106" s="92">
        <v>500</v>
      </c>
      <c r="J106" s="55">
        <v>500</v>
      </c>
      <c r="K106" s="55">
        <v>455</v>
      </c>
      <c r="L106" s="55">
        <v>0</v>
      </c>
      <c r="M106" s="42">
        <f t="shared" si="89"/>
        <v>0.91</v>
      </c>
      <c r="N106" s="13">
        <f t="shared" si="90"/>
        <v>0.91</v>
      </c>
      <c r="O106" s="13" t="e">
        <f t="shared" si="91"/>
        <v>#DIV/0!</v>
      </c>
      <c r="P106" s="136">
        <f t="shared" si="92"/>
        <v>45</v>
      </c>
      <c r="R106" s="35">
        <v>0</v>
      </c>
      <c r="S106" s="12">
        <v>455</v>
      </c>
      <c r="U106" s="13" t="e">
        <f t="shared" si="75"/>
        <v>#DIV/0!</v>
      </c>
      <c r="V106" s="13">
        <f t="shared" si="76"/>
        <v>0.91</v>
      </c>
      <c r="W106" s="13" t="e">
        <f t="shared" ref="W106:W124" si="93">S106/T106</f>
        <v>#DIV/0!</v>
      </c>
      <c r="X106" s="39">
        <f t="shared" si="78"/>
        <v>500</v>
      </c>
      <c r="Z106" s="89" t="s">
        <v>753</v>
      </c>
      <c r="AA106" s="20" t="s">
        <v>838</v>
      </c>
    </row>
    <row r="107" spans="1:27" x14ac:dyDescent="0.25">
      <c r="A107" t="s">
        <v>276</v>
      </c>
      <c r="B107" s="34" t="s">
        <v>143</v>
      </c>
      <c r="D107" s="20" t="s">
        <v>347</v>
      </c>
      <c r="E107" t="s">
        <v>916</v>
      </c>
      <c r="F107" s="30" t="s">
        <v>535</v>
      </c>
      <c r="G107" t="s">
        <v>348</v>
      </c>
      <c r="H107" s="34" t="s">
        <v>491</v>
      </c>
      <c r="I107" s="35">
        <v>0</v>
      </c>
      <c r="J107" s="55">
        <v>0</v>
      </c>
      <c r="K107" s="55">
        <v>0</v>
      </c>
      <c r="L107" s="55">
        <v>0.75</v>
      </c>
      <c r="M107" s="42" t="e">
        <f t="shared" si="89"/>
        <v>#DIV/0!</v>
      </c>
      <c r="N107" s="13" t="e">
        <f t="shared" si="90"/>
        <v>#DIV/0!</v>
      </c>
      <c r="O107" s="13">
        <f t="shared" si="91"/>
        <v>0</v>
      </c>
      <c r="P107" s="136">
        <f t="shared" si="92"/>
        <v>0</v>
      </c>
      <c r="R107" s="35">
        <v>0</v>
      </c>
      <c r="S107" s="12">
        <v>0</v>
      </c>
      <c r="T107" s="12">
        <v>0.75</v>
      </c>
      <c r="U107" s="13" t="e">
        <f>S107/R107</f>
        <v>#DIV/0!</v>
      </c>
      <c r="V107" s="13" t="e">
        <f>S107/I107</f>
        <v>#DIV/0!</v>
      </c>
      <c r="W107" s="13">
        <f>S107/T107</f>
        <v>0</v>
      </c>
      <c r="X107" s="39">
        <f>I107-R107</f>
        <v>0</v>
      </c>
      <c r="Z107" s="89" t="s">
        <v>753</v>
      </c>
      <c r="AA107" s="20" t="s">
        <v>849</v>
      </c>
    </row>
    <row r="108" spans="1:27" x14ac:dyDescent="0.25">
      <c r="A108" t="s">
        <v>276</v>
      </c>
      <c r="B108" s="34" t="s">
        <v>179</v>
      </c>
      <c r="D108" s="20" t="s">
        <v>347</v>
      </c>
      <c r="E108" t="s">
        <v>916</v>
      </c>
      <c r="F108" s="30" t="s">
        <v>535</v>
      </c>
      <c r="G108" t="s">
        <v>348</v>
      </c>
      <c r="H108" s="34" t="s">
        <v>497</v>
      </c>
      <c r="I108" s="35">
        <v>0</v>
      </c>
      <c r="J108" s="55">
        <v>0</v>
      </c>
      <c r="K108" s="55">
        <v>0</v>
      </c>
      <c r="L108" s="55">
        <v>3.3</v>
      </c>
      <c r="M108" s="42" t="e">
        <f t="shared" si="89"/>
        <v>#DIV/0!</v>
      </c>
      <c r="N108" s="13" t="e">
        <f t="shared" si="90"/>
        <v>#DIV/0!</v>
      </c>
      <c r="O108" s="13">
        <f t="shared" si="91"/>
        <v>0</v>
      </c>
      <c r="P108" s="136">
        <f t="shared" si="92"/>
        <v>0</v>
      </c>
      <c r="R108" s="35">
        <v>0</v>
      </c>
      <c r="S108" s="12">
        <v>0</v>
      </c>
      <c r="T108" s="12">
        <v>3.3</v>
      </c>
      <c r="U108" s="13" t="e">
        <f>S108/R108</f>
        <v>#DIV/0!</v>
      </c>
      <c r="V108" s="13" t="e">
        <f>S108/I108</f>
        <v>#DIV/0!</v>
      </c>
      <c r="W108" s="13">
        <f>S108/T108</f>
        <v>0</v>
      </c>
      <c r="X108" s="39">
        <f>I108-R108</f>
        <v>0</v>
      </c>
      <c r="Z108" s="89" t="s">
        <v>753</v>
      </c>
      <c r="AA108" s="20" t="s">
        <v>850</v>
      </c>
    </row>
    <row r="109" spans="1:27" x14ac:dyDescent="0.25">
      <c r="A109" t="s">
        <v>276</v>
      </c>
      <c r="B109" s="34" t="s">
        <v>214</v>
      </c>
      <c r="D109" s="20" t="s">
        <v>347</v>
      </c>
      <c r="E109" t="s">
        <v>916</v>
      </c>
      <c r="F109" s="30" t="s">
        <v>535</v>
      </c>
      <c r="G109" t="s">
        <v>348</v>
      </c>
      <c r="H109" s="34" t="s">
        <v>501</v>
      </c>
      <c r="I109" s="92">
        <v>500</v>
      </c>
      <c r="J109" s="55">
        <v>500</v>
      </c>
      <c r="K109" s="55">
        <v>455</v>
      </c>
      <c r="L109" s="55">
        <v>0</v>
      </c>
      <c r="M109" s="42">
        <f t="shared" si="89"/>
        <v>0.91</v>
      </c>
      <c r="N109" s="13">
        <f t="shared" si="90"/>
        <v>0.91</v>
      </c>
      <c r="O109" s="13" t="e">
        <f t="shared" si="91"/>
        <v>#DIV/0!</v>
      </c>
      <c r="P109" s="136">
        <f t="shared" si="92"/>
        <v>45</v>
      </c>
      <c r="R109" s="35">
        <v>0</v>
      </c>
      <c r="S109" s="12">
        <v>455</v>
      </c>
      <c r="U109" s="13" t="e">
        <f>S109/R109</f>
        <v>#DIV/0!</v>
      </c>
      <c r="V109" s="13">
        <f>S109/I109</f>
        <v>0.91</v>
      </c>
      <c r="W109" s="13" t="e">
        <f>S109/T109</f>
        <v>#DIV/0!</v>
      </c>
      <c r="X109" s="39">
        <f>I109-R109</f>
        <v>500</v>
      </c>
      <c r="Z109" s="89" t="s">
        <v>753</v>
      </c>
      <c r="AA109" s="20" t="s">
        <v>839</v>
      </c>
    </row>
    <row r="110" spans="1:27" x14ac:dyDescent="0.25">
      <c r="A110" t="s">
        <v>276</v>
      </c>
      <c r="B110" s="34" t="s">
        <v>248</v>
      </c>
      <c r="D110" s="20" t="s">
        <v>347</v>
      </c>
      <c r="E110" t="s">
        <v>916</v>
      </c>
      <c r="F110" s="30" t="s">
        <v>535</v>
      </c>
      <c r="G110" t="s">
        <v>348</v>
      </c>
      <c r="H110" s="33" t="s">
        <v>505</v>
      </c>
      <c r="I110" s="35"/>
      <c r="J110" s="55">
        <v>0</v>
      </c>
      <c r="K110" s="55">
        <v>0</v>
      </c>
      <c r="L110" s="55">
        <v>168</v>
      </c>
      <c r="M110" s="42" t="e">
        <f t="shared" si="89"/>
        <v>#DIV/0!</v>
      </c>
      <c r="N110" s="13" t="e">
        <f t="shared" si="90"/>
        <v>#DIV/0!</v>
      </c>
      <c r="O110" s="13">
        <f t="shared" si="91"/>
        <v>0</v>
      </c>
      <c r="P110" s="136">
        <f t="shared" si="92"/>
        <v>0</v>
      </c>
      <c r="R110" s="35"/>
      <c r="U110" s="13"/>
      <c r="V110" s="13"/>
      <c r="W110" s="13"/>
      <c r="X110" s="39"/>
      <c r="Z110" s="89"/>
    </row>
    <row r="111" spans="1:27" x14ac:dyDescent="0.25">
      <c r="A111" t="s">
        <v>276</v>
      </c>
      <c r="B111" s="34" t="s">
        <v>259</v>
      </c>
      <c r="D111" s="20" t="s">
        <v>347</v>
      </c>
      <c r="E111" t="s">
        <v>916</v>
      </c>
      <c r="F111" s="30" t="s">
        <v>535</v>
      </c>
      <c r="G111" t="s">
        <v>348</v>
      </c>
      <c r="H111" s="33" t="s">
        <v>506</v>
      </c>
      <c r="I111" s="35"/>
      <c r="J111" s="55">
        <v>0</v>
      </c>
      <c r="K111" s="55">
        <v>42</v>
      </c>
      <c r="L111" s="55">
        <v>0</v>
      </c>
      <c r="M111" s="42" t="e">
        <f t="shared" si="89"/>
        <v>#DIV/0!</v>
      </c>
      <c r="N111" s="13" t="e">
        <f t="shared" si="90"/>
        <v>#DIV/0!</v>
      </c>
      <c r="O111" s="13" t="e">
        <f t="shared" si="91"/>
        <v>#DIV/0!</v>
      </c>
      <c r="P111" s="136">
        <f t="shared" si="92"/>
        <v>-42</v>
      </c>
      <c r="R111" s="35"/>
      <c r="U111" s="13"/>
      <c r="V111" s="13"/>
      <c r="W111" s="13"/>
      <c r="X111" s="39"/>
      <c r="Z111" s="89"/>
    </row>
    <row r="112" spans="1:27" x14ac:dyDescent="0.25">
      <c r="A112" t="s">
        <v>276</v>
      </c>
      <c r="B112" t="s">
        <v>50</v>
      </c>
      <c r="C112" t="s">
        <v>52</v>
      </c>
      <c r="D112" s="20" t="s">
        <v>347</v>
      </c>
      <c r="E112" t="s">
        <v>917</v>
      </c>
      <c r="F112" s="30" t="s">
        <v>534</v>
      </c>
      <c r="G112" t="s">
        <v>348</v>
      </c>
      <c r="H112" t="str">
        <f>VLOOKUP(B112,PTJ!D:E,2,0)</f>
        <v>BPKPB</v>
      </c>
      <c r="I112" s="12">
        <v>266400</v>
      </c>
      <c r="J112" s="12">
        <v>266400</v>
      </c>
      <c r="K112" s="55">
        <v>280429.51</v>
      </c>
      <c r="L112" s="55">
        <v>0</v>
      </c>
      <c r="M112" s="42">
        <f t="shared" ref="M112:M113" si="94">K112/J112</f>
        <v>1.0526633258258258</v>
      </c>
      <c r="N112" s="13">
        <f t="shared" ref="N112:N113" si="95">K112/I112</f>
        <v>1.0526633258258258</v>
      </c>
      <c r="O112" s="13" t="e">
        <f t="shared" ref="O112:O113" si="96">K112/L112</f>
        <v>#DIV/0!</v>
      </c>
      <c r="P112" s="136">
        <f t="shared" ref="P112:P113" si="97">I112-K112</f>
        <v>-14029.510000000009</v>
      </c>
      <c r="R112" s="12">
        <v>0</v>
      </c>
      <c r="S112" s="12">
        <v>0</v>
      </c>
      <c r="T112" s="12">
        <v>0</v>
      </c>
      <c r="U112" s="13" t="e">
        <f t="shared" si="75"/>
        <v>#DIV/0!</v>
      </c>
      <c r="V112" s="13">
        <f t="shared" si="76"/>
        <v>0</v>
      </c>
      <c r="W112" s="13" t="e">
        <f t="shared" si="93"/>
        <v>#DIV/0!</v>
      </c>
      <c r="X112" s="39">
        <f t="shared" si="78"/>
        <v>266400</v>
      </c>
      <c r="Z112" s="89" t="s">
        <v>753</v>
      </c>
      <c r="AA112" s="20" t="s">
        <v>831</v>
      </c>
    </row>
    <row r="113" spans="1:27" x14ac:dyDescent="0.25">
      <c r="A113" t="s">
        <v>276</v>
      </c>
      <c r="B113" s="34" t="s">
        <v>341</v>
      </c>
      <c r="D113" s="20" t="s">
        <v>347</v>
      </c>
      <c r="E113" t="s">
        <v>917</v>
      </c>
      <c r="F113" s="30" t="s">
        <v>534</v>
      </c>
      <c r="G113" t="s">
        <v>348</v>
      </c>
      <c r="H113" s="33" t="s">
        <v>465</v>
      </c>
      <c r="I113" s="88">
        <v>0</v>
      </c>
      <c r="J113" s="55">
        <v>0</v>
      </c>
      <c r="K113" s="55">
        <v>0</v>
      </c>
      <c r="L113" s="55">
        <v>205432.57</v>
      </c>
      <c r="M113" s="42" t="e">
        <f t="shared" si="94"/>
        <v>#DIV/0!</v>
      </c>
      <c r="N113" s="13" t="e">
        <f t="shared" si="95"/>
        <v>#DIV/0!</v>
      </c>
      <c r="O113" s="13">
        <f t="shared" si="96"/>
        <v>0</v>
      </c>
      <c r="P113" s="136">
        <f t="shared" si="97"/>
        <v>0</v>
      </c>
      <c r="R113" s="35">
        <v>0</v>
      </c>
      <c r="S113" s="12">
        <v>0</v>
      </c>
      <c r="T113" s="12">
        <v>102707.57</v>
      </c>
      <c r="U113" s="13" t="e">
        <f t="shared" si="75"/>
        <v>#DIV/0!</v>
      </c>
      <c r="V113" s="13" t="e">
        <f t="shared" si="76"/>
        <v>#DIV/0!</v>
      </c>
      <c r="W113" s="13">
        <f t="shared" si="93"/>
        <v>0</v>
      </c>
      <c r="X113" s="39">
        <f t="shared" si="78"/>
        <v>0</v>
      </c>
      <c r="Z113" s="89" t="s">
        <v>753</v>
      </c>
      <c r="AA113" s="20" t="s">
        <v>830</v>
      </c>
    </row>
    <row r="114" spans="1:27" x14ac:dyDescent="0.25">
      <c r="A114" t="s">
        <v>276</v>
      </c>
      <c r="B114" s="34" t="s">
        <v>9</v>
      </c>
      <c r="D114" s="20" t="s">
        <v>347</v>
      </c>
      <c r="E114" t="s">
        <v>918</v>
      </c>
      <c r="F114" s="30" t="s">
        <v>539</v>
      </c>
      <c r="G114" t="s">
        <v>348</v>
      </c>
      <c r="H114" s="33" t="s">
        <v>466</v>
      </c>
      <c r="I114" s="88">
        <v>0</v>
      </c>
      <c r="J114" s="55">
        <v>0</v>
      </c>
      <c r="K114" s="55">
        <v>0</v>
      </c>
      <c r="L114" s="37">
        <v>5201.6099999999997</v>
      </c>
      <c r="M114" s="42" t="e">
        <f t="shared" ref="M114:M135" si="98">K114/J114</f>
        <v>#DIV/0!</v>
      </c>
      <c r="N114" s="13" t="e">
        <f t="shared" ref="N114:N135" si="99">K114/I114</f>
        <v>#DIV/0!</v>
      </c>
      <c r="O114" s="13">
        <f t="shared" ref="O114:O135" si="100">K114/L114</f>
        <v>0</v>
      </c>
      <c r="P114" s="136">
        <f t="shared" ref="P114:P135" si="101">I114-K114</f>
        <v>0</v>
      </c>
      <c r="R114" s="35">
        <v>0</v>
      </c>
      <c r="S114" s="12">
        <v>0</v>
      </c>
      <c r="T114" s="12">
        <v>5201.6099999999997</v>
      </c>
      <c r="U114" s="13" t="e">
        <f t="shared" si="75"/>
        <v>#DIV/0!</v>
      </c>
      <c r="V114" s="13" t="e">
        <f t="shared" si="76"/>
        <v>#DIV/0!</v>
      </c>
      <c r="W114" s="13">
        <f t="shared" si="93"/>
        <v>0</v>
      </c>
      <c r="X114" s="39">
        <f t="shared" si="78"/>
        <v>0</v>
      </c>
      <c r="Z114" s="89" t="s">
        <v>753</v>
      </c>
      <c r="AA114" s="20" t="s">
        <v>851</v>
      </c>
    </row>
    <row r="115" spans="1:27" x14ac:dyDescent="0.25">
      <c r="A115" t="s">
        <v>276</v>
      </c>
      <c r="B115" s="34" t="s">
        <v>295</v>
      </c>
      <c r="D115" s="20" t="s">
        <v>347</v>
      </c>
      <c r="E115" s="143" t="s">
        <v>919</v>
      </c>
      <c r="F115" s="30" t="s">
        <v>348</v>
      </c>
      <c r="G115" t="s">
        <v>348</v>
      </c>
      <c r="H115" s="33" t="s">
        <v>460</v>
      </c>
      <c r="I115" s="88">
        <v>0</v>
      </c>
      <c r="J115" s="55">
        <v>0</v>
      </c>
      <c r="K115" s="146">
        <f>6624.03-12</f>
        <v>6612.03</v>
      </c>
      <c r="L115" s="147">
        <v>2264.02</v>
      </c>
      <c r="M115" s="42" t="e">
        <f t="shared" si="98"/>
        <v>#DIV/0!</v>
      </c>
      <c r="N115" s="13" t="e">
        <f t="shared" si="99"/>
        <v>#DIV/0!</v>
      </c>
      <c r="O115" s="13">
        <f t="shared" si="100"/>
        <v>2.9204821512177452</v>
      </c>
      <c r="P115" s="136">
        <f t="shared" si="101"/>
        <v>-6612.03</v>
      </c>
      <c r="R115" s="35">
        <v>0</v>
      </c>
      <c r="S115" s="12">
        <v>6624.03</v>
      </c>
      <c r="T115" s="12">
        <v>0</v>
      </c>
      <c r="U115" s="13" t="e">
        <f t="shared" si="75"/>
        <v>#DIV/0!</v>
      </c>
      <c r="V115" s="13" t="e">
        <f t="shared" si="76"/>
        <v>#DIV/0!</v>
      </c>
      <c r="W115" s="13" t="e">
        <f t="shared" si="93"/>
        <v>#DIV/0!</v>
      </c>
      <c r="X115" s="39">
        <f t="shared" si="78"/>
        <v>0</v>
      </c>
      <c r="Z115" s="89" t="s">
        <v>753</v>
      </c>
      <c r="AA115" s="20" t="s">
        <v>852</v>
      </c>
    </row>
    <row r="116" spans="1:27" x14ac:dyDescent="0.25">
      <c r="A116" t="s">
        <v>276</v>
      </c>
      <c r="B116" s="34" t="s">
        <v>333</v>
      </c>
      <c r="D116" s="20" t="s">
        <v>347</v>
      </c>
      <c r="E116" s="143" t="s">
        <v>919</v>
      </c>
      <c r="F116" s="30" t="s">
        <v>348</v>
      </c>
      <c r="G116" t="s">
        <v>348</v>
      </c>
      <c r="H116" s="33" t="s">
        <v>463</v>
      </c>
      <c r="I116" s="88">
        <v>0</v>
      </c>
      <c r="J116" s="55">
        <v>0</v>
      </c>
      <c r="K116" s="55">
        <v>3059.75</v>
      </c>
      <c r="L116" s="141">
        <v>30383.08</v>
      </c>
      <c r="M116" s="42" t="e">
        <f t="shared" si="98"/>
        <v>#DIV/0!</v>
      </c>
      <c r="N116" s="13" t="e">
        <f t="shared" si="99"/>
        <v>#DIV/0!</v>
      </c>
      <c r="O116" s="13">
        <f t="shared" si="100"/>
        <v>0.10070572173723005</v>
      </c>
      <c r="P116" s="136">
        <f t="shared" si="101"/>
        <v>-3059.75</v>
      </c>
      <c r="R116" s="35">
        <v>0</v>
      </c>
      <c r="S116" s="12">
        <v>653.70000000000005</v>
      </c>
      <c r="T116" s="12">
        <v>29237.31</v>
      </c>
      <c r="U116" s="13" t="e">
        <f t="shared" si="75"/>
        <v>#DIV/0!</v>
      </c>
      <c r="V116" s="13" t="e">
        <f t="shared" si="76"/>
        <v>#DIV/0!</v>
      </c>
      <c r="W116" s="13">
        <f t="shared" si="93"/>
        <v>2.2358418062400406E-2</v>
      </c>
      <c r="X116" s="39">
        <f t="shared" si="78"/>
        <v>0</v>
      </c>
      <c r="Z116" s="89" t="s">
        <v>753</v>
      </c>
      <c r="AA116" s="20" t="s">
        <v>853</v>
      </c>
    </row>
    <row r="117" spans="1:27" x14ac:dyDescent="0.25">
      <c r="A117" t="s">
        <v>276</v>
      </c>
      <c r="B117" s="34" t="s">
        <v>341</v>
      </c>
      <c r="D117" s="20" t="s">
        <v>347</v>
      </c>
      <c r="E117" s="143" t="s">
        <v>919</v>
      </c>
      <c r="F117" s="30" t="s">
        <v>348</v>
      </c>
      <c r="G117" t="s">
        <v>348</v>
      </c>
      <c r="H117" s="33" t="s">
        <v>465</v>
      </c>
      <c r="I117" s="88"/>
      <c r="J117" s="55">
        <v>0</v>
      </c>
      <c r="K117" s="55">
        <v>0</v>
      </c>
      <c r="L117" s="141">
        <v>181268</v>
      </c>
      <c r="M117" s="42" t="e">
        <f t="shared" si="98"/>
        <v>#DIV/0!</v>
      </c>
      <c r="N117" s="13" t="e">
        <f t="shared" si="99"/>
        <v>#DIV/0!</v>
      </c>
      <c r="O117" s="13">
        <f t="shared" si="100"/>
        <v>0</v>
      </c>
      <c r="P117" s="136">
        <f t="shared" si="101"/>
        <v>0</v>
      </c>
      <c r="R117" s="35"/>
      <c r="U117" s="13"/>
      <c r="V117" s="13"/>
      <c r="W117" s="13"/>
      <c r="X117" s="39"/>
      <c r="Z117" s="89"/>
    </row>
    <row r="118" spans="1:27" x14ac:dyDescent="0.25">
      <c r="A118" t="s">
        <v>276</v>
      </c>
      <c r="B118" s="34" t="s">
        <v>110</v>
      </c>
      <c r="D118" s="20" t="s">
        <v>347</v>
      </c>
      <c r="E118" s="143" t="s">
        <v>919</v>
      </c>
      <c r="F118" s="30" t="s">
        <v>348</v>
      </c>
      <c r="G118" t="s">
        <v>348</v>
      </c>
      <c r="H118" s="34" t="s">
        <v>487</v>
      </c>
      <c r="I118" s="88">
        <v>0</v>
      </c>
      <c r="J118" s="55">
        <v>0</v>
      </c>
      <c r="K118" s="55">
        <v>80</v>
      </c>
      <c r="L118" s="141">
        <v>54</v>
      </c>
      <c r="M118" s="42" t="e">
        <f t="shared" si="98"/>
        <v>#DIV/0!</v>
      </c>
      <c r="N118" s="13" t="e">
        <f t="shared" si="99"/>
        <v>#DIV/0!</v>
      </c>
      <c r="O118" s="13">
        <f t="shared" si="100"/>
        <v>1.4814814814814814</v>
      </c>
      <c r="P118" s="136">
        <f t="shared" si="101"/>
        <v>-80</v>
      </c>
      <c r="R118" s="35">
        <v>0</v>
      </c>
      <c r="S118" s="12">
        <v>59</v>
      </c>
      <c r="T118" s="12">
        <v>0</v>
      </c>
      <c r="U118" s="13" t="e">
        <f t="shared" si="75"/>
        <v>#DIV/0!</v>
      </c>
      <c r="V118" s="13" t="e">
        <f t="shared" si="76"/>
        <v>#DIV/0!</v>
      </c>
      <c r="W118" s="13" t="e">
        <f t="shared" si="93"/>
        <v>#DIV/0!</v>
      </c>
      <c r="X118" s="39">
        <f t="shared" si="78"/>
        <v>0</v>
      </c>
      <c r="Z118" s="89" t="s">
        <v>753</v>
      </c>
      <c r="AA118" s="20" t="s">
        <v>854</v>
      </c>
    </row>
    <row r="119" spans="1:27" x14ac:dyDescent="0.25">
      <c r="A119" t="s">
        <v>276</v>
      </c>
      <c r="B119" s="34" t="s">
        <v>119</v>
      </c>
      <c r="D119" s="20" t="s">
        <v>347</v>
      </c>
      <c r="E119" s="143" t="s">
        <v>919</v>
      </c>
      <c r="F119" s="30" t="s">
        <v>348</v>
      </c>
      <c r="G119" t="s">
        <v>348</v>
      </c>
      <c r="H119" s="34" t="s">
        <v>488</v>
      </c>
      <c r="I119" s="88">
        <v>0</v>
      </c>
      <c r="J119" s="55">
        <v>0</v>
      </c>
      <c r="K119" s="55">
        <v>61.88</v>
      </c>
      <c r="L119" s="141">
        <v>145</v>
      </c>
      <c r="M119" s="42" t="e">
        <f t="shared" si="98"/>
        <v>#DIV/0!</v>
      </c>
      <c r="N119" s="13" t="e">
        <f t="shared" si="99"/>
        <v>#DIV/0!</v>
      </c>
      <c r="O119" s="13">
        <f t="shared" si="100"/>
        <v>0.4267586206896552</v>
      </c>
      <c r="P119" s="136">
        <f t="shared" si="101"/>
        <v>-61.88</v>
      </c>
      <c r="R119" s="35">
        <v>0</v>
      </c>
      <c r="S119" s="12">
        <v>4</v>
      </c>
      <c r="T119" s="12">
        <v>0</v>
      </c>
      <c r="U119" s="13" t="e">
        <f t="shared" si="75"/>
        <v>#DIV/0!</v>
      </c>
      <c r="V119" s="13" t="e">
        <f t="shared" si="76"/>
        <v>#DIV/0!</v>
      </c>
      <c r="W119" s="13" t="e">
        <f t="shared" si="93"/>
        <v>#DIV/0!</v>
      </c>
      <c r="X119" s="39">
        <f t="shared" si="78"/>
        <v>0</v>
      </c>
      <c r="Z119" s="89" t="s">
        <v>753</v>
      </c>
      <c r="AA119" s="20" t="s">
        <v>855</v>
      </c>
    </row>
    <row r="120" spans="1:27" x14ac:dyDescent="0.25">
      <c r="A120" t="s">
        <v>276</v>
      </c>
      <c r="B120" s="34" t="s">
        <v>127</v>
      </c>
      <c r="D120" s="20" t="s">
        <v>347</v>
      </c>
      <c r="E120" s="143" t="s">
        <v>919</v>
      </c>
      <c r="F120" s="30" t="s">
        <v>348</v>
      </c>
      <c r="G120" t="s">
        <v>348</v>
      </c>
      <c r="H120" s="34" t="s">
        <v>489</v>
      </c>
      <c r="I120" s="88">
        <v>0</v>
      </c>
      <c r="J120" s="55">
        <v>0</v>
      </c>
      <c r="K120" s="55">
        <v>28</v>
      </c>
      <c r="L120" s="141">
        <v>1</v>
      </c>
      <c r="M120" s="42" t="e">
        <f t="shared" si="98"/>
        <v>#DIV/0!</v>
      </c>
      <c r="N120" s="13" t="e">
        <f t="shared" si="99"/>
        <v>#DIV/0!</v>
      </c>
      <c r="O120" s="13">
        <f t="shared" si="100"/>
        <v>28</v>
      </c>
      <c r="P120" s="136">
        <f t="shared" si="101"/>
        <v>-28</v>
      </c>
      <c r="R120" s="35">
        <v>0</v>
      </c>
      <c r="S120" s="12">
        <v>10</v>
      </c>
      <c r="T120" s="12">
        <v>1</v>
      </c>
      <c r="U120" s="13" t="e">
        <f t="shared" si="75"/>
        <v>#DIV/0!</v>
      </c>
      <c r="V120" s="13" t="e">
        <f t="shared" si="76"/>
        <v>#DIV/0!</v>
      </c>
      <c r="W120" s="13">
        <f t="shared" si="93"/>
        <v>10</v>
      </c>
      <c r="X120" s="39">
        <f t="shared" si="78"/>
        <v>0</v>
      </c>
      <c r="Z120" s="89" t="s">
        <v>753</v>
      </c>
      <c r="AA120" s="20" t="s">
        <v>856</v>
      </c>
    </row>
    <row r="121" spans="1:27" x14ac:dyDescent="0.25">
      <c r="A121" t="s">
        <v>276</v>
      </c>
      <c r="B121" s="34" t="s">
        <v>135</v>
      </c>
      <c r="D121" s="20" t="s">
        <v>347</v>
      </c>
      <c r="E121" s="143" t="s">
        <v>919</v>
      </c>
      <c r="F121" s="30" t="s">
        <v>348</v>
      </c>
      <c r="G121" t="s">
        <v>348</v>
      </c>
      <c r="H121" s="33" t="s">
        <v>490</v>
      </c>
      <c r="I121" s="88"/>
      <c r="J121" s="55">
        <v>0</v>
      </c>
      <c r="K121" s="55">
        <v>0</v>
      </c>
      <c r="L121" s="141">
        <v>0</v>
      </c>
      <c r="M121" s="42" t="e">
        <f t="shared" si="98"/>
        <v>#DIV/0!</v>
      </c>
      <c r="N121" s="13" t="e">
        <f t="shared" si="99"/>
        <v>#DIV/0!</v>
      </c>
      <c r="O121" s="13" t="e">
        <f t="shared" si="100"/>
        <v>#DIV/0!</v>
      </c>
      <c r="P121" s="136">
        <f t="shared" si="101"/>
        <v>0</v>
      </c>
      <c r="R121" s="35"/>
      <c r="U121" s="13"/>
      <c r="V121" s="13"/>
      <c r="W121" s="13"/>
      <c r="X121" s="39"/>
      <c r="Z121" s="89"/>
    </row>
    <row r="122" spans="1:27" x14ac:dyDescent="0.25">
      <c r="A122" t="s">
        <v>276</v>
      </c>
      <c r="B122" s="34" t="s">
        <v>143</v>
      </c>
      <c r="D122" s="20" t="s">
        <v>347</v>
      </c>
      <c r="E122" s="143" t="s">
        <v>919</v>
      </c>
      <c r="F122" s="30" t="s">
        <v>348</v>
      </c>
      <c r="G122" t="s">
        <v>348</v>
      </c>
      <c r="H122" s="34" t="s">
        <v>491</v>
      </c>
      <c r="I122" s="88">
        <v>0</v>
      </c>
      <c r="J122" s="55">
        <v>0</v>
      </c>
      <c r="K122" s="55">
        <v>3.03</v>
      </c>
      <c r="L122" s="141">
        <v>17.09</v>
      </c>
      <c r="M122" s="42" t="e">
        <f t="shared" si="98"/>
        <v>#DIV/0!</v>
      </c>
      <c r="N122" s="13" t="e">
        <f t="shared" si="99"/>
        <v>#DIV/0!</v>
      </c>
      <c r="O122" s="13">
        <f t="shared" si="100"/>
        <v>0.17729666471620831</v>
      </c>
      <c r="P122" s="136">
        <f t="shared" si="101"/>
        <v>-3.03</v>
      </c>
      <c r="R122" s="35">
        <v>0</v>
      </c>
      <c r="S122" s="12">
        <v>3</v>
      </c>
      <c r="U122" s="13" t="e">
        <f t="shared" si="75"/>
        <v>#DIV/0!</v>
      </c>
      <c r="V122" s="13" t="e">
        <f t="shared" si="76"/>
        <v>#DIV/0!</v>
      </c>
      <c r="W122" s="13" t="e">
        <f t="shared" si="93"/>
        <v>#DIV/0!</v>
      </c>
      <c r="X122" s="39">
        <f t="shared" si="78"/>
        <v>0</v>
      </c>
      <c r="Z122" s="89" t="s">
        <v>753</v>
      </c>
      <c r="AA122" s="20" t="s">
        <v>849</v>
      </c>
    </row>
    <row r="123" spans="1:27" x14ac:dyDescent="0.25">
      <c r="A123" t="s">
        <v>276</v>
      </c>
      <c r="B123" s="34" t="s">
        <v>151</v>
      </c>
      <c r="D123" s="20" t="s">
        <v>347</v>
      </c>
      <c r="E123" s="143" t="s">
        <v>919</v>
      </c>
      <c r="F123" s="30" t="s">
        <v>348</v>
      </c>
      <c r="G123" t="s">
        <v>348</v>
      </c>
      <c r="H123" s="34" t="s">
        <v>493</v>
      </c>
      <c r="I123" s="88">
        <v>0</v>
      </c>
      <c r="J123" s="55">
        <v>0</v>
      </c>
      <c r="K123" s="55">
        <v>101.22</v>
      </c>
      <c r="L123" s="141">
        <v>59.06</v>
      </c>
      <c r="M123" s="42" t="e">
        <f t="shared" si="98"/>
        <v>#DIV/0!</v>
      </c>
      <c r="N123" s="13" t="e">
        <f t="shared" si="99"/>
        <v>#DIV/0!</v>
      </c>
      <c r="O123" s="13">
        <f t="shared" si="100"/>
        <v>1.7138503217067389</v>
      </c>
      <c r="P123" s="136">
        <f t="shared" si="101"/>
        <v>-101.22</v>
      </c>
      <c r="R123" s="35">
        <v>0</v>
      </c>
      <c r="S123" s="12">
        <v>40.119999999999997</v>
      </c>
      <c r="T123" s="12">
        <v>1.06</v>
      </c>
      <c r="U123" s="13" t="e">
        <f t="shared" si="75"/>
        <v>#DIV/0!</v>
      </c>
      <c r="V123" s="13" t="e">
        <f t="shared" si="76"/>
        <v>#DIV/0!</v>
      </c>
      <c r="W123" s="13">
        <f t="shared" si="93"/>
        <v>37.849056603773583</v>
      </c>
      <c r="X123" s="39">
        <f t="shared" si="78"/>
        <v>0</v>
      </c>
      <c r="Z123" s="89" t="s">
        <v>753</v>
      </c>
      <c r="AA123" s="20" t="s">
        <v>838</v>
      </c>
    </row>
    <row r="124" spans="1:27" x14ac:dyDescent="0.25">
      <c r="A124" t="s">
        <v>276</v>
      </c>
      <c r="B124" s="34" t="s">
        <v>170</v>
      </c>
      <c r="D124" s="20" t="s">
        <v>347</v>
      </c>
      <c r="E124" s="143" t="s">
        <v>919</v>
      </c>
      <c r="F124" s="30" t="s">
        <v>348</v>
      </c>
      <c r="G124" t="s">
        <v>348</v>
      </c>
      <c r="H124" s="34" t="s">
        <v>496</v>
      </c>
      <c r="I124" s="88">
        <v>0</v>
      </c>
      <c r="J124" s="55">
        <v>0</v>
      </c>
      <c r="K124" s="55">
        <v>0</v>
      </c>
      <c r="L124" s="141">
        <v>0.2</v>
      </c>
      <c r="M124" s="42" t="e">
        <f t="shared" si="98"/>
        <v>#DIV/0!</v>
      </c>
      <c r="N124" s="13" t="e">
        <f t="shared" si="99"/>
        <v>#DIV/0!</v>
      </c>
      <c r="O124" s="13">
        <f t="shared" si="100"/>
        <v>0</v>
      </c>
      <c r="P124" s="136">
        <f t="shared" si="101"/>
        <v>0</v>
      </c>
      <c r="R124" s="35">
        <v>0</v>
      </c>
      <c r="S124" s="12">
        <v>0</v>
      </c>
      <c r="T124" s="12">
        <v>0.2</v>
      </c>
      <c r="U124" s="13" t="e">
        <f t="shared" si="75"/>
        <v>#DIV/0!</v>
      </c>
      <c r="V124" s="13" t="e">
        <f t="shared" si="76"/>
        <v>#DIV/0!</v>
      </c>
      <c r="W124" s="13">
        <f t="shared" si="93"/>
        <v>0</v>
      </c>
      <c r="X124" s="39">
        <f t="shared" si="78"/>
        <v>0</v>
      </c>
      <c r="Z124" s="89" t="s">
        <v>753</v>
      </c>
      <c r="AA124" s="20" t="s">
        <v>857</v>
      </c>
    </row>
    <row r="125" spans="1:27" x14ac:dyDescent="0.25">
      <c r="A125" t="s">
        <v>276</v>
      </c>
      <c r="B125" s="34" t="s">
        <v>179</v>
      </c>
      <c r="D125" s="20" t="s">
        <v>347</v>
      </c>
      <c r="E125" s="143" t="s">
        <v>919</v>
      </c>
      <c r="F125" s="30" t="s">
        <v>348</v>
      </c>
      <c r="G125" t="s">
        <v>348</v>
      </c>
      <c r="H125" s="34" t="s">
        <v>497</v>
      </c>
      <c r="I125" s="88">
        <v>0</v>
      </c>
      <c r="J125" s="55">
        <v>0</v>
      </c>
      <c r="K125" s="55">
        <v>237.97</v>
      </c>
      <c r="L125" s="141">
        <v>0</v>
      </c>
      <c r="M125" s="42" t="e">
        <f t="shared" si="98"/>
        <v>#DIV/0!</v>
      </c>
      <c r="N125" s="13" t="e">
        <f t="shared" si="99"/>
        <v>#DIV/0!</v>
      </c>
      <c r="O125" s="13" t="e">
        <f t="shared" si="100"/>
        <v>#DIV/0!</v>
      </c>
      <c r="P125" s="136">
        <f t="shared" si="101"/>
        <v>-237.97</v>
      </c>
      <c r="R125" s="35">
        <v>0</v>
      </c>
      <c r="S125" s="12">
        <v>59</v>
      </c>
      <c r="T125" s="12">
        <v>0</v>
      </c>
      <c r="U125" s="13" t="e">
        <f t="shared" si="75"/>
        <v>#DIV/0!</v>
      </c>
      <c r="V125" s="13" t="e">
        <f t="shared" si="76"/>
        <v>#DIV/0!</v>
      </c>
      <c r="W125" s="13" t="e">
        <f>S125/T125</f>
        <v>#DIV/0!</v>
      </c>
      <c r="X125" s="39">
        <f t="shared" si="78"/>
        <v>0</v>
      </c>
      <c r="Z125" s="89" t="s">
        <v>753</v>
      </c>
      <c r="AA125" s="20" t="s">
        <v>850</v>
      </c>
    </row>
    <row r="126" spans="1:27" x14ac:dyDescent="0.25">
      <c r="A126" t="s">
        <v>276</v>
      </c>
      <c r="B126" s="34" t="s">
        <v>189</v>
      </c>
      <c r="D126" s="20" t="s">
        <v>347</v>
      </c>
      <c r="E126" s="143" t="s">
        <v>919</v>
      </c>
      <c r="F126" s="30" t="s">
        <v>348</v>
      </c>
      <c r="G126" t="s">
        <v>348</v>
      </c>
      <c r="H126" s="34" t="s">
        <v>498</v>
      </c>
      <c r="I126" s="88">
        <v>0</v>
      </c>
      <c r="J126" s="55">
        <v>0</v>
      </c>
      <c r="K126" s="55">
        <v>8</v>
      </c>
      <c r="L126" s="141">
        <v>25</v>
      </c>
      <c r="M126" s="42" t="e">
        <f t="shared" si="98"/>
        <v>#DIV/0!</v>
      </c>
      <c r="N126" s="13" t="e">
        <f t="shared" si="99"/>
        <v>#DIV/0!</v>
      </c>
      <c r="O126" s="13">
        <f t="shared" si="100"/>
        <v>0.32</v>
      </c>
      <c r="P126" s="136">
        <f t="shared" si="101"/>
        <v>-8</v>
      </c>
      <c r="R126" s="35">
        <v>0</v>
      </c>
      <c r="S126" s="12">
        <v>5</v>
      </c>
      <c r="T126" s="12">
        <v>22</v>
      </c>
      <c r="U126" s="13" t="e">
        <f t="shared" si="75"/>
        <v>#DIV/0!</v>
      </c>
      <c r="V126" s="13" t="e">
        <f t="shared" si="76"/>
        <v>#DIV/0!</v>
      </c>
      <c r="W126" s="13">
        <f t="shared" ref="W126:W135" si="102">S126/T126</f>
        <v>0.22727272727272727</v>
      </c>
      <c r="X126" s="39">
        <f t="shared" si="78"/>
        <v>0</v>
      </c>
      <c r="Z126" s="89" t="s">
        <v>753</v>
      </c>
      <c r="AA126" s="20" t="s">
        <v>858</v>
      </c>
    </row>
    <row r="127" spans="1:27" x14ac:dyDescent="0.25">
      <c r="A127" t="s">
        <v>276</v>
      </c>
      <c r="B127" s="34" t="s">
        <v>198</v>
      </c>
      <c r="D127" s="20" t="s">
        <v>347</v>
      </c>
      <c r="E127" s="143" t="s">
        <v>919</v>
      </c>
      <c r="F127" s="30" t="s">
        <v>348</v>
      </c>
      <c r="G127" t="s">
        <v>348</v>
      </c>
      <c r="H127" s="33" t="s">
        <v>499</v>
      </c>
      <c r="I127" s="88">
        <v>0</v>
      </c>
      <c r="J127" s="55">
        <v>0</v>
      </c>
      <c r="K127" s="55">
        <v>58.02</v>
      </c>
      <c r="L127" s="141">
        <v>40</v>
      </c>
      <c r="M127" s="42" t="e">
        <f t="shared" si="98"/>
        <v>#DIV/0!</v>
      </c>
      <c r="N127" s="13" t="e">
        <f t="shared" si="99"/>
        <v>#DIV/0!</v>
      </c>
      <c r="O127" s="13">
        <f t="shared" si="100"/>
        <v>1.4505000000000001</v>
      </c>
      <c r="P127" s="136">
        <f t="shared" si="101"/>
        <v>-58.02</v>
      </c>
      <c r="R127" s="35">
        <v>0</v>
      </c>
      <c r="S127" s="12">
        <v>16.02</v>
      </c>
      <c r="T127" s="12">
        <v>0</v>
      </c>
      <c r="U127" s="13" t="e">
        <f t="shared" si="75"/>
        <v>#DIV/0!</v>
      </c>
      <c r="V127" s="13" t="e">
        <f t="shared" si="76"/>
        <v>#DIV/0!</v>
      </c>
      <c r="W127" s="13" t="e">
        <f t="shared" si="102"/>
        <v>#DIV/0!</v>
      </c>
      <c r="X127" s="39">
        <f t="shared" si="78"/>
        <v>0</v>
      </c>
      <c r="Z127" s="89" t="s">
        <v>753</v>
      </c>
      <c r="AA127" s="20" t="s">
        <v>859</v>
      </c>
    </row>
    <row r="128" spans="1:27" x14ac:dyDescent="0.25">
      <c r="A128" t="s">
        <v>276</v>
      </c>
      <c r="B128" s="34" t="s">
        <v>206</v>
      </c>
      <c r="D128" s="20" t="s">
        <v>347</v>
      </c>
      <c r="E128" s="143" t="s">
        <v>919</v>
      </c>
      <c r="F128" s="30" t="s">
        <v>348</v>
      </c>
      <c r="G128" t="s">
        <v>348</v>
      </c>
      <c r="H128" s="34" t="s">
        <v>500</v>
      </c>
      <c r="I128" s="88">
        <v>0</v>
      </c>
      <c r="J128" s="55">
        <v>0</v>
      </c>
      <c r="K128" s="55">
        <v>8</v>
      </c>
      <c r="L128" s="141">
        <v>62</v>
      </c>
      <c r="M128" s="42" t="e">
        <f t="shared" si="98"/>
        <v>#DIV/0!</v>
      </c>
      <c r="N128" s="13" t="e">
        <f t="shared" si="99"/>
        <v>#DIV/0!</v>
      </c>
      <c r="O128" s="13">
        <f t="shared" si="100"/>
        <v>0.12903225806451613</v>
      </c>
      <c r="P128" s="136">
        <f t="shared" si="101"/>
        <v>-8</v>
      </c>
      <c r="R128" s="35">
        <v>0</v>
      </c>
      <c r="S128" s="12">
        <v>5</v>
      </c>
      <c r="T128" s="12">
        <v>0</v>
      </c>
      <c r="U128" s="13" t="e">
        <f t="shared" si="75"/>
        <v>#DIV/0!</v>
      </c>
      <c r="V128" s="13" t="e">
        <f t="shared" si="76"/>
        <v>#DIV/0!</v>
      </c>
      <c r="W128" s="13" t="e">
        <f t="shared" si="102"/>
        <v>#DIV/0!</v>
      </c>
      <c r="X128" s="39">
        <f t="shared" si="78"/>
        <v>0</v>
      </c>
      <c r="Z128" s="89" t="s">
        <v>753</v>
      </c>
      <c r="AA128" s="20" t="s">
        <v>860</v>
      </c>
    </row>
    <row r="129" spans="1:27" x14ac:dyDescent="0.25">
      <c r="A129" t="s">
        <v>276</v>
      </c>
      <c r="B129" s="34" t="s">
        <v>214</v>
      </c>
      <c r="D129" s="20" t="s">
        <v>347</v>
      </c>
      <c r="E129" s="143" t="s">
        <v>919</v>
      </c>
      <c r="F129" s="30" t="s">
        <v>348</v>
      </c>
      <c r="G129" t="s">
        <v>348</v>
      </c>
      <c r="H129" s="34" t="s">
        <v>501</v>
      </c>
      <c r="I129" s="88">
        <v>0</v>
      </c>
      <c r="J129" s="55">
        <v>0</v>
      </c>
      <c r="K129" s="55">
        <v>385</v>
      </c>
      <c r="L129" s="141">
        <v>438</v>
      </c>
      <c r="M129" s="42" t="e">
        <f t="shared" si="98"/>
        <v>#DIV/0!</v>
      </c>
      <c r="N129" s="13" t="e">
        <f t="shared" si="99"/>
        <v>#DIV/0!</v>
      </c>
      <c r="O129" s="13">
        <f t="shared" si="100"/>
        <v>0.87899543378995437</v>
      </c>
      <c r="P129" s="136">
        <f t="shared" si="101"/>
        <v>-385</v>
      </c>
      <c r="R129" s="35">
        <v>0</v>
      </c>
      <c r="S129" s="12">
        <v>111</v>
      </c>
      <c r="T129" s="12">
        <v>75</v>
      </c>
      <c r="U129" s="13" t="e">
        <f t="shared" si="75"/>
        <v>#DIV/0!</v>
      </c>
      <c r="V129" s="13" t="e">
        <f t="shared" si="76"/>
        <v>#DIV/0!</v>
      </c>
      <c r="W129" s="13">
        <f t="shared" si="102"/>
        <v>1.48</v>
      </c>
      <c r="X129" s="39">
        <f t="shared" si="78"/>
        <v>0</v>
      </c>
      <c r="Z129" s="89" t="s">
        <v>753</v>
      </c>
      <c r="AA129" s="20" t="s">
        <v>839</v>
      </c>
    </row>
    <row r="130" spans="1:27" x14ac:dyDescent="0.25">
      <c r="A130" t="s">
        <v>276</v>
      </c>
      <c r="B130" s="34" t="s">
        <v>226</v>
      </c>
      <c r="D130" s="20" t="s">
        <v>347</v>
      </c>
      <c r="E130" s="143" t="s">
        <v>919</v>
      </c>
      <c r="F130" s="30" t="s">
        <v>348</v>
      </c>
      <c r="G130" t="s">
        <v>348</v>
      </c>
      <c r="H130" s="33" t="s">
        <v>502</v>
      </c>
      <c r="I130" s="88">
        <v>0</v>
      </c>
      <c r="J130" s="55">
        <v>0</v>
      </c>
      <c r="K130" s="55">
        <v>138</v>
      </c>
      <c r="L130" s="141">
        <v>157</v>
      </c>
      <c r="M130" s="42" t="e">
        <f t="shared" si="98"/>
        <v>#DIV/0!</v>
      </c>
      <c r="N130" s="13" t="e">
        <f t="shared" si="99"/>
        <v>#DIV/0!</v>
      </c>
      <c r="O130" s="13">
        <f t="shared" si="100"/>
        <v>0.87898089171974525</v>
      </c>
      <c r="P130" s="136">
        <f t="shared" si="101"/>
        <v>-138</v>
      </c>
      <c r="R130" s="35">
        <v>0</v>
      </c>
      <c r="S130" s="12">
        <v>38</v>
      </c>
      <c r="T130" s="12">
        <v>139</v>
      </c>
      <c r="U130" s="13" t="e">
        <f t="shared" si="75"/>
        <v>#DIV/0!</v>
      </c>
      <c r="V130" s="13" t="e">
        <f t="shared" si="76"/>
        <v>#DIV/0!</v>
      </c>
      <c r="W130" s="13">
        <f t="shared" si="102"/>
        <v>0.2733812949640288</v>
      </c>
      <c r="X130" s="39">
        <f t="shared" si="78"/>
        <v>0</v>
      </c>
      <c r="Z130" s="89" t="s">
        <v>753</v>
      </c>
      <c r="AA130" s="20" t="s">
        <v>861</v>
      </c>
    </row>
    <row r="131" spans="1:27" x14ac:dyDescent="0.25">
      <c r="A131" t="s">
        <v>276</v>
      </c>
      <c r="B131" s="34" t="s">
        <v>234</v>
      </c>
      <c r="D131" s="20" t="s">
        <v>347</v>
      </c>
      <c r="E131" s="143" t="s">
        <v>919</v>
      </c>
      <c r="F131" s="30" t="s">
        <v>348</v>
      </c>
      <c r="G131" t="s">
        <v>348</v>
      </c>
      <c r="H131" s="34" t="s">
        <v>503</v>
      </c>
      <c r="I131" s="88">
        <v>0</v>
      </c>
      <c r="J131" s="55">
        <v>0</v>
      </c>
      <c r="K131" s="55">
        <v>208</v>
      </c>
      <c r="L131" s="141">
        <v>48</v>
      </c>
      <c r="M131" s="42" t="e">
        <f t="shared" si="98"/>
        <v>#DIV/0!</v>
      </c>
      <c r="N131" s="13" t="e">
        <f t="shared" si="99"/>
        <v>#DIV/0!</v>
      </c>
      <c r="O131" s="13">
        <f t="shared" si="100"/>
        <v>4.333333333333333</v>
      </c>
      <c r="P131" s="136">
        <f t="shared" si="101"/>
        <v>-208</v>
      </c>
      <c r="R131" s="35">
        <v>0</v>
      </c>
      <c r="S131" s="12">
        <v>48</v>
      </c>
      <c r="T131" s="12">
        <v>15</v>
      </c>
      <c r="U131" s="13" t="e">
        <f t="shared" si="75"/>
        <v>#DIV/0!</v>
      </c>
      <c r="V131" s="13" t="e">
        <f t="shared" si="76"/>
        <v>#DIV/0!</v>
      </c>
      <c r="W131" s="13">
        <f t="shared" si="102"/>
        <v>3.2</v>
      </c>
      <c r="X131" s="39">
        <f t="shared" si="78"/>
        <v>0</v>
      </c>
      <c r="Z131" s="89" t="s">
        <v>753</v>
      </c>
      <c r="AA131" s="20" t="s">
        <v>862</v>
      </c>
    </row>
    <row r="132" spans="1:27" x14ac:dyDescent="0.25">
      <c r="A132" t="s">
        <v>276</v>
      </c>
      <c r="B132" s="34" t="s">
        <v>241</v>
      </c>
      <c r="D132" s="20" t="s">
        <v>347</v>
      </c>
      <c r="E132" s="143" t="s">
        <v>919</v>
      </c>
      <c r="F132" s="30" t="s">
        <v>348</v>
      </c>
      <c r="G132" t="s">
        <v>348</v>
      </c>
      <c r="H132" s="34" t="s">
        <v>504</v>
      </c>
      <c r="I132" s="88">
        <v>0</v>
      </c>
      <c r="J132" s="55">
        <v>0</v>
      </c>
      <c r="K132" s="55">
        <v>139</v>
      </c>
      <c r="L132" s="141">
        <v>94</v>
      </c>
      <c r="M132" s="42" t="e">
        <f t="shared" si="98"/>
        <v>#DIV/0!</v>
      </c>
      <c r="N132" s="13" t="e">
        <f t="shared" si="99"/>
        <v>#DIV/0!</v>
      </c>
      <c r="O132" s="13">
        <f t="shared" si="100"/>
        <v>1.4787234042553192</v>
      </c>
      <c r="P132" s="136">
        <f t="shared" si="101"/>
        <v>-139</v>
      </c>
      <c r="R132" s="35">
        <v>0</v>
      </c>
      <c r="S132" s="12">
        <v>36</v>
      </c>
      <c r="T132" s="12">
        <v>35</v>
      </c>
      <c r="U132" s="13" t="e">
        <f t="shared" si="75"/>
        <v>#DIV/0!</v>
      </c>
      <c r="V132" s="13" t="e">
        <f t="shared" si="76"/>
        <v>#DIV/0!</v>
      </c>
      <c r="W132" s="13">
        <f t="shared" si="102"/>
        <v>1.0285714285714285</v>
      </c>
      <c r="X132" s="39">
        <f t="shared" si="78"/>
        <v>0</v>
      </c>
      <c r="Z132" s="89" t="s">
        <v>753</v>
      </c>
      <c r="AA132" s="20" t="s">
        <v>863</v>
      </c>
    </row>
    <row r="133" spans="1:27" x14ac:dyDescent="0.25">
      <c r="A133" t="s">
        <v>276</v>
      </c>
      <c r="B133" s="34" t="s">
        <v>248</v>
      </c>
      <c r="D133" s="20" t="s">
        <v>347</v>
      </c>
      <c r="E133" s="143" t="s">
        <v>919</v>
      </c>
      <c r="F133" s="30" t="s">
        <v>348</v>
      </c>
      <c r="G133" t="s">
        <v>348</v>
      </c>
      <c r="H133" s="34" t="s">
        <v>505</v>
      </c>
      <c r="I133" s="88">
        <v>0</v>
      </c>
      <c r="J133" s="55">
        <v>0</v>
      </c>
      <c r="K133" s="55">
        <v>258</v>
      </c>
      <c r="L133" s="141">
        <v>159</v>
      </c>
      <c r="M133" s="42" t="e">
        <f t="shared" si="98"/>
        <v>#DIV/0!</v>
      </c>
      <c r="N133" s="13" t="e">
        <f t="shared" si="99"/>
        <v>#DIV/0!</v>
      </c>
      <c r="O133" s="13">
        <f t="shared" si="100"/>
        <v>1.6226415094339623</v>
      </c>
      <c r="P133" s="136">
        <f t="shared" si="101"/>
        <v>-258</v>
      </c>
      <c r="R133" s="35">
        <v>0</v>
      </c>
      <c r="S133" s="12">
        <v>113</v>
      </c>
      <c r="T133" s="12">
        <v>47</v>
      </c>
      <c r="U133" s="13" t="e">
        <f t="shared" si="75"/>
        <v>#DIV/0!</v>
      </c>
      <c r="V133" s="13" t="e">
        <f t="shared" si="76"/>
        <v>#DIV/0!</v>
      </c>
      <c r="W133" s="13">
        <f t="shared" si="102"/>
        <v>2.4042553191489362</v>
      </c>
      <c r="X133" s="39">
        <f t="shared" si="78"/>
        <v>0</v>
      </c>
      <c r="Z133" s="89" t="s">
        <v>753</v>
      </c>
      <c r="AA133" s="20" t="s">
        <v>864</v>
      </c>
    </row>
    <row r="134" spans="1:27" x14ac:dyDescent="0.25">
      <c r="A134" t="s">
        <v>276</v>
      </c>
      <c r="B134" s="34" t="s">
        <v>259</v>
      </c>
      <c r="D134" s="20" t="s">
        <v>347</v>
      </c>
      <c r="E134" s="143" t="s">
        <v>919</v>
      </c>
      <c r="F134" s="30" t="s">
        <v>348</v>
      </c>
      <c r="G134" t="s">
        <v>348</v>
      </c>
      <c r="H134" s="34" t="s">
        <v>506</v>
      </c>
      <c r="I134" s="88">
        <v>0</v>
      </c>
      <c r="J134" s="55">
        <v>0</v>
      </c>
      <c r="K134" s="55">
        <v>164</v>
      </c>
      <c r="L134" s="141">
        <v>205</v>
      </c>
      <c r="M134" s="42" t="e">
        <f t="shared" si="98"/>
        <v>#DIV/0!</v>
      </c>
      <c r="N134" s="13" t="e">
        <f t="shared" si="99"/>
        <v>#DIV/0!</v>
      </c>
      <c r="O134" s="13">
        <f t="shared" si="100"/>
        <v>0.8</v>
      </c>
      <c r="P134" s="136">
        <f t="shared" si="101"/>
        <v>-164</v>
      </c>
      <c r="R134" s="35">
        <v>0</v>
      </c>
      <c r="S134" s="12">
        <v>79</v>
      </c>
      <c r="T134" s="12">
        <v>0</v>
      </c>
      <c r="U134" s="13" t="e">
        <f t="shared" si="75"/>
        <v>#DIV/0!</v>
      </c>
      <c r="V134" s="13" t="e">
        <f t="shared" si="76"/>
        <v>#DIV/0!</v>
      </c>
      <c r="W134" s="13" t="e">
        <f t="shared" si="102"/>
        <v>#DIV/0!</v>
      </c>
      <c r="X134" s="39">
        <f t="shared" si="78"/>
        <v>0</v>
      </c>
      <c r="Z134" s="89" t="s">
        <v>753</v>
      </c>
      <c r="AA134" s="20" t="s">
        <v>865</v>
      </c>
    </row>
    <row r="135" spans="1:27" x14ac:dyDescent="0.25">
      <c r="A135" t="s">
        <v>276</v>
      </c>
      <c r="B135" s="34" t="s">
        <v>268</v>
      </c>
      <c r="D135" s="20" t="s">
        <v>347</v>
      </c>
      <c r="E135" s="143" t="s">
        <v>919</v>
      </c>
      <c r="F135" s="30" t="s">
        <v>348</v>
      </c>
      <c r="G135" t="s">
        <v>348</v>
      </c>
      <c r="H135" s="34" t="s">
        <v>507</v>
      </c>
      <c r="I135" s="88">
        <v>0</v>
      </c>
      <c r="J135" s="55">
        <v>0</v>
      </c>
      <c r="K135" s="55">
        <v>133</v>
      </c>
      <c r="L135" s="141">
        <v>121</v>
      </c>
      <c r="M135" s="42" t="e">
        <f t="shared" si="98"/>
        <v>#DIV/0!</v>
      </c>
      <c r="N135" s="13" t="e">
        <f t="shared" si="99"/>
        <v>#DIV/0!</v>
      </c>
      <c r="O135" s="13">
        <f t="shared" si="100"/>
        <v>1.0991735537190082</v>
      </c>
      <c r="P135" s="136">
        <f t="shared" si="101"/>
        <v>-133</v>
      </c>
      <c r="R135" s="35">
        <v>0</v>
      </c>
      <c r="S135" s="12">
        <v>28</v>
      </c>
      <c r="T135" s="12">
        <v>34</v>
      </c>
      <c r="U135" s="13" t="e">
        <f t="shared" si="75"/>
        <v>#DIV/0!</v>
      </c>
      <c r="V135" s="13" t="e">
        <f t="shared" si="76"/>
        <v>#DIV/0!</v>
      </c>
      <c r="W135" s="13">
        <f t="shared" si="102"/>
        <v>0.82352941176470584</v>
      </c>
      <c r="X135" s="39">
        <f t="shared" si="78"/>
        <v>0</v>
      </c>
      <c r="Z135" s="89" t="s">
        <v>753</v>
      </c>
      <c r="AA135" s="20" t="s">
        <v>866</v>
      </c>
    </row>
    <row r="136" spans="1:27" ht="13.5" thickBot="1" x14ac:dyDescent="0.3">
      <c r="I136" s="23">
        <f>SUM(I3:I135)</f>
        <v>485000000</v>
      </c>
      <c r="J136" s="23">
        <f>SUM(J3:J135)</f>
        <v>239500000</v>
      </c>
      <c r="K136" s="23">
        <f>SUM(K3:K135)</f>
        <v>281306655.42000002</v>
      </c>
      <c r="L136" s="23">
        <f>SUM(L3:L135)</f>
        <v>248235126.09999993</v>
      </c>
      <c r="M136" s="133">
        <f t="shared" ref="M136" si="103">K136/J136</f>
        <v>1.1745580602087684</v>
      </c>
      <c r="N136" s="36">
        <f t="shared" ref="N136" si="104">K136/I136</f>
        <v>0.5800137225154639</v>
      </c>
      <c r="O136" s="36">
        <f t="shared" ref="O136" si="105">K136/L136</f>
        <v>1.133226630088916</v>
      </c>
      <c r="P136" s="137">
        <f t="shared" si="83"/>
        <v>203693344.57999998</v>
      </c>
      <c r="Q136" s="94"/>
      <c r="R136" s="23">
        <f>SUM(R3:R135)</f>
        <v>120730700</v>
      </c>
      <c r="S136" s="23">
        <f>SUM(S3:S135)</f>
        <v>130107902.61999997</v>
      </c>
      <c r="T136" s="23">
        <f>SUM(T3:T135)</f>
        <v>109523154.25999999</v>
      </c>
      <c r="U136" s="36">
        <f t="shared" si="75"/>
        <v>1.0776704071126895</v>
      </c>
      <c r="V136" s="36">
        <f t="shared" si="76"/>
        <v>0.26826371674226801</v>
      </c>
      <c r="W136" s="36">
        <f t="shared" ref="W136" si="106">S136/T136</f>
        <v>1.1879488268858043</v>
      </c>
      <c r="X136" s="23" t="e">
        <f>SUM(X3:X135)</f>
        <v>#REF!</v>
      </c>
      <c r="AA136" s="20" t="s">
        <v>3</v>
      </c>
    </row>
    <row r="137" spans="1:27" ht="13" thickTop="1" x14ac:dyDescent="0.25">
      <c r="I137" s="12">
        <v>485000000</v>
      </c>
      <c r="J137" s="55">
        <v>239500000</v>
      </c>
      <c r="K137" s="55">
        <v>281306655.41999996</v>
      </c>
      <c r="L137" s="55">
        <v>248235126.09999999</v>
      </c>
      <c r="AA137" s="20" t="s">
        <v>3</v>
      </c>
    </row>
    <row r="138" spans="1:27" x14ac:dyDescent="0.25">
      <c r="I138" s="12">
        <f>I137-I136</f>
        <v>0</v>
      </c>
      <c r="J138" s="12">
        <f t="shared" ref="J138:L138" si="107">J137-J136</f>
        <v>0</v>
      </c>
      <c r="K138" s="12">
        <f t="shared" si="107"/>
        <v>0</v>
      </c>
      <c r="L138" s="12">
        <f t="shared" si="107"/>
        <v>0</v>
      </c>
      <c r="S138" s="12">
        <v>130107902.62</v>
      </c>
      <c r="T138" s="12">
        <v>109523154.26000001</v>
      </c>
    </row>
    <row r="139" spans="1:27" x14ac:dyDescent="0.25">
      <c r="S139" s="12">
        <f>S138-S136</f>
        <v>0</v>
      </c>
      <c r="T139" s="12">
        <f>T138-T136</f>
        <v>0</v>
      </c>
    </row>
    <row r="140" spans="1:27" x14ac:dyDescent="0.25">
      <c r="I140"/>
      <c r="M140" s="18"/>
      <c r="N140" s="18"/>
      <c r="O140" s="18"/>
      <c r="P140" s="139"/>
      <c r="Q140" s="18"/>
      <c r="R140"/>
      <c r="S140"/>
      <c r="T140"/>
    </row>
    <row r="141" spans="1:27" x14ac:dyDescent="0.25">
      <c r="R141"/>
      <c r="S141" s="12">
        <f>SUM(S24:S135)</f>
        <v>9157817.4499999974</v>
      </c>
      <c r="T141" s="12">
        <f>SUM(T24:T135)</f>
        <v>11026995.510000002</v>
      </c>
    </row>
    <row r="142" spans="1:27" x14ac:dyDescent="0.25">
      <c r="R142"/>
      <c r="S142" s="12">
        <v>-9157817.4499999993</v>
      </c>
      <c r="T142" s="12">
        <v>-11026995.51</v>
      </c>
    </row>
    <row r="144" spans="1:27" x14ac:dyDescent="0.25">
      <c r="S144" s="12">
        <f>SUM(S141:S142)</f>
        <v>0</v>
      </c>
      <c r="T144" s="12">
        <f>SUM(T141:T142)</f>
        <v>0</v>
      </c>
    </row>
  </sheetData>
  <autoFilter ref="A1:X137" xr:uid="{2E2742E3-FDAA-42A5-BC11-18F9263DD031}"/>
  <sortState xmlns:xlrd2="http://schemas.microsoft.com/office/spreadsheetml/2017/richdata2" ref="A40:AN44">
    <sortCondition ref="B40:B44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38C0-7DD8-4DFC-A11A-A6DA9C38F4F9}">
  <sheetPr>
    <tabColor rgb="FF92D050"/>
  </sheetPr>
  <dimension ref="A1:AC277"/>
  <sheetViews>
    <sheetView zoomScale="85" zoomScaleNormal="85" workbookViewId="0">
      <pane xSplit="7" ySplit="1" topLeftCell="J2" activePane="bottomRight" state="frozen"/>
      <selection pane="topRight" activeCell="H1" sqref="H1"/>
      <selection pane="bottomLeft" activeCell="A2" sqref="A2"/>
      <selection pane="bottomRight" activeCell="A6" sqref="A6:C6"/>
    </sheetView>
  </sheetViews>
  <sheetFormatPr defaultRowHeight="12.5" x14ac:dyDescent="0.25"/>
  <cols>
    <col min="1" max="1" width="9.453125" customWidth="1"/>
    <col min="2" max="2" width="10.26953125" customWidth="1"/>
    <col min="3" max="3" width="33.453125" customWidth="1"/>
    <col min="5" max="5" width="20" customWidth="1"/>
    <col min="6" max="6" width="20.1796875" customWidth="1"/>
    <col min="7" max="7" width="7.90625" customWidth="1"/>
    <col min="8" max="8" width="14.90625" style="39" customWidth="1"/>
    <col min="9" max="15" width="13.36328125" style="39" customWidth="1"/>
    <col min="16" max="16" width="9.7265625" style="52" customWidth="1"/>
    <col min="17" max="17" width="22.7265625" bestFit="1" customWidth="1"/>
    <col min="18" max="19" width="13.81640625" bestFit="1" customWidth="1"/>
    <col min="20" max="20" width="10" style="43" customWidth="1"/>
    <col min="21" max="21" width="10.08984375" customWidth="1"/>
    <col min="22" max="22" width="10.1796875" customWidth="1"/>
    <col min="23" max="23" width="14.81640625" bestFit="1" customWidth="1"/>
  </cols>
  <sheetData>
    <row r="1" spans="1:29" ht="26" x14ac:dyDescent="0.25">
      <c r="A1" s="1" t="s">
        <v>438</v>
      </c>
      <c r="B1" s="11" t="s">
        <v>439</v>
      </c>
      <c r="C1" s="11" t="s">
        <v>446</v>
      </c>
      <c r="D1" s="21" t="s">
        <v>447</v>
      </c>
      <c r="E1" s="28" t="s">
        <v>514</v>
      </c>
      <c r="F1" s="1" t="s">
        <v>448</v>
      </c>
      <c r="G1" s="24" t="s">
        <v>453</v>
      </c>
      <c r="H1" s="46" t="s">
        <v>508</v>
      </c>
      <c r="I1" s="25" t="s">
        <v>840</v>
      </c>
      <c r="J1" s="24" t="s">
        <v>841</v>
      </c>
      <c r="K1" s="22" t="s">
        <v>842</v>
      </c>
      <c r="L1" s="41" t="s">
        <v>843</v>
      </c>
      <c r="M1" s="24" t="s">
        <v>510</v>
      </c>
      <c r="N1" s="24" t="s">
        <v>511</v>
      </c>
      <c r="O1" s="25" t="s">
        <v>536</v>
      </c>
      <c r="P1" s="93"/>
      <c r="Q1" s="25" t="s">
        <v>512</v>
      </c>
      <c r="R1" s="24" t="s">
        <v>509</v>
      </c>
      <c r="S1" s="22" t="s">
        <v>728</v>
      </c>
      <c r="T1" s="41" t="s">
        <v>513</v>
      </c>
      <c r="U1" s="24" t="s">
        <v>510</v>
      </c>
      <c r="V1" s="24" t="s">
        <v>511</v>
      </c>
      <c r="W1" s="25" t="s">
        <v>536</v>
      </c>
    </row>
    <row r="2" spans="1:29" x14ac:dyDescent="0.25">
      <c r="A2" s="30" t="s">
        <v>276</v>
      </c>
      <c r="B2" t="s">
        <v>277</v>
      </c>
      <c r="C2" t="s">
        <v>278</v>
      </c>
      <c r="D2" t="s">
        <v>279</v>
      </c>
      <c r="E2" s="30" t="s">
        <v>549</v>
      </c>
      <c r="F2" t="s">
        <v>280</v>
      </c>
      <c r="G2" t="s">
        <v>456</v>
      </c>
      <c r="H2" s="47">
        <v>2295000</v>
      </c>
      <c r="I2" s="47">
        <v>700000</v>
      </c>
      <c r="J2" s="47">
        <v>672727.52</v>
      </c>
      <c r="K2" s="47">
        <v>869367.51</v>
      </c>
      <c r="L2" s="42">
        <f t="shared" ref="L2:L39" si="0">J2/I2</f>
        <v>0.96103931428571432</v>
      </c>
      <c r="M2" s="13">
        <f t="shared" ref="M2:M39" si="1">J2/H2</f>
        <v>0.2931274596949891</v>
      </c>
      <c r="N2" s="13">
        <f>J2/K2</f>
        <v>0.77381258473761005</v>
      </c>
      <c r="O2" s="97">
        <f t="shared" ref="O2:O39" si="2">H2-J2</f>
        <v>1622272.48</v>
      </c>
      <c r="P2" s="106"/>
      <c r="Q2" s="45">
        <v>390000</v>
      </c>
      <c r="R2" s="12">
        <v>363674.67</v>
      </c>
      <c r="S2" s="12">
        <v>451719.1</v>
      </c>
      <c r="T2" s="42">
        <f t="shared" ref="T2" si="3">R2/Q2</f>
        <v>0.93249915384615378</v>
      </c>
      <c r="U2" s="13">
        <f t="shared" ref="U2:U15" si="4">R2/H2</f>
        <v>0.15846390849673203</v>
      </c>
      <c r="V2" s="13">
        <f>R2/S2</f>
        <v>0.80509030944230608</v>
      </c>
      <c r="W2" s="39">
        <f t="shared" ref="W2:W15" si="5">H2-Q2</f>
        <v>1905000</v>
      </c>
      <c r="AB2" t="s">
        <v>277</v>
      </c>
      <c r="AC2">
        <v>2295000</v>
      </c>
    </row>
    <row r="3" spans="1:29" x14ac:dyDescent="0.25">
      <c r="A3" s="30" t="s">
        <v>276</v>
      </c>
      <c r="B3" t="s">
        <v>1</v>
      </c>
      <c r="C3" t="s">
        <v>4</v>
      </c>
      <c r="D3" t="s">
        <v>279</v>
      </c>
      <c r="E3" s="30" t="s">
        <v>549</v>
      </c>
      <c r="F3" t="s">
        <v>280</v>
      </c>
      <c r="G3" t="s">
        <v>458</v>
      </c>
      <c r="H3" s="47">
        <v>516000</v>
      </c>
      <c r="I3" s="47">
        <v>250000</v>
      </c>
      <c r="J3" s="47">
        <v>220201.69</v>
      </c>
      <c r="K3" s="47">
        <v>204052.44</v>
      </c>
      <c r="L3" s="42">
        <f t="shared" si="0"/>
        <v>0.88080676000000002</v>
      </c>
      <c r="M3" s="13">
        <f t="shared" si="1"/>
        <v>0.4267474612403101</v>
      </c>
      <c r="N3" s="13">
        <f t="shared" ref="N3:N19" si="6">J3/K3</f>
        <v>1.0791426458806372</v>
      </c>
      <c r="O3" s="97">
        <f t="shared" si="2"/>
        <v>295798.31</v>
      </c>
      <c r="P3" s="106"/>
      <c r="Q3" s="45">
        <v>129000</v>
      </c>
      <c r="R3" s="12">
        <v>109601.16</v>
      </c>
      <c r="S3" s="12">
        <v>104148.67</v>
      </c>
      <c r="T3" s="42">
        <f t="shared" ref="T3:T22" si="7">R3/Q3</f>
        <v>0.84962139534883718</v>
      </c>
      <c r="U3" s="13">
        <f t="shared" si="4"/>
        <v>0.2124053488372093</v>
      </c>
      <c r="V3" s="13">
        <f t="shared" ref="V3:V21" si="8">R3/S3</f>
        <v>1.052352948914278</v>
      </c>
      <c r="W3" s="39">
        <f t="shared" si="5"/>
        <v>387000</v>
      </c>
      <c r="AB3" t="s">
        <v>1</v>
      </c>
      <c r="AC3">
        <v>516000</v>
      </c>
    </row>
    <row r="4" spans="1:29" x14ac:dyDescent="0.25">
      <c r="A4" s="30" t="s">
        <v>276</v>
      </c>
      <c r="B4" t="s">
        <v>293</v>
      </c>
      <c r="C4" t="s">
        <v>294</v>
      </c>
      <c r="D4" t="s">
        <v>279</v>
      </c>
      <c r="E4" s="30" t="s">
        <v>549</v>
      </c>
      <c r="F4" t="s">
        <v>280</v>
      </c>
      <c r="G4" t="s">
        <v>459</v>
      </c>
      <c r="H4" s="47">
        <v>532500</v>
      </c>
      <c r="I4" s="47">
        <v>200000</v>
      </c>
      <c r="J4" s="47">
        <v>196618.52</v>
      </c>
      <c r="K4" s="47">
        <v>239096.95999999999</v>
      </c>
      <c r="L4" s="42">
        <f t="shared" si="0"/>
        <v>0.98309259999999998</v>
      </c>
      <c r="M4" s="13">
        <f t="shared" si="1"/>
        <v>0.36923665727699528</v>
      </c>
      <c r="N4" s="13">
        <f t="shared" si="6"/>
        <v>0.82233801717930666</v>
      </c>
      <c r="O4" s="97">
        <f t="shared" si="2"/>
        <v>335881.48</v>
      </c>
      <c r="P4" s="106"/>
      <c r="Q4" s="45">
        <v>120000</v>
      </c>
      <c r="R4" s="12">
        <v>97077.14</v>
      </c>
      <c r="S4" s="12">
        <v>122973.48</v>
      </c>
      <c r="T4" s="42">
        <f t="shared" si="7"/>
        <v>0.80897616666666661</v>
      </c>
      <c r="U4" s="13">
        <f t="shared" si="4"/>
        <v>0.18230448826291079</v>
      </c>
      <c r="V4" s="13">
        <f t="shared" si="8"/>
        <v>0.78941524627911641</v>
      </c>
      <c r="W4" s="39">
        <f t="shared" si="5"/>
        <v>412500</v>
      </c>
      <c r="AB4" t="s">
        <v>293</v>
      </c>
      <c r="AC4">
        <v>532500</v>
      </c>
    </row>
    <row r="5" spans="1:29" x14ac:dyDescent="0.25">
      <c r="A5" s="30" t="s">
        <v>276</v>
      </c>
      <c r="B5" t="s">
        <v>295</v>
      </c>
      <c r="C5" t="s">
        <v>296</v>
      </c>
      <c r="D5" t="s">
        <v>279</v>
      </c>
      <c r="E5" s="30" t="s">
        <v>549</v>
      </c>
      <c r="F5" t="s">
        <v>280</v>
      </c>
      <c r="G5" t="s">
        <v>460</v>
      </c>
      <c r="H5" s="47">
        <v>4380000</v>
      </c>
      <c r="I5" s="47">
        <v>1200000</v>
      </c>
      <c r="J5" s="47">
        <v>1101007.3500000001</v>
      </c>
      <c r="K5" s="47">
        <v>63432.01</v>
      </c>
      <c r="L5" s="42">
        <f t="shared" si="0"/>
        <v>0.91750612500000006</v>
      </c>
      <c r="M5" s="13">
        <f t="shared" si="1"/>
        <v>0.25137154109589044</v>
      </c>
      <c r="N5" s="13">
        <f t="shared" si="6"/>
        <v>17.357283018463391</v>
      </c>
      <c r="O5" s="97">
        <f t="shared" si="2"/>
        <v>3278992.65</v>
      </c>
      <c r="P5" s="106"/>
      <c r="Q5" s="45">
        <f>473000+27700</f>
        <v>500700</v>
      </c>
      <c r="R5" s="12">
        <v>472220.38</v>
      </c>
      <c r="S5" s="12">
        <v>12190.04</v>
      </c>
      <c r="T5" s="42">
        <f t="shared" si="7"/>
        <v>0.94312039145196724</v>
      </c>
      <c r="U5" s="13">
        <f t="shared" si="4"/>
        <v>0.10781287214611872</v>
      </c>
      <c r="V5" s="13">
        <f t="shared" si="8"/>
        <v>38.738214148600001</v>
      </c>
      <c r="W5" s="39">
        <f t="shared" si="5"/>
        <v>3879300</v>
      </c>
      <c r="AB5" t="s">
        <v>295</v>
      </c>
      <c r="AC5">
        <v>4380000</v>
      </c>
    </row>
    <row r="6" spans="1:29" x14ac:dyDescent="0.25">
      <c r="A6" s="30" t="s">
        <v>276</v>
      </c>
      <c r="B6" t="s">
        <v>329</v>
      </c>
      <c r="C6" t="s">
        <v>330</v>
      </c>
      <c r="D6" t="s">
        <v>279</v>
      </c>
      <c r="E6" s="30" t="s">
        <v>549</v>
      </c>
      <c r="F6" t="s">
        <v>280</v>
      </c>
      <c r="G6" t="s">
        <v>462</v>
      </c>
      <c r="H6" s="47">
        <v>1669000</v>
      </c>
      <c r="I6" s="47">
        <v>800000</v>
      </c>
      <c r="J6" s="47">
        <v>757609.51</v>
      </c>
      <c r="K6" s="47">
        <v>687068.07</v>
      </c>
      <c r="L6" s="42">
        <f t="shared" si="0"/>
        <v>0.94701188749999998</v>
      </c>
      <c r="M6" s="13">
        <f t="shared" si="1"/>
        <v>0.45393020371479931</v>
      </c>
      <c r="N6" s="13">
        <f t="shared" si="6"/>
        <v>1.1026702346974151</v>
      </c>
      <c r="O6" s="97">
        <f t="shared" si="2"/>
        <v>911390.49</v>
      </c>
      <c r="P6" s="106"/>
      <c r="Q6" s="45">
        <v>417200</v>
      </c>
      <c r="R6" s="12">
        <v>374251.06</v>
      </c>
      <c r="S6" s="12">
        <v>347860.17</v>
      </c>
      <c r="T6" s="42">
        <f t="shared" si="7"/>
        <v>0.89705431447746886</v>
      </c>
      <c r="U6" s="13">
        <f t="shared" si="4"/>
        <v>0.22423670461354103</v>
      </c>
      <c r="V6" s="13">
        <f t="shared" si="8"/>
        <v>1.0758663746987762</v>
      </c>
      <c r="W6" s="39">
        <f t="shared" si="5"/>
        <v>1251800</v>
      </c>
      <c r="AB6" t="s">
        <v>329</v>
      </c>
      <c r="AC6">
        <v>1669000</v>
      </c>
    </row>
    <row r="7" spans="1:29" x14ac:dyDescent="0.25">
      <c r="A7" s="30" t="s">
        <v>276</v>
      </c>
      <c r="B7" t="s">
        <v>333</v>
      </c>
      <c r="C7" t="s">
        <v>334</v>
      </c>
      <c r="D7" t="s">
        <v>279</v>
      </c>
      <c r="E7" s="30" t="s">
        <v>549</v>
      </c>
      <c r="F7" t="s">
        <v>280</v>
      </c>
      <c r="G7" t="s">
        <v>463</v>
      </c>
      <c r="H7" s="47">
        <v>916000</v>
      </c>
      <c r="I7" s="47">
        <v>400000</v>
      </c>
      <c r="J7" s="47">
        <v>391715.48</v>
      </c>
      <c r="K7" s="47">
        <v>377576.54</v>
      </c>
      <c r="L7" s="42">
        <f t="shared" si="0"/>
        <v>0.9792886999999999</v>
      </c>
      <c r="M7" s="13">
        <f t="shared" si="1"/>
        <v>0.42763698689956331</v>
      </c>
      <c r="N7" s="13">
        <f t="shared" si="6"/>
        <v>1.037446553220706</v>
      </c>
      <c r="O7" s="97">
        <f t="shared" si="2"/>
        <v>524284.52</v>
      </c>
      <c r="P7" s="106"/>
      <c r="Q7" s="45">
        <v>229000</v>
      </c>
      <c r="R7" s="12">
        <v>195188.86</v>
      </c>
      <c r="S7" s="12">
        <v>200571.14</v>
      </c>
      <c r="T7" s="42">
        <f t="shared" si="7"/>
        <v>0.85235310043668111</v>
      </c>
      <c r="U7" s="13">
        <f t="shared" si="4"/>
        <v>0.21308827510917028</v>
      </c>
      <c r="V7" s="13">
        <f t="shared" si="8"/>
        <v>0.97316523204684369</v>
      </c>
      <c r="W7" s="39">
        <f t="shared" si="5"/>
        <v>687000</v>
      </c>
      <c r="AB7" t="s">
        <v>333</v>
      </c>
      <c r="AC7">
        <v>916000</v>
      </c>
    </row>
    <row r="8" spans="1:29" x14ac:dyDescent="0.25">
      <c r="A8" s="30" t="s">
        <v>276</v>
      </c>
      <c r="B8" t="s">
        <v>341</v>
      </c>
      <c r="C8" t="s">
        <v>342</v>
      </c>
      <c r="D8" t="s">
        <v>279</v>
      </c>
      <c r="E8" s="30" t="s">
        <v>549</v>
      </c>
      <c r="F8" t="s">
        <v>280</v>
      </c>
      <c r="G8" t="s">
        <v>465</v>
      </c>
      <c r="H8" s="47">
        <v>568000</v>
      </c>
      <c r="I8" s="47">
        <v>300000</v>
      </c>
      <c r="J8" s="47">
        <v>255507.78</v>
      </c>
      <c r="K8" s="47">
        <v>239126.52</v>
      </c>
      <c r="L8" s="42">
        <f t="shared" si="0"/>
        <v>0.85169260000000002</v>
      </c>
      <c r="M8" s="13">
        <f t="shared" si="1"/>
        <v>0.44983764084507044</v>
      </c>
      <c r="N8" s="13">
        <f t="shared" si="6"/>
        <v>1.0685045723912179</v>
      </c>
      <c r="O8" s="97">
        <f t="shared" si="2"/>
        <v>312492.21999999997</v>
      </c>
      <c r="P8" s="106"/>
      <c r="Q8" s="45">
        <v>142000</v>
      </c>
      <c r="R8" s="12">
        <v>127623.57</v>
      </c>
      <c r="S8" s="12">
        <v>121364.95</v>
      </c>
      <c r="T8" s="42">
        <f t="shared" si="7"/>
        <v>0.89875753521126767</v>
      </c>
      <c r="U8" s="13">
        <f t="shared" si="4"/>
        <v>0.22468938380281692</v>
      </c>
      <c r="V8" s="13">
        <f t="shared" si="8"/>
        <v>1.0515685953811211</v>
      </c>
      <c r="W8" s="39">
        <f t="shared" si="5"/>
        <v>426000</v>
      </c>
      <c r="AB8" t="s">
        <v>341</v>
      </c>
      <c r="AC8">
        <v>568000</v>
      </c>
    </row>
    <row r="9" spans="1:29" x14ac:dyDescent="0.25">
      <c r="A9" s="30" t="s">
        <v>276</v>
      </c>
      <c r="B9" t="s">
        <v>9</v>
      </c>
      <c r="C9" t="s">
        <v>11</v>
      </c>
      <c r="D9" t="s">
        <v>279</v>
      </c>
      <c r="E9" s="30" t="s">
        <v>549</v>
      </c>
      <c r="F9" t="s">
        <v>280</v>
      </c>
      <c r="G9" t="s">
        <v>466</v>
      </c>
      <c r="H9" s="47">
        <v>1083000</v>
      </c>
      <c r="I9" s="47">
        <v>500000</v>
      </c>
      <c r="J9" s="47">
        <v>444028.29</v>
      </c>
      <c r="K9" s="47">
        <v>472348.69</v>
      </c>
      <c r="L9" s="42">
        <f t="shared" si="0"/>
        <v>0.88805657999999998</v>
      </c>
      <c r="M9" s="13">
        <f t="shared" si="1"/>
        <v>0.40999842105263157</v>
      </c>
      <c r="N9" s="13">
        <f t="shared" si="6"/>
        <v>0.94004344544704888</v>
      </c>
      <c r="O9" s="97">
        <f t="shared" si="2"/>
        <v>638971.71</v>
      </c>
      <c r="P9" s="106"/>
      <c r="Q9" s="45">
        <v>270700</v>
      </c>
      <c r="R9" s="12">
        <v>219896.8</v>
      </c>
      <c r="S9" s="12">
        <v>242310.37</v>
      </c>
      <c r="T9" s="42">
        <f t="shared" si="7"/>
        <v>0.81232656076837828</v>
      </c>
      <c r="U9" s="13">
        <f t="shared" si="4"/>
        <v>0.20304413665743304</v>
      </c>
      <c r="V9" s="13">
        <f t="shared" si="8"/>
        <v>0.90750057457301558</v>
      </c>
      <c r="W9" s="39">
        <f t="shared" si="5"/>
        <v>812300</v>
      </c>
      <c r="AB9" t="s">
        <v>9</v>
      </c>
      <c r="AC9">
        <v>1083000</v>
      </c>
    </row>
    <row r="10" spans="1:29" x14ac:dyDescent="0.25">
      <c r="A10" s="30" t="s">
        <v>276</v>
      </c>
      <c r="B10" t="s">
        <v>13</v>
      </c>
      <c r="C10" t="s">
        <v>15</v>
      </c>
      <c r="D10" t="s">
        <v>279</v>
      </c>
      <c r="E10" s="30" t="s">
        <v>549</v>
      </c>
      <c r="F10" t="s">
        <v>280</v>
      </c>
      <c r="G10" t="s">
        <v>467</v>
      </c>
      <c r="H10" s="47">
        <v>990000</v>
      </c>
      <c r="I10" s="47">
        <v>500000</v>
      </c>
      <c r="J10" s="47">
        <v>414247.23</v>
      </c>
      <c r="K10" s="47">
        <v>451456.83</v>
      </c>
      <c r="L10" s="42">
        <f t="shared" si="0"/>
        <v>0.82849445999999993</v>
      </c>
      <c r="M10" s="13">
        <f t="shared" si="1"/>
        <v>0.41843154545454542</v>
      </c>
      <c r="N10" s="13">
        <f t="shared" si="6"/>
        <v>0.91757883029480358</v>
      </c>
      <c r="O10" s="97">
        <f t="shared" si="2"/>
        <v>575752.77</v>
      </c>
      <c r="P10" s="106"/>
      <c r="Q10" s="45">
        <v>247500</v>
      </c>
      <c r="R10" s="12">
        <v>206279.54</v>
      </c>
      <c r="S10" s="12">
        <v>247845.19</v>
      </c>
      <c r="T10" s="42">
        <f t="shared" si="7"/>
        <v>0.8334526868686869</v>
      </c>
      <c r="U10" s="13">
        <f t="shared" si="4"/>
        <v>0.20836317171717172</v>
      </c>
      <c r="V10" s="13">
        <f t="shared" si="8"/>
        <v>0.83229188349388583</v>
      </c>
      <c r="W10" s="39">
        <f t="shared" si="5"/>
        <v>742500</v>
      </c>
      <c r="AB10" t="s">
        <v>13</v>
      </c>
      <c r="AC10">
        <v>990000</v>
      </c>
    </row>
    <row r="11" spans="1:29" x14ac:dyDescent="0.25">
      <c r="A11" s="30" t="s">
        <v>276</v>
      </c>
      <c r="B11" t="s">
        <v>19</v>
      </c>
      <c r="C11" t="s">
        <v>21</v>
      </c>
      <c r="D11" t="s">
        <v>279</v>
      </c>
      <c r="E11" s="30" t="s">
        <v>549</v>
      </c>
      <c r="F11" t="s">
        <v>280</v>
      </c>
      <c r="G11" t="s">
        <v>469</v>
      </c>
      <c r="H11" s="47">
        <v>713000</v>
      </c>
      <c r="I11" s="47">
        <v>350000</v>
      </c>
      <c r="J11" s="47">
        <v>315706.99</v>
      </c>
      <c r="K11" s="47">
        <v>304729.18</v>
      </c>
      <c r="L11" s="42">
        <f t="shared" si="0"/>
        <v>0.90201997142857138</v>
      </c>
      <c r="M11" s="13">
        <f t="shared" si="1"/>
        <v>0.44278680224403927</v>
      </c>
      <c r="N11" s="13">
        <f t="shared" si="6"/>
        <v>1.0360248073387655</v>
      </c>
      <c r="O11" s="97">
        <f t="shared" si="2"/>
        <v>397293.01</v>
      </c>
      <c r="P11" s="106"/>
      <c r="Q11" s="45">
        <v>178200</v>
      </c>
      <c r="R11" s="12">
        <v>158370.57999999999</v>
      </c>
      <c r="S11" s="12">
        <v>161035.04</v>
      </c>
      <c r="T11" s="42">
        <f t="shared" si="7"/>
        <v>0.88872379349046005</v>
      </c>
      <c r="U11" s="13">
        <f t="shared" si="4"/>
        <v>0.22211862552594669</v>
      </c>
      <c r="V11" s="13">
        <f t="shared" si="8"/>
        <v>0.98345416003870945</v>
      </c>
      <c r="W11" s="39">
        <f t="shared" si="5"/>
        <v>534800</v>
      </c>
      <c r="AB11" t="s">
        <v>19</v>
      </c>
      <c r="AC11">
        <v>713000</v>
      </c>
    </row>
    <row r="12" spans="1:29" x14ac:dyDescent="0.25">
      <c r="A12" s="30" t="s">
        <v>276</v>
      </c>
      <c r="B12" t="s">
        <v>31</v>
      </c>
      <c r="C12" t="s">
        <v>33</v>
      </c>
      <c r="D12" t="s">
        <v>279</v>
      </c>
      <c r="E12" s="30" t="s">
        <v>549</v>
      </c>
      <c r="F12" t="s">
        <v>280</v>
      </c>
      <c r="G12" t="s">
        <v>471</v>
      </c>
      <c r="H12" s="47">
        <v>609000</v>
      </c>
      <c r="I12" s="47">
        <v>300000</v>
      </c>
      <c r="J12" s="47">
        <v>272865.7</v>
      </c>
      <c r="K12" s="47">
        <v>239307.72</v>
      </c>
      <c r="L12" s="42">
        <f t="shared" si="0"/>
        <v>0.90955233333333341</v>
      </c>
      <c r="M12" s="13">
        <f t="shared" si="1"/>
        <v>0.4480553366174056</v>
      </c>
      <c r="N12" s="13">
        <f t="shared" si="6"/>
        <v>1.1402294083951827</v>
      </c>
      <c r="O12" s="97">
        <f t="shared" si="2"/>
        <v>336134.3</v>
      </c>
      <c r="P12" s="106"/>
      <c r="Q12" s="45">
        <v>152200</v>
      </c>
      <c r="R12" s="12">
        <v>137174.97</v>
      </c>
      <c r="S12" s="12">
        <v>130784.48</v>
      </c>
      <c r="T12" s="42">
        <f t="shared" si="7"/>
        <v>0.90128101182654408</v>
      </c>
      <c r="U12" s="13">
        <f t="shared" si="4"/>
        <v>0.22524625615763547</v>
      </c>
      <c r="V12" s="13">
        <f t="shared" si="8"/>
        <v>1.0488627549690912</v>
      </c>
      <c r="W12" s="39">
        <f t="shared" si="5"/>
        <v>456800</v>
      </c>
      <c r="AB12" t="s">
        <v>31</v>
      </c>
      <c r="AC12">
        <v>609000</v>
      </c>
    </row>
    <row r="13" spans="1:29" x14ac:dyDescent="0.25">
      <c r="A13" s="30" t="s">
        <v>276</v>
      </c>
      <c r="B13" t="s">
        <v>41</v>
      </c>
      <c r="C13" t="s">
        <v>43</v>
      </c>
      <c r="D13" t="s">
        <v>279</v>
      </c>
      <c r="E13" s="30" t="s">
        <v>549</v>
      </c>
      <c r="F13" t="s">
        <v>280</v>
      </c>
      <c r="G13" t="s">
        <v>473</v>
      </c>
      <c r="H13" s="47">
        <v>337000</v>
      </c>
      <c r="I13" s="47">
        <v>170000</v>
      </c>
      <c r="J13" s="47">
        <v>151217.14000000001</v>
      </c>
      <c r="K13" s="47">
        <v>138703.26999999999</v>
      </c>
      <c r="L13" s="42">
        <f t="shared" si="0"/>
        <v>0.88951258823529422</v>
      </c>
      <c r="M13" s="13">
        <f t="shared" si="1"/>
        <v>0.44871554896142435</v>
      </c>
      <c r="N13" s="13">
        <f t="shared" si="6"/>
        <v>1.0902204396478903</v>
      </c>
      <c r="O13" s="97">
        <f t="shared" si="2"/>
        <v>185782.86</v>
      </c>
      <c r="P13" s="106"/>
      <c r="Q13" s="45">
        <v>84200</v>
      </c>
      <c r="R13" s="12">
        <v>75156.820000000007</v>
      </c>
      <c r="S13" s="12">
        <v>70534.89</v>
      </c>
      <c r="T13" s="42">
        <f t="shared" si="7"/>
        <v>0.89259881235154404</v>
      </c>
      <c r="U13" s="13">
        <f t="shared" si="4"/>
        <v>0.22301727002967361</v>
      </c>
      <c r="V13" s="13">
        <f t="shared" si="8"/>
        <v>1.0655268619544174</v>
      </c>
      <c r="W13" s="39">
        <f t="shared" si="5"/>
        <v>252800</v>
      </c>
      <c r="AB13" t="s">
        <v>41</v>
      </c>
      <c r="AC13">
        <v>337000</v>
      </c>
    </row>
    <row r="14" spans="1:29" x14ac:dyDescent="0.25">
      <c r="A14" s="30" t="s">
        <v>276</v>
      </c>
      <c r="B14" t="s">
        <v>50</v>
      </c>
      <c r="C14" t="s">
        <v>52</v>
      </c>
      <c r="D14" t="s">
        <v>279</v>
      </c>
      <c r="E14" s="30" t="s">
        <v>549</v>
      </c>
      <c r="F14" t="s">
        <v>280</v>
      </c>
      <c r="G14" t="s">
        <v>475</v>
      </c>
      <c r="H14" s="47">
        <v>2070000</v>
      </c>
      <c r="I14" s="47">
        <v>1000000</v>
      </c>
      <c r="J14" s="47">
        <v>885325.22</v>
      </c>
      <c r="K14" s="47">
        <v>821492.47</v>
      </c>
      <c r="L14" s="42">
        <f t="shared" si="0"/>
        <v>0.88532522000000002</v>
      </c>
      <c r="M14" s="13">
        <f t="shared" si="1"/>
        <v>0.42769334299516909</v>
      </c>
      <c r="N14" s="13">
        <f t="shared" si="6"/>
        <v>1.0777033902696638</v>
      </c>
      <c r="O14" s="97">
        <f t="shared" si="2"/>
        <v>1184674.78</v>
      </c>
      <c r="P14" s="106"/>
      <c r="Q14" s="45">
        <v>517500</v>
      </c>
      <c r="R14" s="12">
        <v>450320.08</v>
      </c>
      <c r="S14" s="12">
        <v>404030.2</v>
      </c>
      <c r="T14" s="42">
        <f t="shared" si="7"/>
        <v>0.87018372946859901</v>
      </c>
      <c r="U14" s="13">
        <f t="shared" si="4"/>
        <v>0.21754593236714975</v>
      </c>
      <c r="V14" s="13">
        <f t="shared" si="8"/>
        <v>1.1145703464741001</v>
      </c>
      <c r="W14" s="39">
        <f t="shared" si="5"/>
        <v>1552500</v>
      </c>
      <c r="AB14" t="s">
        <v>50</v>
      </c>
      <c r="AC14">
        <v>2070000</v>
      </c>
    </row>
    <row r="15" spans="1:29" x14ac:dyDescent="0.25">
      <c r="A15" s="30" t="s">
        <v>276</v>
      </c>
      <c r="B15" t="s">
        <v>58</v>
      </c>
      <c r="C15" t="s">
        <v>60</v>
      </c>
      <c r="D15" t="s">
        <v>279</v>
      </c>
      <c r="E15" s="30" t="s">
        <v>549</v>
      </c>
      <c r="F15" t="s">
        <v>280</v>
      </c>
      <c r="G15" t="s">
        <v>477</v>
      </c>
      <c r="H15" s="47">
        <f>1352000+82000</f>
        <v>1434000</v>
      </c>
      <c r="I15" s="47">
        <v>700000</v>
      </c>
      <c r="J15" s="47">
        <v>654771.61</v>
      </c>
      <c r="K15" s="47">
        <v>512678.29</v>
      </c>
      <c r="L15" s="42">
        <f t="shared" si="0"/>
        <v>0.93538801428571428</v>
      </c>
      <c r="M15" s="13">
        <f t="shared" si="1"/>
        <v>0.45660502789400276</v>
      </c>
      <c r="N15" s="13">
        <f t="shared" si="6"/>
        <v>1.2771588397082312</v>
      </c>
      <c r="O15" s="97">
        <f t="shared" si="2"/>
        <v>779228.39</v>
      </c>
      <c r="P15" s="106"/>
      <c r="Q15" s="45">
        <v>358500</v>
      </c>
      <c r="R15" s="12">
        <v>326858.84000000003</v>
      </c>
      <c r="S15" s="12">
        <f>243595.39+9832.45</f>
        <v>253427.84000000003</v>
      </c>
      <c r="T15" s="42">
        <f t="shared" si="7"/>
        <v>0.91174013947001398</v>
      </c>
      <c r="U15" s="13">
        <f t="shared" si="4"/>
        <v>0.22793503486750349</v>
      </c>
      <c r="V15" s="13">
        <f t="shared" si="8"/>
        <v>1.2897511181092023</v>
      </c>
      <c r="W15" s="39">
        <f t="shared" si="5"/>
        <v>1075500</v>
      </c>
      <c r="AB15" t="s">
        <v>58</v>
      </c>
      <c r="AC15">
        <v>1352000</v>
      </c>
    </row>
    <row r="16" spans="1:29" x14ac:dyDescent="0.25">
      <c r="A16" s="30" t="s">
        <v>276</v>
      </c>
      <c r="B16" t="s">
        <v>363</v>
      </c>
      <c r="C16" s="96" t="s">
        <v>478</v>
      </c>
      <c r="D16" t="s">
        <v>279</v>
      </c>
      <c r="E16" s="30" t="s">
        <v>549</v>
      </c>
      <c r="F16" t="s">
        <v>280</v>
      </c>
      <c r="G16" t="s">
        <v>867</v>
      </c>
      <c r="H16" s="47">
        <v>0</v>
      </c>
      <c r="I16" s="47">
        <v>0</v>
      </c>
      <c r="J16" s="47">
        <v>0</v>
      </c>
      <c r="K16" s="47">
        <v>9832.4500000000007</v>
      </c>
      <c r="L16" s="42" t="e">
        <f t="shared" si="0"/>
        <v>#DIV/0!</v>
      </c>
      <c r="M16" s="13" t="e">
        <f t="shared" si="1"/>
        <v>#DIV/0!</v>
      </c>
      <c r="N16" s="13">
        <f t="shared" si="6"/>
        <v>0</v>
      </c>
      <c r="O16" s="97">
        <f t="shared" si="2"/>
        <v>0</v>
      </c>
      <c r="P16" s="106"/>
      <c r="Q16" s="45"/>
      <c r="R16" s="12"/>
      <c r="S16" s="12"/>
      <c r="T16" s="42"/>
      <c r="U16" s="13"/>
      <c r="V16" s="13"/>
      <c r="W16" s="39"/>
      <c r="AB16" t="s">
        <v>363</v>
      </c>
      <c r="AC16">
        <v>82000</v>
      </c>
    </row>
    <row r="17" spans="1:29" x14ac:dyDescent="0.25">
      <c r="A17" s="30" t="s">
        <v>276</v>
      </c>
      <c r="B17" t="s">
        <v>77</v>
      </c>
      <c r="C17" t="s">
        <v>79</v>
      </c>
      <c r="D17" t="s">
        <v>279</v>
      </c>
      <c r="E17" s="30" t="s">
        <v>549</v>
      </c>
      <c r="F17" t="s">
        <v>280</v>
      </c>
      <c r="G17" t="s">
        <v>480</v>
      </c>
      <c r="H17" s="47">
        <v>2199000</v>
      </c>
      <c r="I17" s="47">
        <v>650000</v>
      </c>
      <c r="J17" s="47">
        <v>591531.86</v>
      </c>
      <c r="K17" s="47">
        <v>528545.93999999994</v>
      </c>
      <c r="L17" s="42">
        <f t="shared" si="0"/>
        <v>0.91004901538461536</v>
      </c>
      <c r="M17" s="13">
        <f t="shared" si="1"/>
        <v>0.26900039108685764</v>
      </c>
      <c r="N17" s="13">
        <f t="shared" si="6"/>
        <v>1.1191682978399191</v>
      </c>
      <c r="O17" s="97">
        <f t="shared" si="2"/>
        <v>1607468.1400000001</v>
      </c>
      <c r="P17" s="106"/>
      <c r="Q17" s="45">
        <v>320000</v>
      </c>
      <c r="R17" s="12">
        <v>299987.5</v>
      </c>
      <c r="S17" s="12">
        <v>254840.78</v>
      </c>
      <c r="T17" s="42">
        <f t="shared" si="7"/>
        <v>0.93746093750000004</v>
      </c>
      <c r="U17" s="13">
        <f t="shared" ref="U17:U53" si="9">R17/H17</f>
        <v>0.13641996361982719</v>
      </c>
      <c r="V17" s="13">
        <f t="shared" si="8"/>
        <v>1.1771565759608804</v>
      </c>
      <c r="W17" s="39">
        <f t="shared" ref="W17:W53" si="10">H17-Q17</f>
        <v>1879000</v>
      </c>
      <c r="AB17" t="s">
        <v>77</v>
      </c>
      <c r="AC17">
        <v>2199000</v>
      </c>
    </row>
    <row r="18" spans="1:29" x14ac:dyDescent="0.25">
      <c r="A18" s="30" t="s">
        <v>276</v>
      </c>
      <c r="B18" t="s">
        <v>83</v>
      </c>
      <c r="C18" t="s">
        <v>85</v>
      </c>
      <c r="D18" t="s">
        <v>279</v>
      </c>
      <c r="E18" s="30" t="s">
        <v>549</v>
      </c>
      <c r="F18" t="s">
        <v>280</v>
      </c>
      <c r="G18" t="s">
        <v>482</v>
      </c>
      <c r="H18" s="47">
        <v>86000</v>
      </c>
      <c r="I18" s="47">
        <v>40000</v>
      </c>
      <c r="J18" s="47">
        <v>36918.61</v>
      </c>
      <c r="K18" s="47">
        <v>33391.42</v>
      </c>
      <c r="L18" s="42">
        <f t="shared" si="0"/>
        <v>0.92296524999999996</v>
      </c>
      <c r="M18" s="13">
        <f t="shared" si="1"/>
        <v>0.4292861627906977</v>
      </c>
      <c r="N18" s="13">
        <f t="shared" si="6"/>
        <v>1.1056316263279611</v>
      </c>
      <c r="O18" s="97">
        <f t="shared" si="2"/>
        <v>49081.39</v>
      </c>
      <c r="P18" s="106"/>
      <c r="Q18" s="45">
        <v>21500</v>
      </c>
      <c r="R18" s="12">
        <v>20385.68</v>
      </c>
      <c r="S18" s="12">
        <v>16822.82</v>
      </c>
      <c r="T18" s="42">
        <f t="shared" si="7"/>
        <v>0.94817116279069769</v>
      </c>
      <c r="U18" s="13">
        <f t="shared" si="9"/>
        <v>0.23704279069767442</v>
      </c>
      <c r="V18" s="13">
        <f t="shared" si="8"/>
        <v>1.2117873222206503</v>
      </c>
      <c r="W18" s="39">
        <f t="shared" si="10"/>
        <v>64500</v>
      </c>
      <c r="AB18" t="s">
        <v>83</v>
      </c>
      <c r="AC18">
        <v>86000</v>
      </c>
    </row>
    <row r="19" spans="1:29" x14ac:dyDescent="0.25">
      <c r="A19" s="30" t="s">
        <v>276</v>
      </c>
      <c r="B19" t="s">
        <v>94</v>
      </c>
      <c r="C19" t="s">
        <v>96</v>
      </c>
      <c r="D19" t="s">
        <v>279</v>
      </c>
      <c r="E19" s="30" t="s">
        <v>549</v>
      </c>
      <c r="F19" t="s">
        <v>280</v>
      </c>
      <c r="G19" t="s">
        <v>484</v>
      </c>
      <c r="H19" s="47">
        <v>1237000</v>
      </c>
      <c r="I19" s="47">
        <v>550000</v>
      </c>
      <c r="J19" s="47">
        <v>497568.65</v>
      </c>
      <c r="K19" s="47">
        <v>493930.63</v>
      </c>
      <c r="L19" s="42">
        <f t="shared" si="0"/>
        <v>0.90467027272727274</v>
      </c>
      <c r="M19" s="13">
        <f t="shared" si="1"/>
        <v>0.40223819725141474</v>
      </c>
      <c r="N19" s="13">
        <f t="shared" si="6"/>
        <v>1.0073654472491411</v>
      </c>
      <c r="O19" s="97">
        <f t="shared" si="2"/>
        <v>739431.35</v>
      </c>
      <c r="P19" s="106"/>
      <c r="Q19" s="45">
        <v>309200</v>
      </c>
      <c r="R19" s="12">
        <v>249855.56</v>
      </c>
      <c r="S19" s="12">
        <v>233878.81</v>
      </c>
      <c r="T19" s="42">
        <f t="shared" si="7"/>
        <v>0.80807102199223801</v>
      </c>
      <c r="U19" s="13">
        <f t="shared" si="9"/>
        <v>0.2019850929668553</v>
      </c>
      <c r="V19" s="13">
        <f t="shared" si="8"/>
        <v>1.0683120886411215</v>
      </c>
      <c r="W19" s="39">
        <f t="shared" si="10"/>
        <v>927800</v>
      </c>
      <c r="AB19" t="s">
        <v>94</v>
      </c>
      <c r="AC19">
        <v>1237000</v>
      </c>
    </row>
    <row r="20" spans="1:29" x14ac:dyDescent="0.25">
      <c r="A20" s="30" t="s">
        <v>276</v>
      </c>
      <c r="B20" t="s">
        <v>101</v>
      </c>
      <c r="C20" t="s">
        <v>103</v>
      </c>
      <c r="D20" t="s">
        <v>279</v>
      </c>
      <c r="E20" s="30" t="s">
        <v>549</v>
      </c>
      <c r="F20" t="s">
        <v>280</v>
      </c>
      <c r="G20" t="s">
        <v>486</v>
      </c>
      <c r="H20" s="47">
        <v>711000</v>
      </c>
      <c r="I20" s="47">
        <v>450000</v>
      </c>
      <c r="J20" s="47">
        <v>386757.83</v>
      </c>
      <c r="K20" s="47">
        <v>290396.78999999998</v>
      </c>
      <c r="L20" s="42">
        <f t="shared" si="0"/>
        <v>0.85946184444444451</v>
      </c>
      <c r="M20" s="13">
        <f t="shared" si="1"/>
        <v>0.54396319268635729</v>
      </c>
      <c r="N20" s="13">
        <f>J20/K20</f>
        <v>1.3318254309904736</v>
      </c>
      <c r="O20" s="97">
        <f t="shared" si="2"/>
        <v>324242.17</v>
      </c>
      <c r="P20" s="106"/>
      <c r="Q20" s="45">
        <v>195000</v>
      </c>
      <c r="R20" s="12">
        <v>194240.32</v>
      </c>
      <c r="S20" s="12">
        <v>148339.01999999999</v>
      </c>
      <c r="T20" s="42">
        <f t="shared" si="7"/>
        <v>0.99610420512820519</v>
      </c>
      <c r="U20" s="13">
        <f t="shared" si="9"/>
        <v>0.27319313642756682</v>
      </c>
      <c r="V20" s="13">
        <f t="shared" si="8"/>
        <v>1.3094351034542362</v>
      </c>
      <c r="W20" s="39">
        <f t="shared" si="10"/>
        <v>516000</v>
      </c>
      <c r="AB20" t="s">
        <v>101</v>
      </c>
      <c r="AC20">
        <v>711000</v>
      </c>
    </row>
    <row r="21" spans="1:29" x14ac:dyDescent="0.25">
      <c r="A21" s="30" t="s">
        <v>276</v>
      </c>
      <c r="B21" t="s">
        <v>110</v>
      </c>
      <c r="C21" t="s">
        <v>112</v>
      </c>
      <c r="D21" t="s">
        <v>279</v>
      </c>
      <c r="E21" s="30" t="s">
        <v>549</v>
      </c>
      <c r="F21" t="s">
        <v>280</v>
      </c>
      <c r="G21" t="s">
        <v>487</v>
      </c>
      <c r="H21" s="47">
        <v>357700</v>
      </c>
      <c r="I21" s="47">
        <v>200000</v>
      </c>
      <c r="J21" s="47">
        <v>174973.57</v>
      </c>
      <c r="K21" s="47">
        <v>168688.14</v>
      </c>
      <c r="L21" s="42">
        <f t="shared" si="0"/>
        <v>0.87486785</v>
      </c>
      <c r="M21" s="13">
        <f t="shared" si="1"/>
        <v>0.48916290187307804</v>
      </c>
      <c r="N21" s="13">
        <f t="shared" ref="N21:N37" si="11">J21/K21</f>
        <v>1.0372606515194251</v>
      </c>
      <c r="O21" s="97">
        <f t="shared" si="2"/>
        <v>182726.43</v>
      </c>
      <c r="P21" s="106"/>
      <c r="Q21" s="45">
        <v>89400</v>
      </c>
      <c r="R21" s="12">
        <v>86460.26</v>
      </c>
      <c r="S21" s="12">
        <v>83328.399999999994</v>
      </c>
      <c r="T21" s="42">
        <f t="shared" si="7"/>
        <v>0.96711700223713637</v>
      </c>
      <c r="U21" s="13">
        <f t="shared" si="9"/>
        <v>0.24171165781381043</v>
      </c>
      <c r="V21" s="13">
        <f t="shared" si="8"/>
        <v>1.0375845450050643</v>
      </c>
      <c r="W21" s="39">
        <f t="shared" si="10"/>
        <v>268300</v>
      </c>
      <c r="AB21" t="s">
        <v>110</v>
      </c>
      <c r="AC21">
        <v>357700</v>
      </c>
    </row>
    <row r="22" spans="1:29" x14ac:dyDescent="0.25">
      <c r="A22" s="30" t="s">
        <v>276</v>
      </c>
      <c r="B22" t="s">
        <v>119</v>
      </c>
      <c r="C22" t="s">
        <v>121</v>
      </c>
      <c r="D22" t="s">
        <v>279</v>
      </c>
      <c r="E22" s="30" t="s">
        <v>549</v>
      </c>
      <c r="F22" t="s">
        <v>280</v>
      </c>
      <c r="G22" t="s">
        <v>488</v>
      </c>
      <c r="H22" s="47">
        <v>910200</v>
      </c>
      <c r="I22" s="47">
        <v>500000</v>
      </c>
      <c r="J22" s="47">
        <v>438248.51</v>
      </c>
      <c r="K22" s="47">
        <v>417596.15999999997</v>
      </c>
      <c r="L22" s="42">
        <f t="shared" si="0"/>
        <v>0.87649702000000007</v>
      </c>
      <c r="M22" s="13">
        <f t="shared" si="1"/>
        <v>0.48148594814326523</v>
      </c>
      <c r="N22" s="13">
        <f t="shared" si="11"/>
        <v>1.0494553158726365</v>
      </c>
      <c r="O22" s="97">
        <f t="shared" si="2"/>
        <v>471951.49</v>
      </c>
      <c r="P22" s="106"/>
      <c r="Q22" s="45">
        <v>227500</v>
      </c>
      <c r="R22" s="12">
        <v>223711.53</v>
      </c>
      <c r="S22" s="12">
        <v>214128.94</v>
      </c>
      <c r="T22" s="42">
        <f t="shared" si="7"/>
        <v>0.98334738461538462</v>
      </c>
      <c r="U22" s="13">
        <f t="shared" si="9"/>
        <v>0.24578282794990111</v>
      </c>
      <c r="V22" s="13">
        <f>R22/S22</f>
        <v>1.0447514941231204</v>
      </c>
      <c r="W22" s="39">
        <f t="shared" si="10"/>
        <v>682700</v>
      </c>
      <c r="AB22" t="s">
        <v>119</v>
      </c>
      <c r="AC22">
        <v>910200</v>
      </c>
    </row>
    <row r="23" spans="1:29" x14ac:dyDescent="0.25">
      <c r="A23" s="30" t="s">
        <v>276</v>
      </c>
      <c r="B23" t="s">
        <v>127</v>
      </c>
      <c r="C23" t="s">
        <v>128</v>
      </c>
      <c r="D23" t="s">
        <v>279</v>
      </c>
      <c r="E23" s="30" t="s">
        <v>549</v>
      </c>
      <c r="F23" t="s">
        <v>280</v>
      </c>
      <c r="G23" t="s">
        <v>489</v>
      </c>
      <c r="H23" s="47">
        <v>1256000</v>
      </c>
      <c r="I23" s="47">
        <v>650000</v>
      </c>
      <c r="J23" s="47">
        <v>608741.6</v>
      </c>
      <c r="K23" s="47">
        <v>565723.07999999996</v>
      </c>
      <c r="L23" s="42">
        <f t="shared" si="0"/>
        <v>0.93652553846153841</v>
      </c>
      <c r="M23" s="13">
        <f t="shared" si="1"/>
        <v>0.48466687898089172</v>
      </c>
      <c r="N23" s="13">
        <f t="shared" si="11"/>
        <v>1.0760416562817272</v>
      </c>
      <c r="O23" s="97">
        <f t="shared" si="2"/>
        <v>647258.4</v>
      </c>
      <c r="P23" s="106"/>
      <c r="Q23" s="45">
        <v>314000</v>
      </c>
      <c r="R23" s="12">
        <v>300471.71999999997</v>
      </c>
      <c r="S23" s="12">
        <v>290381</v>
      </c>
      <c r="T23" s="42">
        <f t="shared" ref="T23:T39" si="12">R23/Q23</f>
        <v>0.95691630573248398</v>
      </c>
      <c r="U23" s="13">
        <f t="shared" si="9"/>
        <v>0.239229076433121</v>
      </c>
      <c r="V23" s="13">
        <f t="shared" ref="V23:V31" si="13">R23/S23</f>
        <v>1.0347499319859081</v>
      </c>
      <c r="W23" s="39">
        <f t="shared" si="10"/>
        <v>942000</v>
      </c>
      <c r="AB23" t="s">
        <v>127</v>
      </c>
      <c r="AC23">
        <v>1256000</v>
      </c>
    </row>
    <row r="24" spans="1:29" x14ac:dyDescent="0.25">
      <c r="A24" s="30" t="s">
        <v>276</v>
      </c>
      <c r="B24" t="s">
        <v>135</v>
      </c>
      <c r="C24" t="s">
        <v>137</v>
      </c>
      <c r="D24" t="s">
        <v>279</v>
      </c>
      <c r="E24" s="30" t="s">
        <v>549</v>
      </c>
      <c r="F24" t="s">
        <v>280</v>
      </c>
      <c r="G24" t="s">
        <v>490</v>
      </c>
      <c r="H24" s="47">
        <v>998500</v>
      </c>
      <c r="I24" s="47">
        <v>590000</v>
      </c>
      <c r="J24" s="47">
        <v>499894.35</v>
      </c>
      <c r="K24" s="47">
        <v>402712.22</v>
      </c>
      <c r="L24" s="42">
        <f t="shared" si="0"/>
        <v>0.84727855932203389</v>
      </c>
      <c r="M24" s="13">
        <f t="shared" si="1"/>
        <v>0.50064531797696543</v>
      </c>
      <c r="N24" s="13">
        <f t="shared" si="11"/>
        <v>1.2413190491214794</v>
      </c>
      <c r="O24" s="97">
        <f t="shared" si="2"/>
        <v>498605.65</v>
      </c>
      <c r="P24" s="106"/>
      <c r="Q24" s="45">
        <v>249600</v>
      </c>
      <c r="R24" s="12">
        <v>247130.64</v>
      </c>
      <c r="S24" s="12">
        <v>200764.95</v>
      </c>
      <c r="T24" s="42">
        <f t="shared" si="12"/>
        <v>0.99010673076923084</v>
      </c>
      <c r="U24" s="13">
        <f t="shared" si="9"/>
        <v>0.24750189283925891</v>
      </c>
      <c r="V24" s="13">
        <f t="shared" si="13"/>
        <v>1.2309451425659708</v>
      </c>
      <c r="W24" s="39">
        <f t="shared" si="10"/>
        <v>748900</v>
      </c>
      <c r="AB24" t="s">
        <v>135</v>
      </c>
      <c r="AC24">
        <v>998500</v>
      </c>
    </row>
    <row r="25" spans="1:29" x14ac:dyDescent="0.25">
      <c r="A25" s="30" t="s">
        <v>276</v>
      </c>
      <c r="B25" t="s">
        <v>143</v>
      </c>
      <c r="C25" t="s">
        <v>145</v>
      </c>
      <c r="D25" t="s">
        <v>279</v>
      </c>
      <c r="E25" s="30" t="s">
        <v>549</v>
      </c>
      <c r="F25" t="s">
        <v>280</v>
      </c>
      <c r="G25" t="s">
        <v>491</v>
      </c>
      <c r="H25" s="47">
        <v>1313600</v>
      </c>
      <c r="I25" s="47">
        <v>700000</v>
      </c>
      <c r="J25" s="47">
        <v>603468.43999999994</v>
      </c>
      <c r="K25" s="47">
        <v>575146.74</v>
      </c>
      <c r="L25" s="42">
        <f t="shared" si="0"/>
        <v>0.86209777142857136</v>
      </c>
      <c r="M25" s="13">
        <f t="shared" si="1"/>
        <v>0.4594004567600487</v>
      </c>
      <c r="N25" s="13">
        <f t="shared" si="11"/>
        <v>1.049242563732518</v>
      </c>
      <c r="O25" s="97">
        <f t="shared" si="2"/>
        <v>710131.56</v>
      </c>
      <c r="P25" s="106"/>
      <c r="Q25" s="45">
        <v>328400</v>
      </c>
      <c r="R25" s="12">
        <v>298923.45</v>
      </c>
      <c r="S25" s="12">
        <v>290599.96999999997</v>
      </c>
      <c r="T25" s="42">
        <f t="shared" si="12"/>
        <v>0.9102419305724726</v>
      </c>
      <c r="U25" s="13">
        <f t="shared" si="9"/>
        <v>0.22756048264311815</v>
      </c>
      <c r="V25" s="13">
        <f t="shared" si="13"/>
        <v>1.0286423980016242</v>
      </c>
      <c r="W25" s="39">
        <f t="shared" si="10"/>
        <v>985200</v>
      </c>
      <c r="AB25" t="s">
        <v>143</v>
      </c>
      <c r="AC25">
        <v>1313600</v>
      </c>
    </row>
    <row r="26" spans="1:29" x14ac:dyDescent="0.25">
      <c r="A26" s="30" t="s">
        <v>276</v>
      </c>
      <c r="B26" t="s">
        <v>151</v>
      </c>
      <c r="C26" t="s">
        <v>153</v>
      </c>
      <c r="D26" t="s">
        <v>279</v>
      </c>
      <c r="E26" s="30" t="s">
        <v>549</v>
      </c>
      <c r="F26" t="s">
        <v>280</v>
      </c>
      <c r="G26" t="s">
        <v>493</v>
      </c>
      <c r="H26" s="47">
        <v>1284800</v>
      </c>
      <c r="I26" s="47">
        <v>650000</v>
      </c>
      <c r="J26" s="47">
        <v>595496.19999999995</v>
      </c>
      <c r="K26" s="47">
        <v>594054.67000000004</v>
      </c>
      <c r="L26" s="42">
        <f t="shared" si="0"/>
        <v>0.91614799999999996</v>
      </c>
      <c r="M26" s="13">
        <f t="shared" si="1"/>
        <v>0.46349330635118302</v>
      </c>
      <c r="N26" s="13">
        <f t="shared" si="11"/>
        <v>1.0024265948452185</v>
      </c>
      <c r="O26" s="97">
        <f t="shared" si="2"/>
        <v>689303.8</v>
      </c>
      <c r="P26" s="106"/>
      <c r="Q26" s="45">
        <v>321200</v>
      </c>
      <c r="R26" s="12">
        <v>293087.68</v>
      </c>
      <c r="S26" s="12">
        <v>300873.92</v>
      </c>
      <c r="T26" s="42">
        <f t="shared" si="12"/>
        <v>0.91247721046077213</v>
      </c>
      <c r="U26" s="13">
        <f t="shared" si="9"/>
        <v>0.22811930261519303</v>
      </c>
      <c r="V26" s="13">
        <f t="shared" si="13"/>
        <v>0.97412125318139908</v>
      </c>
      <c r="W26" s="39">
        <f t="shared" si="10"/>
        <v>963600</v>
      </c>
      <c r="AB26" t="s">
        <v>151</v>
      </c>
      <c r="AC26">
        <v>1284800</v>
      </c>
    </row>
    <row r="27" spans="1:29" x14ac:dyDescent="0.25">
      <c r="A27" s="30" t="s">
        <v>276</v>
      </c>
      <c r="B27" t="s">
        <v>159</v>
      </c>
      <c r="C27" t="s">
        <v>161</v>
      </c>
      <c r="D27" t="s">
        <v>279</v>
      </c>
      <c r="E27" s="30" t="s">
        <v>549</v>
      </c>
      <c r="F27" t="s">
        <v>280</v>
      </c>
      <c r="G27" t="s">
        <v>495</v>
      </c>
      <c r="H27" s="47">
        <v>839700</v>
      </c>
      <c r="I27" s="47">
        <v>400000</v>
      </c>
      <c r="J27" s="47">
        <v>387754.76</v>
      </c>
      <c r="K27" s="47">
        <v>396532.11</v>
      </c>
      <c r="L27" s="42">
        <f t="shared" si="0"/>
        <v>0.96938690000000005</v>
      </c>
      <c r="M27" s="13">
        <f t="shared" si="1"/>
        <v>0.4617777301417173</v>
      </c>
      <c r="N27" s="13">
        <f t="shared" si="11"/>
        <v>0.97786471819394405</v>
      </c>
      <c r="O27" s="97">
        <f t="shared" si="2"/>
        <v>451945.24</v>
      </c>
      <c r="P27" s="106"/>
      <c r="Q27" s="45">
        <v>209900</v>
      </c>
      <c r="R27" s="12">
        <v>202930.47</v>
      </c>
      <c r="S27" s="12">
        <v>210133.21</v>
      </c>
      <c r="T27" s="42">
        <f t="shared" si="12"/>
        <v>0.96679595045259648</v>
      </c>
      <c r="U27" s="13">
        <f t="shared" si="9"/>
        <v>0.24167020364415864</v>
      </c>
      <c r="V27" s="13">
        <f t="shared" si="13"/>
        <v>0.96572298115086141</v>
      </c>
      <c r="W27" s="39">
        <f t="shared" si="10"/>
        <v>629800</v>
      </c>
      <c r="AB27" t="s">
        <v>159</v>
      </c>
      <c r="AC27">
        <v>839700</v>
      </c>
    </row>
    <row r="28" spans="1:29" x14ac:dyDescent="0.25">
      <c r="A28" s="30" t="s">
        <v>276</v>
      </c>
      <c r="B28" t="s">
        <v>170</v>
      </c>
      <c r="C28" t="s">
        <v>172</v>
      </c>
      <c r="D28" t="s">
        <v>279</v>
      </c>
      <c r="E28" s="30" t="s">
        <v>549</v>
      </c>
      <c r="F28" t="s">
        <v>280</v>
      </c>
      <c r="G28" t="s">
        <v>496</v>
      </c>
      <c r="H28" s="47">
        <v>747100</v>
      </c>
      <c r="I28" s="47">
        <v>450000</v>
      </c>
      <c r="J28" s="47">
        <v>395188.45</v>
      </c>
      <c r="K28" s="47">
        <v>312279.40000000002</v>
      </c>
      <c r="L28" s="42">
        <f t="shared" si="0"/>
        <v>0.87819655555555554</v>
      </c>
      <c r="M28" s="13">
        <f t="shared" si="1"/>
        <v>0.52896325793066523</v>
      </c>
      <c r="N28" s="13">
        <f t="shared" si="11"/>
        <v>1.2654963792040077</v>
      </c>
      <c r="O28" s="97">
        <f t="shared" si="2"/>
        <v>351911.55</v>
      </c>
      <c r="P28" s="106"/>
      <c r="Q28" s="45">
        <v>200000</v>
      </c>
      <c r="R28" s="12">
        <v>197760.21</v>
      </c>
      <c r="S28" s="12">
        <v>153754.67000000001</v>
      </c>
      <c r="T28" s="42">
        <f t="shared" si="12"/>
        <v>0.98880104999999996</v>
      </c>
      <c r="U28" s="13">
        <f t="shared" si="9"/>
        <v>0.26470380136527905</v>
      </c>
      <c r="V28" s="13">
        <f t="shared" si="13"/>
        <v>1.2862062010864448</v>
      </c>
      <c r="W28" s="39">
        <f t="shared" si="10"/>
        <v>547100</v>
      </c>
      <c r="AB28" t="s">
        <v>170</v>
      </c>
      <c r="AC28">
        <v>747100</v>
      </c>
    </row>
    <row r="29" spans="1:29" x14ac:dyDescent="0.25">
      <c r="A29" s="30" t="s">
        <v>276</v>
      </c>
      <c r="B29" t="s">
        <v>179</v>
      </c>
      <c r="C29" t="s">
        <v>181</v>
      </c>
      <c r="D29" t="s">
        <v>279</v>
      </c>
      <c r="E29" s="30" t="s">
        <v>549</v>
      </c>
      <c r="F29" t="s">
        <v>280</v>
      </c>
      <c r="G29" t="s">
        <v>497</v>
      </c>
      <c r="H29" s="47">
        <v>1265200</v>
      </c>
      <c r="I29" s="47">
        <v>700000</v>
      </c>
      <c r="J29" s="47">
        <v>629288.22</v>
      </c>
      <c r="K29" s="47">
        <v>584890.66</v>
      </c>
      <c r="L29" s="42">
        <f t="shared" si="0"/>
        <v>0.89898317142857143</v>
      </c>
      <c r="M29" s="13">
        <f t="shared" si="1"/>
        <v>0.49738240594372429</v>
      </c>
      <c r="N29" s="13">
        <f t="shared" si="11"/>
        <v>1.0759074525142869</v>
      </c>
      <c r="O29" s="97">
        <f t="shared" si="2"/>
        <v>635911.78</v>
      </c>
      <c r="P29" s="106"/>
      <c r="Q29" s="45">
        <v>316300</v>
      </c>
      <c r="R29" s="12">
        <v>312581.88</v>
      </c>
      <c r="S29" s="12">
        <v>298964.18</v>
      </c>
      <c r="T29" s="42">
        <f t="shared" si="12"/>
        <v>0.98824495731900097</v>
      </c>
      <c r="U29" s="13">
        <f t="shared" si="9"/>
        <v>0.24706123932975024</v>
      </c>
      <c r="V29" s="13">
        <f t="shared" si="13"/>
        <v>1.0455496039692782</v>
      </c>
      <c r="W29" s="39">
        <f t="shared" si="10"/>
        <v>948900</v>
      </c>
      <c r="AB29" t="s">
        <v>179</v>
      </c>
      <c r="AC29">
        <v>1265200</v>
      </c>
    </row>
    <row r="30" spans="1:29" x14ac:dyDescent="0.25">
      <c r="A30" s="30" t="s">
        <v>276</v>
      </c>
      <c r="B30" t="s">
        <v>189</v>
      </c>
      <c r="C30" t="s">
        <v>191</v>
      </c>
      <c r="D30" t="s">
        <v>279</v>
      </c>
      <c r="E30" s="30" t="s">
        <v>549</v>
      </c>
      <c r="F30" t="s">
        <v>280</v>
      </c>
      <c r="G30" t="s">
        <v>498</v>
      </c>
      <c r="H30" s="47">
        <v>685800</v>
      </c>
      <c r="I30" s="47">
        <v>400000</v>
      </c>
      <c r="J30" s="47">
        <v>324632.8</v>
      </c>
      <c r="K30" s="47">
        <v>300337.3</v>
      </c>
      <c r="L30" s="42">
        <f t="shared" si="0"/>
        <v>0.81158200000000003</v>
      </c>
      <c r="M30" s="13">
        <f t="shared" si="1"/>
        <v>0.47336366287547388</v>
      </c>
      <c r="N30" s="13">
        <f t="shared" si="11"/>
        <v>1.0808940481252245</v>
      </c>
      <c r="O30" s="97">
        <f t="shared" si="2"/>
        <v>361167.2</v>
      </c>
      <c r="P30" s="106"/>
      <c r="Q30" s="45">
        <v>171400</v>
      </c>
      <c r="R30" s="12">
        <v>162025.72</v>
      </c>
      <c r="S30" s="12">
        <v>152636.54</v>
      </c>
      <c r="T30" s="42">
        <f t="shared" si="12"/>
        <v>0.94530758459743291</v>
      </c>
      <c r="U30" s="13">
        <f t="shared" si="9"/>
        <v>0.23625797608632254</v>
      </c>
      <c r="V30" s="13">
        <f t="shared" si="13"/>
        <v>1.0615133178464344</v>
      </c>
      <c r="W30" s="39">
        <f t="shared" si="10"/>
        <v>514400</v>
      </c>
      <c r="AB30" t="s">
        <v>189</v>
      </c>
      <c r="AC30">
        <v>685800</v>
      </c>
    </row>
    <row r="31" spans="1:29" x14ac:dyDescent="0.25">
      <c r="A31" s="30" t="s">
        <v>276</v>
      </c>
      <c r="B31" t="s">
        <v>198</v>
      </c>
      <c r="C31" t="s">
        <v>200</v>
      </c>
      <c r="D31" t="s">
        <v>279</v>
      </c>
      <c r="E31" s="30" t="s">
        <v>549</v>
      </c>
      <c r="F31" t="s">
        <v>280</v>
      </c>
      <c r="G31" t="s">
        <v>499</v>
      </c>
      <c r="H31" s="47">
        <v>1032500</v>
      </c>
      <c r="I31" s="47">
        <v>600000</v>
      </c>
      <c r="J31" s="47">
        <v>512685.72</v>
      </c>
      <c r="K31" s="47">
        <v>477598.92</v>
      </c>
      <c r="L31" s="42">
        <f t="shared" si="0"/>
        <v>0.85447619999999991</v>
      </c>
      <c r="M31" s="13">
        <f t="shared" si="1"/>
        <v>0.49654791283292976</v>
      </c>
      <c r="N31" s="13">
        <f t="shared" si="11"/>
        <v>1.0734649902474653</v>
      </c>
      <c r="O31" s="97">
        <f t="shared" si="2"/>
        <v>519814.28</v>
      </c>
      <c r="P31" s="106"/>
      <c r="Q31" s="45">
        <v>258100</v>
      </c>
      <c r="R31" s="12">
        <v>254274.29</v>
      </c>
      <c r="S31" s="12">
        <v>242646.37</v>
      </c>
      <c r="T31" s="42">
        <f t="shared" si="12"/>
        <v>0.98517741185586982</v>
      </c>
      <c r="U31" s="13">
        <f t="shared" si="9"/>
        <v>0.24627049878934626</v>
      </c>
      <c r="V31" s="13">
        <f t="shared" si="13"/>
        <v>1.0479212608867794</v>
      </c>
      <c r="W31" s="39">
        <f t="shared" si="10"/>
        <v>774400</v>
      </c>
      <c r="AB31" t="s">
        <v>198</v>
      </c>
      <c r="AC31">
        <v>1032500</v>
      </c>
    </row>
    <row r="32" spans="1:29" x14ac:dyDescent="0.25">
      <c r="A32" s="30" t="s">
        <v>276</v>
      </c>
      <c r="B32" t="s">
        <v>206</v>
      </c>
      <c r="C32" t="s">
        <v>208</v>
      </c>
      <c r="D32" t="s">
        <v>279</v>
      </c>
      <c r="E32" s="30" t="s">
        <v>549</v>
      </c>
      <c r="F32" t="s">
        <v>280</v>
      </c>
      <c r="G32" t="s">
        <v>500</v>
      </c>
      <c r="H32" s="47">
        <v>1183000</v>
      </c>
      <c r="I32" s="47">
        <v>650000</v>
      </c>
      <c r="J32" s="47">
        <v>578900.18999999994</v>
      </c>
      <c r="K32" s="47">
        <v>537675.78</v>
      </c>
      <c r="L32" s="42">
        <f t="shared" si="0"/>
        <v>0.89061567692307686</v>
      </c>
      <c r="M32" s="13">
        <f t="shared" si="1"/>
        <v>0.48934927303465758</v>
      </c>
      <c r="N32" s="13">
        <f t="shared" si="11"/>
        <v>1.0766715026665326</v>
      </c>
      <c r="O32" s="97">
        <f t="shared" si="2"/>
        <v>604099.81000000006</v>
      </c>
      <c r="P32" s="106"/>
      <c r="Q32" s="45">
        <v>295700</v>
      </c>
      <c r="R32" s="12">
        <v>287111.27</v>
      </c>
      <c r="S32" s="12">
        <v>273882.52</v>
      </c>
      <c r="T32" s="42">
        <f t="shared" si="12"/>
        <v>0.97095458234697329</v>
      </c>
      <c r="U32" s="13">
        <f t="shared" si="9"/>
        <v>0.24269760777683858</v>
      </c>
      <c r="V32" s="13">
        <f>R32/S32</f>
        <v>1.0483008189058578</v>
      </c>
      <c r="W32" s="39">
        <f t="shared" si="10"/>
        <v>887300</v>
      </c>
      <c r="AB32" t="s">
        <v>206</v>
      </c>
      <c r="AC32">
        <v>1183000</v>
      </c>
    </row>
    <row r="33" spans="1:29" x14ac:dyDescent="0.25">
      <c r="A33" s="30" t="s">
        <v>276</v>
      </c>
      <c r="B33" t="s">
        <v>214</v>
      </c>
      <c r="C33" t="s">
        <v>216</v>
      </c>
      <c r="D33" t="s">
        <v>279</v>
      </c>
      <c r="E33" s="30" t="s">
        <v>549</v>
      </c>
      <c r="F33" t="s">
        <v>280</v>
      </c>
      <c r="G33" t="s">
        <v>501</v>
      </c>
      <c r="H33" s="47">
        <v>1755000</v>
      </c>
      <c r="I33" s="47">
        <v>900000</v>
      </c>
      <c r="J33" s="47">
        <v>860184.54</v>
      </c>
      <c r="K33" s="47">
        <v>860430.27</v>
      </c>
      <c r="L33" s="42">
        <f t="shared" si="0"/>
        <v>0.95576060000000007</v>
      </c>
      <c r="M33" s="13">
        <f t="shared" si="1"/>
        <v>0.49013364102564105</v>
      </c>
      <c r="N33" s="13">
        <f t="shared" si="11"/>
        <v>0.99971441032635922</v>
      </c>
      <c r="O33" s="97">
        <f t="shared" si="2"/>
        <v>894815.46</v>
      </c>
      <c r="P33" s="106"/>
      <c r="Q33" s="45">
        <v>438700</v>
      </c>
      <c r="R33" s="12">
        <v>424282.52</v>
      </c>
      <c r="S33" s="12">
        <v>432627.58</v>
      </c>
      <c r="T33" s="42">
        <f t="shared" si="12"/>
        <v>0.96713590152723961</v>
      </c>
      <c r="U33" s="13">
        <f t="shared" si="9"/>
        <v>0.24175642165242167</v>
      </c>
      <c r="V33" s="13">
        <f t="shared" ref="V33:V39" si="14">R33/S33</f>
        <v>0.9807107535770142</v>
      </c>
      <c r="W33" s="39">
        <f t="shared" si="10"/>
        <v>1316300</v>
      </c>
      <c r="AB33" t="s">
        <v>214</v>
      </c>
      <c r="AC33">
        <v>1755000</v>
      </c>
    </row>
    <row r="34" spans="1:29" x14ac:dyDescent="0.25">
      <c r="A34" s="30" t="s">
        <v>276</v>
      </c>
      <c r="B34" t="s">
        <v>226</v>
      </c>
      <c r="C34" t="s">
        <v>228</v>
      </c>
      <c r="D34" t="s">
        <v>279</v>
      </c>
      <c r="E34" s="30" t="s">
        <v>549</v>
      </c>
      <c r="F34" t="s">
        <v>280</v>
      </c>
      <c r="G34" t="s">
        <v>502</v>
      </c>
      <c r="H34" s="47">
        <v>325300</v>
      </c>
      <c r="I34" s="47">
        <v>170000</v>
      </c>
      <c r="J34" s="47">
        <v>146742.26</v>
      </c>
      <c r="K34" s="47">
        <v>138411.67000000001</v>
      </c>
      <c r="L34" s="42">
        <f t="shared" si="0"/>
        <v>0.86318976470588238</v>
      </c>
      <c r="M34" s="13">
        <f t="shared" si="1"/>
        <v>0.4510982477712881</v>
      </c>
      <c r="N34" s="13">
        <f t="shared" si="11"/>
        <v>1.0601870492567571</v>
      </c>
      <c r="O34" s="97">
        <f t="shared" si="2"/>
        <v>178557.74</v>
      </c>
      <c r="P34" s="106"/>
      <c r="Q34" s="45">
        <v>81300</v>
      </c>
      <c r="R34" s="12">
        <v>73543.16</v>
      </c>
      <c r="S34" s="12">
        <v>70957.16</v>
      </c>
      <c r="T34" s="42">
        <f t="shared" si="12"/>
        <v>0.90458991389913901</v>
      </c>
      <c r="U34" s="13">
        <f t="shared" si="9"/>
        <v>0.22607795880725484</v>
      </c>
      <c r="V34" s="13">
        <f t="shared" si="14"/>
        <v>1.0364445251191001</v>
      </c>
      <c r="W34" s="39">
        <f t="shared" si="10"/>
        <v>244000</v>
      </c>
      <c r="AB34" t="s">
        <v>226</v>
      </c>
      <c r="AC34">
        <v>325300</v>
      </c>
    </row>
    <row r="35" spans="1:29" x14ac:dyDescent="0.25">
      <c r="A35" s="30" t="s">
        <v>276</v>
      </c>
      <c r="B35" t="s">
        <v>234</v>
      </c>
      <c r="C35" t="s">
        <v>236</v>
      </c>
      <c r="D35" t="s">
        <v>279</v>
      </c>
      <c r="E35" s="30" t="s">
        <v>549</v>
      </c>
      <c r="F35" t="s">
        <v>280</v>
      </c>
      <c r="G35" t="s">
        <v>503</v>
      </c>
      <c r="H35" s="47">
        <v>257300</v>
      </c>
      <c r="I35" s="47">
        <v>150000</v>
      </c>
      <c r="J35" s="47">
        <v>125107.04</v>
      </c>
      <c r="K35" s="47">
        <v>116399.86</v>
      </c>
      <c r="L35" s="42">
        <f t="shared" si="0"/>
        <v>0.83404693333333324</v>
      </c>
      <c r="M35" s="13">
        <f t="shared" si="1"/>
        <v>0.48623023707734159</v>
      </c>
      <c r="N35" s="13">
        <f t="shared" si="11"/>
        <v>1.0748040418605314</v>
      </c>
      <c r="O35" s="97">
        <f t="shared" si="2"/>
        <v>132192.96000000002</v>
      </c>
      <c r="P35" s="106"/>
      <c r="Q35" s="45">
        <v>64300</v>
      </c>
      <c r="R35" s="12">
        <v>63282.52</v>
      </c>
      <c r="S35" s="12">
        <v>59207.83</v>
      </c>
      <c r="T35" s="42">
        <f t="shared" si="12"/>
        <v>0.98417604976671846</v>
      </c>
      <c r="U35" s="13">
        <f t="shared" si="9"/>
        <v>0.24594838709677419</v>
      </c>
      <c r="V35" s="13">
        <f t="shared" si="14"/>
        <v>1.0688201205820242</v>
      </c>
      <c r="W35" s="39">
        <f t="shared" si="10"/>
        <v>193000</v>
      </c>
      <c r="AB35" t="s">
        <v>234</v>
      </c>
      <c r="AC35">
        <v>257300</v>
      </c>
    </row>
    <row r="36" spans="1:29" x14ac:dyDescent="0.25">
      <c r="A36" s="30" t="s">
        <v>276</v>
      </c>
      <c r="B36" t="s">
        <v>241</v>
      </c>
      <c r="C36" t="s">
        <v>243</v>
      </c>
      <c r="D36" t="s">
        <v>279</v>
      </c>
      <c r="E36" s="30" t="s">
        <v>549</v>
      </c>
      <c r="F36" t="s">
        <v>280</v>
      </c>
      <c r="G36" t="s">
        <v>504</v>
      </c>
      <c r="H36" s="47">
        <v>314600</v>
      </c>
      <c r="I36" s="47">
        <v>180000</v>
      </c>
      <c r="J36" s="47">
        <v>148779.06</v>
      </c>
      <c r="K36" s="47">
        <v>137396.64000000001</v>
      </c>
      <c r="L36" s="42">
        <f t="shared" si="0"/>
        <v>0.82655033333333328</v>
      </c>
      <c r="M36" s="13">
        <f t="shared" si="1"/>
        <v>0.47291500317863955</v>
      </c>
      <c r="N36" s="13">
        <f t="shared" si="11"/>
        <v>1.0828435105836649</v>
      </c>
      <c r="O36" s="97">
        <f t="shared" si="2"/>
        <v>165820.94</v>
      </c>
      <c r="P36" s="106"/>
      <c r="Q36" s="45">
        <v>78600</v>
      </c>
      <c r="R36" s="12">
        <v>74962.240000000005</v>
      </c>
      <c r="S36" s="12">
        <v>70148.63</v>
      </c>
      <c r="T36" s="42">
        <f t="shared" si="12"/>
        <v>0.95371806615776089</v>
      </c>
      <c r="U36" s="13">
        <f t="shared" si="9"/>
        <v>0.23827794024157661</v>
      </c>
      <c r="V36" s="13">
        <f t="shared" si="14"/>
        <v>1.068620156943906</v>
      </c>
      <c r="W36" s="39">
        <f t="shared" si="10"/>
        <v>236000</v>
      </c>
      <c r="AB36" t="s">
        <v>241</v>
      </c>
      <c r="AC36">
        <v>314600</v>
      </c>
    </row>
    <row r="37" spans="1:29" x14ac:dyDescent="0.25">
      <c r="A37" s="30" t="s">
        <v>276</v>
      </c>
      <c r="B37" t="s">
        <v>248</v>
      </c>
      <c r="C37" t="s">
        <v>250</v>
      </c>
      <c r="D37" t="s">
        <v>279</v>
      </c>
      <c r="E37" s="30" t="s">
        <v>549</v>
      </c>
      <c r="F37" t="s">
        <v>280</v>
      </c>
      <c r="G37" t="s">
        <v>505</v>
      </c>
      <c r="H37" s="47">
        <v>2273000</v>
      </c>
      <c r="I37" s="47">
        <v>1200000</v>
      </c>
      <c r="J37" s="47">
        <v>1111795.21</v>
      </c>
      <c r="K37" s="47">
        <v>1029924.23</v>
      </c>
      <c r="L37" s="42">
        <f t="shared" si="0"/>
        <v>0.92649600833333334</v>
      </c>
      <c r="M37" s="13">
        <f t="shared" si="1"/>
        <v>0.4891311966564012</v>
      </c>
      <c r="N37" s="13">
        <f t="shared" si="11"/>
        <v>1.0794922360453643</v>
      </c>
      <c r="O37" s="97">
        <f t="shared" si="2"/>
        <v>1161204.79</v>
      </c>
      <c r="P37" s="106"/>
      <c r="Q37" s="45">
        <v>568200</v>
      </c>
      <c r="R37" s="12">
        <v>551422.69999999995</v>
      </c>
      <c r="S37" s="12">
        <v>526731.87</v>
      </c>
      <c r="T37" s="42">
        <f t="shared" si="12"/>
        <v>0.97047289686730021</v>
      </c>
      <c r="U37" s="13">
        <f t="shared" si="9"/>
        <v>0.24259687637483499</v>
      </c>
      <c r="V37" s="13">
        <f t="shared" si="14"/>
        <v>1.0468755194174979</v>
      </c>
      <c r="W37" s="39">
        <f t="shared" si="10"/>
        <v>1704800</v>
      </c>
      <c r="AB37" t="s">
        <v>248</v>
      </c>
      <c r="AC37">
        <v>2273000</v>
      </c>
    </row>
    <row r="38" spans="1:29" x14ac:dyDescent="0.25">
      <c r="A38" s="30" t="s">
        <v>276</v>
      </c>
      <c r="B38" t="s">
        <v>259</v>
      </c>
      <c r="C38" t="s">
        <v>261</v>
      </c>
      <c r="D38" t="s">
        <v>279</v>
      </c>
      <c r="E38" s="30" t="s">
        <v>549</v>
      </c>
      <c r="F38" t="s">
        <v>280</v>
      </c>
      <c r="G38" t="s">
        <v>506</v>
      </c>
      <c r="H38" s="47">
        <v>278000</v>
      </c>
      <c r="I38" s="47">
        <v>150000</v>
      </c>
      <c r="J38" s="47">
        <v>128929.02</v>
      </c>
      <c r="K38" s="47">
        <v>121315.89</v>
      </c>
      <c r="L38" s="42">
        <f t="shared" si="0"/>
        <v>0.85952680000000004</v>
      </c>
      <c r="M38" s="13">
        <f t="shared" si="1"/>
        <v>0.46377345323741009</v>
      </c>
      <c r="N38" s="13">
        <f>J38/K38</f>
        <v>1.0627545987586622</v>
      </c>
      <c r="O38" s="97">
        <f t="shared" si="2"/>
        <v>149070.97999999998</v>
      </c>
      <c r="P38" s="106"/>
      <c r="Q38" s="45">
        <v>69500</v>
      </c>
      <c r="R38" s="12">
        <v>64329.14</v>
      </c>
      <c r="S38" s="12">
        <v>62657.94</v>
      </c>
      <c r="T38" s="42">
        <f t="shared" si="12"/>
        <v>0.92559913669064753</v>
      </c>
      <c r="U38" s="13">
        <f t="shared" si="9"/>
        <v>0.23139978417266188</v>
      </c>
      <c r="V38" s="13">
        <f t="shared" si="14"/>
        <v>1.0266717992963061</v>
      </c>
      <c r="W38" s="39">
        <f t="shared" si="10"/>
        <v>208500</v>
      </c>
      <c r="AB38" t="s">
        <v>259</v>
      </c>
      <c r="AC38">
        <v>278000</v>
      </c>
    </row>
    <row r="39" spans="1:29" x14ac:dyDescent="0.25">
      <c r="A39" s="30" t="s">
        <v>276</v>
      </c>
      <c r="B39" t="s">
        <v>268</v>
      </c>
      <c r="C39" t="s">
        <v>270</v>
      </c>
      <c r="D39" t="s">
        <v>279</v>
      </c>
      <c r="E39" s="30" t="s">
        <v>549</v>
      </c>
      <c r="F39" t="s">
        <v>280</v>
      </c>
      <c r="G39" t="s">
        <v>507</v>
      </c>
      <c r="H39" s="47">
        <v>377200</v>
      </c>
      <c r="I39" s="47">
        <v>200000</v>
      </c>
      <c r="J39" s="47">
        <v>184850.43</v>
      </c>
      <c r="K39" s="47">
        <v>174359.03</v>
      </c>
      <c r="L39" s="42">
        <f t="shared" si="0"/>
        <v>0.92425214999999994</v>
      </c>
      <c r="M39" s="13">
        <f t="shared" si="1"/>
        <v>0.49005946447507953</v>
      </c>
      <c r="N39" s="13">
        <f t="shared" ref="N39" si="15">J39/K39</f>
        <v>1.0601712455041761</v>
      </c>
      <c r="O39" s="97">
        <f t="shared" si="2"/>
        <v>192349.57</v>
      </c>
      <c r="P39" s="106"/>
      <c r="Q39" s="45">
        <v>94300</v>
      </c>
      <c r="R39" s="12">
        <v>92568.35</v>
      </c>
      <c r="S39" s="12">
        <v>89183.22</v>
      </c>
      <c r="T39" s="42">
        <f t="shared" si="12"/>
        <v>0.98163679745493115</v>
      </c>
      <c r="U39" s="13">
        <f t="shared" si="9"/>
        <v>0.24540919936373279</v>
      </c>
      <c r="V39" s="13">
        <f t="shared" si="14"/>
        <v>1.0379570282391688</v>
      </c>
      <c r="W39" s="39">
        <f t="shared" si="10"/>
        <v>282900</v>
      </c>
      <c r="AB39" t="s">
        <v>268</v>
      </c>
      <c r="AC39">
        <v>377200</v>
      </c>
    </row>
    <row r="40" spans="1:29" x14ac:dyDescent="0.25">
      <c r="A40" s="30" t="s">
        <v>276</v>
      </c>
      <c r="B40" t="s">
        <v>277</v>
      </c>
      <c r="C40" t="s">
        <v>278</v>
      </c>
      <c r="D40" t="s">
        <v>281</v>
      </c>
      <c r="E40" s="30" t="s">
        <v>550</v>
      </c>
      <c r="F40" t="s">
        <v>282</v>
      </c>
      <c r="G40" t="s">
        <v>456</v>
      </c>
      <c r="H40" s="47">
        <v>1390000</v>
      </c>
      <c r="I40" s="47">
        <v>230500</v>
      </c>
      <c r="J40" s="47">
        <v>219073.54</v>
      </c>
      <c r="K40" s="47">
        <v>522151.57</v>
      </c>
      <c r="L40" s="42">
        <f t="shared" ref="L40:L77" si="16">J40/I40</f>
        <v>0.95042750542299348</v>
      </c>
      <c r="M40" s="13">
        <f t="shared" ref="M40:M77" si="17">J40/H40</f>
        <v>0.15760686330935253</v>
      </c>
      <c r="N40" s="13">
        <f t="shared" ref="N40:N77" si="18">J40/K40</f>
        <v>0.41955928620496152</v>
      </c>
      <c r="O40" s="97">
        <f t="shared" ref="O40:O77" si="19">H40-J40</f>
        <v>1170926.46</v>
      </c>
      <c r="P40" s="106"/>
      <c r="Q40" s="50">
        <v>71000</v>
      </c>
      <c r="R40" s="12">
        <v>58512.77</v>
      </c>
      <c r="S40" s="12">
        <v>72406.83</v>
      </c>
      <c r="T40" s="42">
        <f t="shared" ref="T40:T44" si="20">R40/Q40</f>
        <v>0.82412352112676057</v>
      </c>
      <c r="U40" s="13">
        <f t="shared" si="9"/>
        <v>4.2095517985611508E-2</v>
      </c>
      <c r="V40" s="13">
        <f t="shared" ref="V40:V44" si="21">R40/S40</f>
        <v>0.80811119613992211</v>
      </c>
      <c r="W40" s="39">
        <f t="shared" si="10"/>
        <v>1319000</v>
      </c>
      <c r="AB40" t="s">
        <v>277</v>
      </c>
      <c r="AC40">
        <v>1390000</v>
      </c>
    </row>
    <row r="41" spans="1:29" x14ac:dyDescent="0.25">
      <c r="A41" s="30" t="s">
        <v>276</v>
      </c>
      <c r="B41" t="s">
        <v>1</v>
      </c>
      <c r="C41" t="s">
        <v>4</v>
      </c>
      <c r="D41" t="s">
        <v>281</v>
      </c>
      <c r="E41" s="30" t="s">
        <v>550</v>
      </c>
      <c r="F41" t="s">
        <v>282</v>
      </c>
      <c r="G41" t="s">
        <v>458</v>
      </c>
      <c r="H41" s="47">
        <v>93000</v>
      </c>
      <c r="I41" s="47">
        <v>40500</v>
      </c>
      <c r="J41" s="47">
        <v>35602.99</v>
      </c>
      <c r="K41" s="47">
        <v>45599.839999999997</v>
      </c>
      <c r="L41" s="42">
        <f t="shared" si="16"/>
        <v>0.87908617283950607</v>
      </c>
      <c r="M41" s="13">
        <f t="shared" si="17"/>
        <v>0.38282784946236559</v>
      </c>
      <c r="N41" s="13">
        <f t="shared" si="18"/>
        <v>0.7807700641054881</v>
      </c>
      <c r="O41" s="97">
        <f t="shared" si="19"/>
        <v>57397.01</v>
      </c>
      <c r="P41" s="106"/>
      <c r="Q41" s="50">
        <v>16000</v>
      </c>
      <c r="R41" s="12">
        <v>14213.34</v>
      </c>
      <c r="S41" s="12">
        <v>16623</v>
      </c>
      <c r="T41" s="42">
        <f t="shared" si="20"/>
        <v>0.88833375000000003</v>
      </c>
      <c r="U41" s="13">
        <f t="shared" si="9"/>
        <v>0.15283161290322581</v>
      </c>
      <c r="V41" s="13">
        <f t="shared" si="21"/>
        <v>0.85504060638873847</v>
      </c>
      <c r="W41" s="39">
        <f t="shared" si="10"/>
        <v>77000</v>
      </c>
      <c r="AB41" t="s">
        <v>1</v>
      </c>
      <c r="AC41">
        <v>93000</v>
      </c>
    </row>
    <row r="42" spans="1:29" x14ac:dyDescent="0.25">
      <c r="A42" s="30" t="s">
        <v>276</v>
      </c>
      <c r="B42" t="s">
        <v>293</v>
      </c>
      <c r="C42" t="s">
        <v>294</v>
      </c>
      <c r="D42" t="s">
        <v>281</v>
      </c>
      <c r="E42" s="30" t="s">
        <v>550</v>
      </c>
      <c r="F42" t="s">
        <v>282</v>
      </c>
      <c r="G42" t="s">
        <v>459</v>
      </c>
      <c r="H42" s="47">
        <v>74000</v>
      </c>
      <c r="I42" s="47">
        <v>2000</v>
      </c>
      <c r="J42" s="47">
        <v>1883.8</v>
      </c>
      <c r="K42" s="47">
        <v>29378.9</v>
      </c>
      <c r="L42" s="42">
        <f t="shared" si="16"/>
        <v>0.94189999999999996</v>
      </c>
      <c r="M42" s="13">
        <f t="shared" si="17"/>
        <v>2.5456756756756755E-2</v>
      </c>
      <c r="N42" s="13">
        <f t="shared" si="18"/>
        <v>6.4120848636266159E-2</v>
      </c>
      <c r="O42" s="97">
        <f t="shared" si="19"/>
        <v>72116.2</v>
      </c>
      <c r="P42" s="106"/>
      <c r="Q42" s="50">
        <v>0</v>
      </c>
      <c r="R42" s="12">
        <v>0</v>
      </c>
      <c r="S42" s="12">
        <v>16326.55</v>
      </c>
      <c r="T42" s="42" t="e">
        <f t="shared" si="20"/>
        <v>#DIV/0!</v>
      </c>
      <c r="U42" s="13">
        <f t="shared" si="9"/>
        <v>0</v>
      </c>
      <c r="V42" s="13">
        <f t="shared" si="21"/>
        <v>0</v>
      </c>
      <c r="W42" s="39">
        <f t="shared" si="10"/>
        <v>74000</v>
      </c>
      <c r="AB42" t="s">
        <v>293</v>
      </c>
      <c r="AC42">
        <v>74000</v>
      </c>
    </row>
    <row r="43" spans="1:29" x14ac:dyDescent="0.25">
      <c r="A43" s="30" t="s">
        <v>276</v>
      </c>
      <c r="B43" t="s">
        <v>295</v>
      </c>
      <c r="C43" t="s">
        <v>296</v>
      </c>
      <c r="D43" t="s">
        <v>281</v>
      </c>
      <c r="E43" s="30" t="s">
        <v>550</v>
      </c>
      <c r="F43" t="s">
        <v>282</v>
      </c>
      <c r="G43" t="s">
        <v>460</v>
      </c>
      <c r="H43" s="47">
        <v>470000</v>
      </c>
      <c r="I43" s="47">
        <v>283000</v>
      </c>
      <c r="J43" s="47">
        <v>247134.55</v>
      </c>
      <c r="K43" s="47">
        <v>217500.47</v>
      </c>
      <c r="L43" s="42">
        <f t="shared" si="16"/>
        <v>0.87326696113074198</v>
      </c>
      <c r="M43" s="13">
        <f t="shared" si="17"/>
        <v>0.52581819148936171</v>
      </c>
      <c r="N43" s="13">
        <f t="shared" si="18"/>
        <v>1.1362483492564406</v>
      </c>
      <c r="O43" s="97">
        <f t="shared" si="19"/>
        <v>222865.45</v>
      </c>
      <c r="P43" s="106"/>
      <c r="Q43" s="50">
        <v>69000</v>
      </c>
      <c r="R43" s="12">
        <v>60603.3</v>
      </c>
      <c r="S43" s="12">
        <v>53851.03</v>
      </c>
      <c r="T43" s="42">
        <f t="shared" si="20"/>
        <v>0.87830869565217395</v>
      </c>
      <c r="U43" s="13">
        <f t="shared" si="9"/>
        <v>0.1289431914893617</v>
      </c>
      <c r="V43" s="13">
        <f t="shared" si="21"/>
        <v>1.1253879452259317</v>
      </c>
      <c r="W43" s="39">
        <f t="shared" si="10"/>
        <v>401000</v>
      </c>
      <c r="AB43" t="s">
        <v>295</v>
      </c>
      <c r="AC43">
        <v>470000</v>
      </c>
    </row>
    <row r="44" spans="1:29" x14ac:dyDescent="0.25">
      <c r="A44" s="30" t="s">
        <v>276</v>
      </c>
      <c r="B44" t="s">
        <v>329</v>
      </c>
      <c r="C44" t="s">
        <v>330</v>
      </c>
      <c r="D44" t="s">
        <v>281</v>
      </c>
      <c r="E44" s="30" t="s">
        <v>550</v>
      </c>
      <c r="F44" t="s">
        <v>282</v>
      </c>
      <c r="G44" t="s">
        <v>462</v>
      </c>
      <c r="H44" s="47">
        <v>84000</v>
      </c>
      <c r="I44" s="47">
        <v>25000</v>
      </c>
      <c r="J44" s="47">
        <v>22271.52</v>
      </c>
      <c r="K44" s="47">
        <v>23054.61</v>
      </c>
      <c r="L44" s="42">
        <f t="shared" si="16"/>
        <v>0.89086080000000001</v>
      </c>
      <c r="M44" s="13">
        <f t="shared" si="17"/>
        <v>0.26513714285714285</v>
      </c>
      <c r="N44" s="13">
        <f t="shared" si="18"/>
        <v>0.96603325755673164</v>
      </c>
      <c r="O44" s="97">
        <f t="shared" si="19"/>
        <v>61728.479999999996</v>
      </c>
      <c r="P44" s="106"/>
      <c r="Q44" s="50">
        <v>19000</v>
      </c>
      <c r="R44" s="12">
        <v>16446.78</v>
      </c>
      <c r="S44" s="12">
        <v>11876.96</v>
      </c>
      <c r="T44" s="42">
        <f t="shared" si="20"/>
        <v>0.86561999999999995</v>
      </c>
      <c r="U44" s="13">
        <f t="shared" si="9"/>
        <v>0.195795</v>
      </c>
      <c r="V44" s="13">
        <f t="shared" si="21"/>
        <v>1.3847634411499239</v>
      </c>
      <c r="W44" s="39">
        <f t="shared" si="10"/>
        <v>65000</v>
      </c>
      <c r="AB44" t="s">
        <v>329</v>
      </c>
      <c r="AC44">
        <v>84000</v>
      </c>
    </row>
    <row r="45" spans="1:29" x14ac:dyDescent="0.25">
      <c r="A45" s="30" t="s">
        <v>276</v>
      </c>
      <c r="B45" t="s">
        <v>333</v>
      </c>
      <c r="C45" t="s">
        <v>334</v>
      </c>
      <c r="D45" t="s">
        <v>281</v>
      </c>
      <c r="E45" s="30" t="s">
        <v>550</v>
      </c>
      <c r="F45" t="s">
        <v>282</v>
      </c>
      <c r="G45" t="s">
        <v>463</v>
      </c>
      <c r="H45" s="47">
        <v>30000</v>
      </c>
      <c r="I45" s="47">
        <v>2600</v>
      </c>
      <c r="J45" s="47">
        <v>2516.62</v>
      </c>
      <c r="K45" s="47">
        <v>1771.6</v>
      </c>
      <c r="L45" s="42">
        <f t="shared" si="16"/>
        <v>0.96793076923076915</v>
      </c>
      <c r="M45" s="13">
        <f t="shared" si="17"/>
        <v>8.3887333333333328E-2</v>
      </c>
      <c r="N45" s="13">
        <f t="shared" si="18"/>
        <v>1.4205351095055316</v>
      </c>
      <c r="O45" s="97">
        <f t="shared" si="19"/>
        <v>27483.38</v>
      </c>
      <c r="P45" s="106"/>
      <c r="Q45" s="50">
        <v>1600</v>
      </c>
      <c r="R45" s="12">
        <v>1297.68</v>
      </c>
      <c r="S45" s="12">
        <v>1698.3</v>
      </c>
      <c r="T45" s="49">
        <f t="shared" ref="T45:T51" si="22">R45/Q45</f>
        <v>0.81105000000000005</v>
      </c>
      <c r="U45" s="13">
        <f t="shared" si="9"/>
        <v>4.3256000000000003E-2</v>
      </c>
      <c r="V45" s="13">
        <f t="shared" ref="V45:V51" si="23">R45/S45</f>
        <v>0.7641052817523406</v>
      </c>
      <c r="W45" s="39">
        <f t="shared" si="10"/>
        <v>28400</v>
      </c>
      <c r="AB45" t="s">
        <v>333</v>
      </c>
      <c r="AC45">
        <v>30000</v>
      </c>
    </row>
    <row r="46" spans="1:29" x14ac:dyDescent="0.25">
      <c r="A46" s="30" t="s">
        <v>276</v>
      </c>
      <c r="B46" t="s">
        <v>341</v>
      </c>
      <c r="C46" t="s">
        <v>342</v>
      </c>
      <c r="D46" t="s">
        <v>281</v>
      </c>
      <c r="E46" s="30" t="s">
        <v>550</v>
      </c>
      <c r="F46" t="s">
        <v>282</v>
      </c>
      <c r="G46" t="s">
        <v>465</v>
      </c>
      <c r="H46" s="47">
        <v>140000</v>
      </c>
      <c r="I46" s="47">
        <v>75000</v>
      </c>
      <c r="J46" s="47">
        <v>69494.73</v>
      </c>
      <c r="K46" s="47">
        <v>52780.28</v>
      </c>
      <c r="L46" s="42">
        <f t="shared" si="16"/>
        <v>0.92659639999999999</v>
      </c>
      <c r="M46" s="13">
        <f t="shared" si="17"/>
        <v>0.49639092857142852</v>
      </c>
      <c r="N46" s="13">
        <f t="shared" si="18"/>
        <v>1.316679828147937</v>
      </c>
      <c r="O46" s="97">
        <f t="shared" si="19"/>
        <v>70505.27</v>
      </c>
      <c r="P46" s="106"/>
      <c r="Q46" s="50">
        <v>42000</v>
      </c>
      <c r="R46" s="12">
        <v>36354.17</v>
      </c>
      <c r="S46" s="12">
        <v>15204.42</v>
      </c>
      <c r="T46" s="42">
        <f t="shared" si="22"/>
        <v>0.86557547619047615</v>
      </c>
      <c r="U46" s="13">
        <f t="shared" si="9"/>
        <v>0.25967264285714287</v>
      </c>
      <c r="V46" s="13">
        <f t="shared" si="23"/>
        <v>2.3910264252105637</v>
      </c>
      <c r="W46" s="39">
        <f t="shared" si="10"/>
        <v>98000</v>
      </c>
      <c r="AB46" t="s">
        <v>341</v>
      </c>
      <c r="AC46">
        <v>140000</v>
      </c>
    </row>
    <row r="47" spans="1:29" x14ac:dyDescent="0.25">
      <c r="A47" s="30" t="s">
        <v>276</v>
      </c>
      <c r="B47" t="s">
        <v>9</v>
      </c>
      <c r="C47" t="s">
        <v>11</v>
      </c>
      <c r="D47" t="s">
        <v>281</v>
      </c>
      <c r="E47" s="30" t="s">
        <v>550</v>
      </c>
      <c r="F47" t="s">
        <v>282</v>
      </c>
      <c r="G47" t="s">
        <v>466</v>
      </c>
      <c r="H47" s="47">
        <v>93000</v>
      </c>
      <c r="I47" s="47">
        <v>43000</v>
      </c>
      <c r="J47" s="47">
        <v>38743.910000000003</v>
      </c>
      <c r="K47" s="47">
        <v>39610.31</v>
      </c>
      <c r="L47" s="42">
        <f t="shared" si="16"/>
        <v>0.90102116279069777</v>
      </c>
      <c r="M47" s="13">
        <f t="shared" si="17"/>
        <v>0.41660118279569897</v>
      </c>
      <c r="N47" s="13">
        <f t="shared" si="18"/>
        <v>0.97812690685834081</v>
      </c>
      <c r="O47" s="97">
        <f t="shared" si="19"/>
        <v>54256.09</v>
      </c>
      <c r="P47" s="106"/>
      <c r="Q47" s="50">
        <v>21000</v>
      </c>
      <c r="R47" s="12">
        <v>18189.45</v>
      </c>
      <c r="S47" s="12">
        <v>12237.91</v>
      </c>
      <c r="T47" s="42">
        <f t="shared" si="22"/>
        <v>0.86616428571428572</v>
      </c>
      <c r="U47" s="13">
        <f t="shared" si="9"/>
        <v>0.19558548387096775</v>
      </c>
      <c r="V47" s="13">
        <f t="shared" si="23"/>
        <v>1.4863199680337575</v>
      </c>
      <c r="W47" s="39">
        <f t="shared" si="10"/>
        <v>72000</v>
      </c>
      <c r="AB47" t="s">
        <v>9</v>
      </c>
      <c r="AC47">
        <v>93000</v>
      </c>
    </row>
    <row r="48" spans="1:29" x14ac:dyDescent="0.25">
      <c r="A48" s="30" t="s">
        <v>276</v>
      </c>
      <c r="B48" t="s">
        <v>13</v>
      </c>
      <c r="C48" t="s">
        <v>15</v>
      </c>
      <c r="D48" t="s">
        <v>281</v>
      </c>
      <c r="E48" s="30" t="s">
        <v>550</v>
      </c>
      <c r="F48" t="s">
        <v>282</v>
      </c>
      <c r="G48" t="s">
        <v>467</v>
      </c>
      <c r="H48" s="47">
        <v>112000</v>
      </c>
      <c r="I48" s="47">
        <v>100000</v>
      </c>
      <c r="J48" s="47">
        <v>90437.51</v>
      </c>
      <c r="K48" s="47">
        <v>48275.66</v>
      </c>
      <c r="L48" s="42">
        <f t="shared" si="16"/>
        <v>0.90437509999999999</v>
      </c>
      <c r="M48" s="13">
        <f t="shared" si="17"/>
        <v>0.80747776785714276</v>
      </c>
      <c r="N48" s="13">
        <f t="shared" si="18"/>
        <v>1.8733562627626426</v>
      </c>
      <c r="O48" s="97">
        <f t="shared" si="19"/>
        <v>21562.490000000005</v>
      </c>
      <c r="P48" s="106"/>
      <c r="Q48" s="50">
        <v>38500</v>
      </c>
      <c r="R48" s="12">
        <v>33457.730000000003</v>
      </c>
      <c r="S48" s="12">
        <v>27384.19</v>
      </c>
      <c r="T48" s="42">
        <f t="shared" si="22"/>
        <v>0.86903194805194817</v>
      </c>
      <c r="U48" s="13">
        <f t="shared" si="9"/>
        <v>0.2987297321428572</v>
      </c>
      <c r="V48" s="13">
        <f t="shared" si="23"/>
        <v>1.221790018255059</v>
      </c>
      <c r="W48" s="39">
        <f t="shared" si="10"/>
        <v>73500</v>
      </c>
      <c r="AB48" t="s">
        <v>13</v>
      </c>
      <c r="AC48">
        <v>112000</v>
      </c>
    </row>
    <row r="49" spans="1:29" x14ac:dyDescent="0.25">
      <c r="A49" s="30" t="s">
        <v>276</v>
      </c>
      <c r="B49" t="s">
        <v>19</v>
      </c>
      <c r="C49" t="s">
        <v>21</v>
      </c>
      <c r="D49" t="s">
        <v>281</v>
      </c>
      <c r="E49" s="30" t="s">
        <v>550</v>
      </c>
      <c r="F49" t="s">
        <v>282</v>
      </c>
      <c r="G49" t="s">
        <v>469</v>
      </c>
      <c r="H49" s="47">
        <v>93000</v>
      </c>
      <c r="I49" s="47">
        <v>76000</v>
      </c>
      <c r="J49" s="47">
        <v>73153.119999999995</v>
      </c>
      <c r="K49" s="47">
        <v>37675.56</v>
      </c>
      <c r="L49" s="42">
        <f t="shared" si="16"/>
        <v>0.96254105263157885</v>
      </c>
      <c r="M49" s="13">
        <f t="shared" si="17"/>
        <v>0.78659268817204298</v>
      </c>
      <c r="N49" s="13">
        <f t="shared" si="18"/>
        <v>1.9416597921835801</v>
      </c>
      <c r="O49" s="97">
        <f t="shared" si="19"/>
        <v>19846.880000000005</v>
      </c>
      <c r="P49" s="106"/>
      <c r="Q49" s="50">
        <v>53000</v>
      </c>
      <c r="R49" s="12">
        <v>46588.08</v>
      </c>
      <c r="S49" s="12">
        <v>17158.919999999998</v>
      </c>
      <c r="T49" s="42">
        <f t="shared" si="22"/>
        <v>0.87902037735849059</v>
      </c>
      <c r="U49" s="13">
        <f t="shared" si="9"/>
        <v>0.50094709677419358</v>
      </c>
      <c r="V49" s="13">
        <f t="shared" si="23"/>
        <v>2.7150939569623267</v>
      </c>
      <c r="W49" s="39">
        <f t="shared" si="10"/>
        <v>40000</v>
      </c>
      <c r="AB49" t="s">
        <v>19</v>
      </c>
      <c r="AC49">
        <v>93000</v>
      </c>
    </row>
    <row r="50" spans="1:29" x14ac:dyDescent="0.25">
      <c r="A50" s="30" t="s">
        <v>276</v>
      </c>
      <c r="B50" t="s">
        <v>31</v>
      </c>
      <c r="C50" t="s">
        <v>33</v>
      </c>
      <c r="D50" t="s">
        <v>281</v>
      </c>
      <c r="E50" s="30" t="s">
        <v>550</v>
      </c>
      <c r="F50" t="s">
        <v>282</v>
      </c>
      <c r="G50" t="s">
        <v>471</v>
      </c>
      <c r="H50" s="47">
        <v>392000</v>
      </c>
      <c r="I50" s="47">
        <v>386000</v>
      </c>
      <c r="J50" s="47">
        <v>374012.15999999997</v>
      </c>
      <c r="K50" s="47">
        <v>79684.47</v>
      </c>
      <c r="L50" s="42">
        <f t="shared" si="16"/>
        <v>0.96894341968911912</v>
      </c>
      <c r="M50" s="13">
        <f t="shared" si="17"/>
        <v>0.95411265306122439</v>
      </c>
      <c r="N50" s="13">
        <f t="shared" si="18"/>
        <v>4.6936643990980924</v>
      </c>
      <c r="O50" s="97">
        <f t="shared" si="19"/>
        <v>17987.840000000026</v>
      </c>
      <c r="P50" s="106"/>
      <c r="Q50" s="50">
        <v>27000</v>
      </c>
      <c r="R50" s="12">
        <v>22417.18</v>
      </c>
      <c r="S50" s="12">
        <v>8497.83</v>
      </c>
      <c r="T50" s="42">
        <f t="shared" si="22"/>
        <v>0.83026592592592596</v>
      </c>
      <c r="U50" s="13">
        <f t="shared" si="9"/>
        <v>5.7186683673469386E-2</v>
      </c>
      <c r="V50" s="13">
        <f t="shared" si="23"/>
        <v>2.6379887571297616</v>
      </c>
      <c r="W50" s="39">
        <f t="shared" si="10"/>
        <v>365000</v>
      </c>
      <c r="AB50" t="s">
        <v>31</v>
      </c>
      <c r="AC50">
        <v>392000</v>
      </c>
    </row>
    <row r="51" spans="1:29" x14ac:dyDescent="0.25">
      <c r="A51" s="30" t="s">
        <v>276</v>
      </c>
      <c r="B51" t="s">
        <v>41</v>
      </c>
      <c r="C51" t="s">
        <v>43</v>
      </c>
      <c r="D51" t="s">
        <v>281</v>
      </c>
      <c r="E51" s="30" t="s">
        <v>550</v>
      </c>
      <c r="F51" t="s">
        <v>282</v>
      </c>
      <c r="G51" t="s">
        <v>473</v>
      </c>
      <c r="H51" s="47">
        <v>340000</v>
      </c>
      <c r="I51" s="47">
        <v>26000</v>
      </c>
      <c r="J51" s="47">
        <v>21938.92</v>
      </c>
      <c r="K51" s="47">
        <v>134675.44</v>
      </c>
      <c r="L51" s="42">
        <f t="shared" si="16"/>
        <v>0.84380461538461526</v>
      </c>
      <c r="M51" s="13">
        <f t="shared" si="17"/>
        <v>6.4526235294117648E-2</v>
      </c>
      <c r="N51" s="13">
        <f t="shared" si="18"/>
        <v>0.16290215944347386</v>
      </c>
      <c r="O51" s="97">
        <f t="shared" si="19"/>
        <v>318061.08</v>
      </c>
      <c r="P51" s="106"/>
      <c r="Q51" s="50">
        <v>5000</v>
      </c>
      <c r="R51" s="12">
        <v>4131.03</v>
      </c>
      <c r="S51" s="12">
        <v>161.38</v>
      </c>
      <c r="T51" s="42">
        <f t="shared" si="22"/>
        <v>0.826206</v>
      </c>
      <c r="U51" s="13">
        <f t="shared" si="9"/>
        <v>1.2150088235294117E-2</v>
      </c>
      <c r="V51" s="13">
        <f t="shared" si="23"/>
        <v>25.598153426694758</v>
      </c>
      <c r="W51" s="39">
        <f t="shared" si="10"/>
        <v>335000</v>
      </c>
      <c r="AB51" t="s">
        <v>41</v>
      </c>
      <c r="AC51">
        <v>340000</v>
      </c>
    </row>
    <row r="52" spans="1:29" x14ac:dyDescent="0.25">
      <c r="A52" s="30" t="s">
        <v>276</v>
      </c>
      <c r="B52" t="s">
        <v>50</v>
      </c>
      <c r="C52" t="s">
        <v>52</v>
      </c>
      <c r="D52" t="s">
        <v>281</v>
      </c>
      <c r="E52" s="30" t="s">
        <v>550</v>
      </c>
      <c r="F52" t="s">
        <v>282</v>
      </c>
      <c r="G52" t="s">
        <v>475</v>
      </c>
      <c r="H52" s="47">
        <v>177000</v>
      </c>
      <c r="I52" s="47">
        <v>75000</v>
      </c>
      <c r="J52" s="47">
        <v>67716</v>
      </c>
      <c r="K52" s="47">
        <v>59470.720000000001</v>
      </c>
      <c r="L52" s="42">
        <f t="shared" si="16"/>
        <v>0.90288000000000002</v>
      </c>
      <c r="M52" s="13">
        <f t="shared" si="17"/>
        <v>0.38257627118644066</v>
      </c>
      <c r="N52" s="13">
        <f t="shared" si="18"/>
        <v>1.1386443614605641</v>
      </c>
      <c r="O52" s="97">
        <f t="shared" si="19"/>
        <v>109284</v>
      </c>
      <c r="P52" s="106"/>
      <c r="Q52" s="50">
        <v>29000</v>
      </c>
      <c r="R52" s="12">
        <v>25301.85</v>
      </c>
      <c r="S52" s="12">
        <v>21046.1</v>
      </c>
      <c r="T52" s="42">
        <f t="shared" ref="T52:T77" si="24">R52/Q52</f>
        <v>0.87247758620689653</v>
      </c>
      <c r="U52" s="13">
        <f t="shared" si="9"/>
        <v>0.14294830508474576</v>
      </c>
      <c r="V52" s="13">
        <f t="shared" ref="V52:V77" si="25">R52/S52</f>
        <v>1.2022108609196003</v>
      </c>
      <c r="W52" s="39">
        <f t="shared" si="10"/>
        <v>148000</v>
      </c>
      <c r="AB52" t="s">
        <v>50</v>
      </c>
      <c r="AC52">
        <v>177000</v>
      </c>
    </row>
    <row r="53" spans="1:29" x14ac:dyDescent="0.25">
      <c r="A53" s="30" t="s">
        <v>276</v>
      </c>
      <c r="B53" t="s">
        <v>58</v>
      </c>
      <c r="C53" t="s">
        <v>60</v>
      </c>
      <c r="D53" t="s">
        <v>281</v>
      </c>
      <c r="E53" s="30" t="s">
        <v>550</v>
      </c>
      <c r="F53" t="s">
        <v>282</v>
      </c>
      <c r="G53" t="s">
        <v>477</v>
      </c>
      <c r="H53" s="47">
        <v>465000</v>
      </c>
      <c r="I53" s="47">
        <v>190000</v>
      </c>
      <c r="J53" s="47">
        <v>187026.76</v>
      </c>
      <c r="K53" s="47">
        <v>164772.97</v>
      </c>
      <c r="L53" s="42">
        <f t="shared" si="16"/>
        <v>0.98435136842105264</v>
      </c>
      <c r="M53" s="13">
        <f t="shared" si="17"/>
        <v>0.40220808602150537</v>
      </c>
      <c r="N53" s="13">
        <f t="shared" si="18"/>
        <v>1.1350572851845786</v>
      </c>
      <c r="O53" s="97">
        <f t="shared" si="19"/>
        <v>277973.24</v>
      </c>
      <c r="P53" s="106"/>
      <c r="Q53" s="50">
        <v>53000</v>
      </c>
      <c r="R53" s="12">
        <v>42899.81</v>
      </c>
      <c r="S53" s="12">
        <f>34704.2+1139.36</f>
        <v>35843.56</v>
      </c>
      <c r="T53" s="42">
        <f t="shared" si="24"/>
        <v>0.80943037735849055</v>
      </c>
      <c r="U53" s="13">
        <f t="shared" si="9"/>
        <v>9.2257655913978484E-2</v>
      </c>
      <c r="V53" s="13">
        <f t="shared" si="25"/>
        <v>1.1968624210318395</v>
      </c>
      <c r="W53" s="39">
        <f t="shared" si="10"/>
        <v>412000</v>
      </c>
      <c r="AB53" t="s">
        <v>58</v>
      </c>
      <c r="AC53">
        <v>465000</v>
      </c>
    </row>
    <row r="54" spans="1:29" x14ac:dyDescent="0.25">
      <c r="A54" s="30" t="s">
        <v>276</v>
      </c>
      <c r="B54" t="s">
        <v>363</v>
      </c>
      <c r="C54" s="96" t="s">
        <v>478</v>
      </c>
      <c r="D54" t="s">
        <v>281</v>
      </c>
      <c r="E54" s="30" t="s">
        <v>550</v>
      </c>
      <c r="F54" t="s">
        <v>282</v>
      </c>
      <c r="G54" t="s">
        <v>867</v>
      </c>
      <c r="H54" s="47">
        <v>0</v>
      </c>
      <c r="I54" s="47">
        <v>0</v>
      </c>
      <c r="J54" s="47">
        <v>0</v>
      </c>
      <c r="K54" s="47">
        <v>1139.3599999999999</v>
      </c>
      <c r="L54" s="42" t="e">
        <f t="shared" si="16"/>
        <v>#DIV/0!</v>
      </c>
      <c r="M54" s="13" t="e">
        <f t="shared" si="17"/>
        <v>#DIV/0!</v>
      </c>
      <c r="N54" s="13">
        <f t="shared" si="18"/>
        <v>0</v>
      </c>
      <c r="O54" s="97">
        <f t="shared" si="19"/>
        <v>0</v>
      </c>
      <c r="P54" s="106"/>
      <c r="Q54" s="50"/>
      <c r="R54" s="12"/>
      <c r="S54" s="12"/>
      <c r="T54" s="42"/>
      <c r="U54" s="13"/>
      <c r="V54" s="13"/>
      <c r="W54" s="39"/>
      <c r="AB54" t="s">
        <v>77</v>
      </c>
      <c r="AC54">
        <v>60000</v>
      </c>
    </row>
    <row r="55" spans="1:29" x14ac:dyDescent="0.25">
      <c r="A55" s="30" t="s">
        <v>276</v>
      </c>
      <c r="B55" t="s">
        <v>77</v>
      </c>
      <c r="C55" t="s">
        <v>79</v>
      </c>
      <c r="D55" t="s">
        <v>281</v>
      </c>
      <c r="E55" s="30" t="s">
        <v>550</v>
      </c>
      <c r="F55" t="s">
        <v>282</v>
      </c>
      <c r="G55" t="s">
        <v>480</v>
      </c>
      <c r="H55" s="47">
        <v>60000</v>
      </c>
      <c r="I55" s="47">
        <v>9400</v>
      </c>
      <c r="J55" s="47">
        <v>8715.94</v>
      </c>
      <c r="K55" s="47">
        <v>7819.06</v>
      </c>
      <c r="L55" s="42">
        <f t="shared" si="16"/>
        <v>0.92722765957446818</v>
      </c>
      <c r="M55" s="13">
        <f t="shared" si="17"/>
        <v>0.14526566666666668</v>
      </c>
      <c r="N55" s="13">
        <f t="shared" si="18"/>
        <v>1.1147043250723232</v>
      </c>
      <c r="O55" s="97">
        <f t="shared" si="19"/>
        <v>51284.06</v>
      </c>
      <c r="P55" s="106"/>
      <c r="Q55" s="50">
        <v>100</v>
      </c>
      <c r="R55" s="12">
        <v>55.8</v>
      </c>
      <c r="S55" s="12">
        <v>337.7</v>
      </c>
      <c r="T55" s="42">
        <f t="shared" si="24"/>
        <v>0.55799999999999994</v>
      </c>
      <c r="U55" s="13">
        <f t="shared" ref="U55:U86" si="26">R55/H55</f>
        <v>9.2999999999999995E-4</v>
      </c>
      <c r="V55" s="13">
        <f t="shared" si="25"/>
        <v>0.16523541604974828</v>
      </c>
      <c r="W55" s="39">
        <f t="shared" ref="W55:W86" si="27">H55-Q55</f>
        <v>59900</v>
      </c>
      <c r="AB55" t="s">
        <v>83</v>
      </c>
      <c r="AC55">
        <v>205000</v>
      </c>
    </row>
    <row r="56" spans="1:29" x14ac:dyDescent="0.25">
      <c r="A56" s="30" t="s">
        <v>276</v>
      </c>
      <c r="B56" t="s">
        <v>83</v>
      </c>
      <c r="C56" t="s">
        <v>85</v>
      </c>
      <c r="D56" t="s">
        <v>281</v>
      </c>
      <c r="E56" s="30" t="s">
        <v>550</v>
      </c>
      <c r="F56" t="s">
        <v>282</v>
      </c>
      <c r="G56" t="s">
        <v>482</v>
      </c>
      <c r="H56" s="47">
        <v>205000</v>
      </c>
      <c r="I56" s="47">
        <v>72000</v>
      </c>
      <c r="J56" s="47">
        <v>70759</v>
      </c>
      <c r="K56" s="47">
        <v>48301.62</v>
      </c>
      <c r="L56" s="42">
        <f t="shared" si="16"/>
        <v>0.98276388888888888</v>
      </c>
      <c r="M56" s="13">
        <f t="shared" si="17"/>
        <v>0.34516585365853658</v>
      </c>
      <c r="N56" s="13">
        <f t="shared" si="18"/>
        <v>1.4649405133823667</v>
      </c>
      <c r="O56" s="97">
        <f t="shared" si="19"/>
        <v>134241</v>
      </c>
      <c r="P56" s="106"/>
      <c r="Q56" s="50">
        <v>21500</v>
      </c>
      <c r="R56" s="12">
        <v>17263.330000000002</v>
      </c>
      <c r="S56" s="12">
        <v>7899.84</v>
      </c>
      <c r="T56" s="42">
        <f t="shared" si="24"/>
        <v>0.80294558139534888</v>
      </c>
      <c r="U56" s="13">
        <f t="shared" si="26"/>
        <v>8.4211365853658543E-2</v>
      </c>
      <c r="V56" s="13">
        <f t="shared" si="25"/>
        <v>2.185275904322113</v>
      </c>
      <c r="W56" s="39">
        <f t="shared" si="27"/>
        <v>183500</v>
      </c>
      <c r="AB56" t="s">
        <v>94</v>
      </c>
      <c r="AC56">
        <v>233000</v>
      </c>
    </row>
    <row r="57" spans="1:29" x14ac:dyDescent="0.25">
      <c r="A57" s="30" t="s">
        <v>276</v>
      </c>
      <c r="B57" t="s">
        <v>94</v>
      </c>
      <c r="C57" t="s">
        <v>96</v>
      </c>
      <c r="D57" t="s">
        <v>281</v>
      </c>
      <c r="E57" s="30" t="s">
        <v>550</v>
      </c>
      <c r="F57" t="s">
        <v>282</v>
      </c>
      <c r="G57" t="s">
        <v>484</v>
      </c>
      <c r="H57" s="47">
        <v>233000</v>
      </c>
      <c r="I57" s="47">
        <v>46000</v>
      </c>
      <c r="J57" s="47">
        <v>45541.55</v>
      </c>
      <c r="K57" s="47">
        <v>126030.77</v>
      </c>
      <c r="L57" s="42">
        <f t="shared" si="16"/>
        <v>0.99003369565217403</v>
      </c>
      <c r="M57" s="13">
        <f t="shared" si="17"/>
        <v>0.19545729613733906</v>
      </c>
      <c r="N57" s="13">
        <f t="shared" si="18"/>
        <v>0.36135262840971299</v>
      </c>
      <c r="O57" s="97">
        <f t="shared" si="19"/>
        <v>187458.45</v>
      </c>
      <c r="P57" s="106"/>
      <c r="Q57" s="50">
        <v>25000</v>
      </c>
      <c r="R57" s="12">
        <v>20437.580000000002</v>
      </c>
      <c r="S57" s="12">
        <v>3002.4</v>
      </c>
      <c r="T57" s="42">
        <f t="shared" si="24"/>
        <v>0.8175032000000001</v>
      </c>
      <c r="U57" s="13">
        <f t="shared" si="26"/>
        <v>8.7714935622317608E-2</v>
      </c>
      <c r="V57" s="13">
        <f t="shared" si="25"/>
        <v>6.8070810018651748</v>
      </c>
      <c r="W57" s="39">
        <f t="shared" si="27"/>
        <v>208000</v>
      </c>
      <c r="AB57" t="s">
        <v>101</v>
      </c>
      <c r="AC57">
        <v>186000</v>
      </c>
    </row>
    <row r="58" spans="1:29" x14ac:dyDescent="0.25">
      <c r="A58" s="30" t="s">
        <v>276</v>
      </c>
      <c r="B58" t="s">
        <v>101</v>
      </c>
      <c r="C58" t="s">
        <v>103</v>
      </c>
      <c r="D58" t="s">
        <v>281</v>
      </c>
      <c r="E58" s="30" t="s">
        <v>550</v>
      </c>
      <c r="F58" t="s">
        <v>282</v>
      </c>
      <c r="G58" t="s">
        <v>486</v>
      </c>
      <c r="H58" s="47">
        <v>186000</v>
      </c>
      <c r="I58" s="47">
        <v>40000</v>
      </c>
      <c r="J58" s="47">
        <v>39688.22</v>
      </c>
      <c r="K58" s="47">
        <v>44256.24</v>
      </c>
      <c r="L58" s="42">
        <f t="shared" si="16"/>
        <v>0.99220550000000007</v>
      </c>
      <c r="M58" s="13">
        <f t="shared" si="17"/>
        <v>0.21337752688172043</v>
      </c>
      <c r="N58" s="13">
        <f t="shared" si="18"/>
        <v>0.89678246502640091</v>
      </c>
      <c r="O58" s="97">
        <f t="shared" si="19"/>
        <v>146311.78</v>
      </c>
      <c r="P58" s="106"/>
      <c r="Q58" s="105">
        <v>22000</v>
      </c>
      <c r="R58" s="12">
        <v>18387.39</v>
      </c>
      <c r="S58" s="12">
        <v>14988.95</v>
      </c>
      <c r="T58" s="42">
        <f t="shared" si="24"/>
        <v>0.83579045454545453</v>
      </c>
      <c r="U58" s="13">
        <f t="shared" si="26"/>
        <v>9.8856935483870964E-2</v>
      </c>
      <c r="V58" s="13">
        <f t="shared" si="25"/>
        <v>1.2267296908722758</v>
      </c>
      <c r="W58" s="39">
        <f t="shared" si="27"/>
        <v>164000</v>
      </c>
      <c r="AB58" t="s">
        <v>110</v>
      </c>
      <c r="AC58">
        <v>74500</v>
      </c>
    </row>
    <row r="59" spans="1:29" x14ac:dyDescent="0.25">
      <c r="A59" s="30" t="s">
        <v>276</v>
      </c>
      <c r="B59" t="s">
        <v>110</v>
      </c>
      <c r="C59" t="s">
        <v>112</v>
      </c>
      <c r="D59" t="s">
        <v>281</v>
      </c>
      <c r="E59" s="30" t="s">
        <v>550</v>
      </c>
      <c r="F59" t="s">
        <v>282</v>
      </c>
      <c r="G59" t="s">
        <v>487</v>
      </c>
      <c r="H59" s="47">
        <v>74500</v>
      </c>
      <c r="I59" s="47">
        <v>15000</v>
      </c>
      <c r="J59" s="47">
        <v>14738.53</v>
      </c>
      <c r="K59" s="47">
        <v>26040.1</v>
      </c>
      <c r="L59" s="42">
        <f t="shared" si="16"/>
        <v>0.98256866666666676</v>
      </c>
      <c r="M59" s="13">
        <f t="shared" si="17"/>
        <v>0.19783261744966443</v>
      </c>
      <c r="N59" s="13">
        <f t="shared" si="18"/>
        <v>0.56599360217510686</v>
      </c>
      <c r="O59" s="97">
        <f t="shared" si="19"/>
        <v>59761.47</v>
      </c>
      <c r="P59" s="106"/>
      <c r="Q59" s="50">
        <v>5800</v>
      </c>
      <c r="R59" s="12">
        <v>4744.8999999999996</v>
      </c>
      <c r="S59" s="12">
        <v>9426.07</v>
      </c>
      <c r="T59" s="42">
        <f t="shared" si="24"/>
        <v>0.81808620689655165</v>
      </c>
      <c r="U59" s="13">
        <f t="shared" si="26"/>
        <v>6.3689932885906034E-2</v>
      </c>
      <c r="V59" s="13">
        <f t="shared" si="25"/>
        <v>0.50338051807381012</v>
      </c>
      <c r="W59" s="39">
        <f t="shared" si="27"/>
        <v>68700</v>
      </c>
      <c r="AB59" t="s">
        <v>119</v>
      </c>
      <c r="AC59">
        <v>112000</v>
      </c>
    </row>
    <row r="60" spans="1:29" x14ac:dyDescent="0.25">
      <c r="A60" s="30" t="s">
        <v>276</v>
      </c>
      <c r="B60" t="s">
        <v>119</v>
      </c>
      <c r="C60" t="s">
        <v>121</v>
      </c>
      <c r="D60" t="s">
        <v>281</v>
      </c>
      <c r="E60" s="30" t="s">
        <v>550</v>
      </c>
      <c r="F60" t="s">
        <v>282</v>
      </c>
      <c r="G60" t="s">
        <v>488</v>
      </c>
      <c r="H60" s="47">
        <v>112000</v>
      </c>
      <c r="I60" s="47">
        <v>20000</v>
      </c>
      <c r="J60" s="47">
        <v>18934.169999999998</v>
      </c>
      <c r="K60" s="47">
        <v>42260.24</v>
      </c>
      <c r="L60" s="42">
        <f t="shared" si="16"/>
        <v>0.94670849999999995</v>
      </c>
      <c r="M60" s="13">
        <f t="shared" si="17"/>
        <v>0.16905508928571428</v>
      </c>
      <c r="N60" s="13">
        <f t="shared" si="18"/>
        <v>0.44803744607224189</v>
      </c>
      <c r="O60" s="97">
        <f t="shared" si="19"/>
        <v>93065.83</v>
      </c>
      <c r="P60" s="106"/>
      <c r="Q60" s="50">
        <v>11000</v>
      </c>
      <c r="R60" s="12">
        <v>8944.7900000000009</v>
      </c>
      <c r="S60" s="12">
        <v>17168.02</v>
      </c>
      <c r="T60" s="42">
        <f t="shared" si="24"/>
        <v>0.81316272727272731</v>
      </c>
      <c r="U60" s="13">
        <f t="shared" si="26"/>
        <v>7.9864196428571441E-2</v>
      </c>
      <c r="V60" s="13">
        <f t="shared" si="25"/>
        <v>0.52101465399038449</v>
      </c>
      <c r="W60" s="39">
        <f t="shared" si="27"/>
        <v>101000</v>
      </c>
      <c r="AB60" t="s">
        <v>127</v>
      </c>
      <c r="AC60">
        <v>103000</v>
      </c>
    </row>
    <row r="61" spans="1:29" x14ac:dyDescent="0.25">
      <c r="A61" s="30" t="s">
        <v>276</v>
      </c>
      <c r="B61" t="s">
        <v>127</v>
      </c>
      <c r="C61" t="s">
        <v>128</v>
      </c>
      <c r="D61" t="s">
        <v>281</v>
      </c>
      <c r="E61" s="30" t="s">
        <v>550</v>
      </c>
      <c r="F61" t="s">
        <v>282</v>
      </c>
      <c r="G61" t="s">
        <v>489</v>
      </c>
      <c r="H61" s="47">
        <v>103000</v>
      </c>
      <c r="I61" s="47">
        <v>36000</v>
      </c>
      <c r="J61" s="47">
        <v>35236.589999999997</v>
      </c>
      <c r="K61" s="47">
        <v>40168.29</v>
      </c>
      <c r="L61" s="42">
        <f t="shared" si="16"/>
        <v>0.97879416666666652</v>
      </c>
      <c r="M61" s="13">
        <f t="shared" si="17"/>
        <v>0.34210281553398053</v>
      </c>
      <c r="N61" s="13">
        <f t="shared" si="18"/>
        <v>0.87722404911934249</v>
      </c>
      <c r="O61" s="97">
        <f t="shared" si="19"/>
        <v>67763.41</v>
      </c>
      <c r="P61" s="106"/>
      <c r="Q61" s="50">
        <f>17600+400+1000</f>
        <v>19000</v>
      </c>
      <c r="R61" s="12">
        <v>16543.060000000001</v>
      </c>
      <c r="S61" s="12">
        <v>15212.98</v>
      </c>
      <c r="T61" s="42">
        <f t="shared" si="24"/>
        <v>0.87068736842105265</v>
      </c>
      <c r="U61" s="13">
        <f t="shared" si="26"/>
        <v>0.16061223300970875</v>
      </c>
      <c r="V61" s="13">
        <f t="shared" si="25"/>
        <v>1.0874306020253759</v>
      </c>
      <c r="W61" s="39">
        <f t="shared" si="27"/>
        <v>84000</v>
      </c>
      <c r="AB61" t="s">
        <v>135</v>
      </c>
      <c r="AC61">
        <v>93000</v>
      </c>
    </row>
    <row r="62" spans="1:29" x14ac:dyDescent="0.25">
      <c r="A62" s="30" t="s">
        <v>276</v>
      </c>
      <c r="B62" t="s">
        <v>135</v>
      </c>
      <c r="C62" t="s">
        <v>137</v>
      </c>
      <c r="D62" t="s">
        <v>281</v>
      </c>
      <c r="E62" s="30" t="s">
        <v>550</v>
      </c>
      <c r="F62" t="s">
        <v>282</v>
      </c>
      <c r="G62" t="s">
        <v>490</v>
      </c>
      <c r="H62" s="47">
        <v>93000</v>
      </c>
      <c r="I62" s="47">
        <v>20000</v>
      </c>
      <c r="J62" s="47">
        <v>18690.27</v>
      </c>
      <c r="K62" s="47">
        <v>38391.78</v>
      </c>
      <c r="L62" s="42">
        <f t="shared" si="16"/>
        <v>0.9345135</v>
      </c>
      <c r="M62" s="13">
        <f t="shared" si="17"/>
        <v>0.20097064516129032</v>
      </c>
      <c r="N62" s="13">
        <f t="shared" si="18"/>
        <v>0.48682999329543986</v>
      </c>
      <c r="O62" s="97">
        <f t="shared" si="19"/>
        <v>74309.73</v>
      </c>
      <c r="P62" s="106"/>
      <c r="Q62" s="50">
        <v>3400</v>
      </c>
      <c r="R62" s="12">
        <v>2750.55</v>
      </c>
      <c r="S62" s="12">
        <v>13753.36</v>
      </c>
      <c r="T62" s="42">
        <f t="shared" si="24"/>
        <v>0.80898529411764708</v>
      </c>
      <c r="U62" s="13">
        <f t="shared" si="26"/>
        <v>2.9575806451612906E-2</v>
      </c>
      <c r="V62" s="13">
        <f t="shared" si="25"/>
        <v>0.19999112944036948</v>
      </c>
      <c r="W62" s="39">
        <f t="shared" si="27"/>
        <v>89600</v>
      </c>
      <c r="AB62" t="s">
        <v>143</v>
      </c>
      <c r="AC62">
        <v>130000</v>
      </c>
    </row>
    <row r="63" spans="1:29" x14ac:dyDescent="0.25">
      <c r="A63" s="30" t="s">
        <v>276</v>
      </c>
      <c r="B63" t="s">
        <v>143</v>
      </c>
      <c r="C63" t="s">
        <v>145</v>
      </c>
      <c r="D63" t="s">
        <v>281</v>
      </c>
      <c r="E63" s="30" t="s">
        <v>550</v>
      </c>
      <c r="F63" t="s">
        <v>282</v>
      </c>
      <c r="G63" t="s">
        <v>491</v>
      </c>
      <c r="H63" s="47">
        <v>130000</v>
      </c>
      <c r="I63" s="47">
        <v>54000</v>
      </c>
      <c r="J63" s="47">
        <v>53032.3</v>
      </c>
      <c r="K63" s="47">
        <v>51400.59</v>
      </c>
      <c r="L63" s="42">
        <f t="shared" si="16"/>
        <v>0.98207962962962969</v>
      </c>
      <c r="M63" s="13">
        <f t="shared" si="17"/>
        <v>0.40794076923076927</v>
      </c>
      <c r="N63" s="13">
        <f t="shared" si="18"/>
        <v>1.0317449663515537</v>
      </c>
      <c r="O63" s="97">
        <f t="shared" si="19"/>
        <v>76967.7</v>
      </c>
      <c r="P63" s="106"/>
      <c r="Q63" s="50">
        <v>18500</v>
      </c>
      <c r="R63" s="12">
        <v>16294.99</v>
      </c>
      <c r="S63" s="12">
        <v>16827.47</v>
      </c>
      <c r="T63" s="42">
        <f t="shared" si="24"/>
        <v>0.88081027027027026</v>
      </c>
      <c r="U63" s="13">
        <f t="shared" si="26"/>
        <v>0.12534607692307692</v>
      </c>
      <c r="V63" s="13">
        <f t="shared" si="25"/>
        <v>0.96835650278978358</v>
      </c>
      <c r="W63" s="39">
        <f t="shared" si="27"/>
        <v>111500</v>
      </c>
      <c r="AB63" t="s">
        <v>151</v>
      </c>
      <c r="AC63">
        <v>88000</v>
      </c>
    </row>
    <row r="64" spans="1:29" x14ac:dyDescent="0.25">
      <c r="A64" s="30" t="s">
        <v>276</v>
      </c>
      <c r="B64" t="s">
        <v>151</v>
      </c>
      <c r="C64" t="s">
        <v>153</v>
      </c>
      <c r="D64" t="s">
        <v>281</v>
      </c>
      <c r="E64" s="30" t="s">
        <v>550</v>
      </c>
      <c r="F64" t="s">
        <v>282</v>
      </c>
      <c r="G64" t="s">
        <v>493</v>
      </c>
      <c r="H64" s="47">
        <v>88000</v>
      </c>
      <c r="I64" s="47">
        <v>26000</v>
      </c>
      <c r="J64" s="47">
        <v>24461.07</v>
      </c>
      <c r="K64" s="47">
        <v>24464.55</v>
      </c>
      <c r="L64" s="42">
        <f t="shared" si="16"/>
        <v>0.94081038461538458</v>
      </c>
      <c r="M64" s="13">
        <f t="shared" si="17"/>
        <v>0.27796670454545452</v>
      </c>
      <c r="N64" s="13">
        <f t="shared" si="18"/>
        <v>0.99985775336149652</v>
      </c>
      <c r="O64" s="97">
        <f t="shared" si="19"/>
        <v>63538.93</v>
      </c>
      <c r="P64" s="106"/>
      <c r="Q64" s="50">
        <v>13500</v>
      </c>
      <c r="R64" s="12">
        <v>11751.85</v>
      </c>
      <c r="S64" s="12">
        <v>7245.57</v>
      </c>
      <c r="T64" s="42">
        <f t="shared" si="24"/>
        <v>0.8705074074074074</v>
      </c>
      <c r="U64" s="13">
        <f t="shared" si="26"/>
        <v>0.13354375000000002</v>
      </c>
      <c r="V64" s="13">
        <f t="shared" si="25"/>
        <v>1.6219358863415854</v>
      </c>
      <c r="W64" s="39">
        <f t="shared" si="27"/>
        <v>74500</v>
      </c>
      <c r="AB64" t="s">
        <v>159</v>
      </c>
      <c r="AC64">
        <v>65000</v>
      </c>
    </row>
    <row r="65" spans="1:29" x14ac:dyDescent="0.25">
      <c r="A65" s="30" t="s">
        <v>276</v>
      </c>
      <c r="B65" t="s">
        <v>159</v>
      </c>
      <c r="C65" t="s">
        <v>161</v>
      </c>
      <c r="D65" t="s">
        <v>281</v>
      </c>
      <c r="E65" s="30" t="s">
        <v>550</v>
      </c>
      <c r="F65" t="s">
        <v>282</v>
      </c>
      <c r="G65" t="s">
        <v>495</v>
      </c>
      <c r="H65" s="47">
        <v>65000</v>
      </c>
      <c r="I65" s="47">
        <v>22000</v>
      </c>
      <c r="J65" s="47">
        <v>21488.93</v>
      </c>
      <c r="K65" s="47">
        <v>31882.46</v>
      </c>
      <c r="L65" s="42">
        <f t="shared" si="16"/>
        <v>0.97676954545454542</v>
      </c>
      <c r="M65" s="13">
        <f t="shared" si="17"/>
        <v>0.33059892307692307</v>
      </c>
      <c r="N65" s="13">
        <f t="shared" si="18"/>
        <v>0.67400476625705796</v>
      </c>
      <c r="O65" s="97">
        <f t="shared" si="19"/>
        <v>43511.07</v>
      </c>
      <c r="P65" s="106"/>
      <c r="Q65" s="50">
        <v>7500</v>
      </c>
      <c r="R65" s="12">
        <v>6116.66</v>
      </c>
      <c r="S65" s="12">
        <v>12475.22</v>
      </c>
      <c r="T65" s="42">
        <f t="shared" si="24"/>
        <v>0.81555466666666665</v>
      </c>
      <c r="U65" s="13">
        <f t="shared" si="26"/>
        <v>9.4102461538461538E-2</v>
      </c>
      <c r="V65" s="13">
        <f t="shared" si="25"/>
        <v>0.49030478019626106</v>
      </c>
      <c r="W65" s="39">
        <f t="shared" si="27"/>
        <v>57500</v>
      </c>
      <c r="AB65" t="s">
        <v>170</v>
      </c>
      <c r="AC65">
        <v>70000</v>
      </c>
    </row>
    <row r="66" spans="1:29" x14ac:dyDescent="0.25">
      <c r="A66" s="30" t="s">
        <v>276</v>
      </c>
      <c r="B66" t="s">
        <v>170</v>
      </c>
      <c r="C66" t="s">
        <v>172</v>
      </c>
      <c r="D66" t="s">
        <v>281</v>
      </c>
      <c r="E66" s="30" t="s">
        <v>550</v>
      </c>
      <c r="F66" t="s">
        <v>282</v>
      </c>
      <c r="G66" t="s">
        <v>496</v>
      </c>
      <c r="H66" s="47">
        <v>70000</v>
      </c>
      <c r="I66" s="47">
        <v>22000</v>
      </c>
      <c r="J66" s="47">
        <v>21961.4</v>
      </c>
      <c r="K66" s="47">
        <v>15638.78</v>
      </c>
      <c r="L66" s="42">
        <f t="shared" si="16"/>
        <v>0.99824545454545466</v>
      </c>
      <c r="M66" s="13">
        <f t="shared" si="17"/>
        <v>0.31373428571428574</v>
      </c>
      <c r="N66" s="13">
        <f t="shared" si="18"/>
        <v>1.4042911275687746</v>
      </c>
      <c r="O66" s="97">
        <f t="shared" si="19"/>
        <v>48038.6</v>
      </c>
      <c r="P66" s="106"/>
      <c r="Q66" s="50">
        <v>8200</v>
      </c>
      <c r="R66" s="12">
        <v>7121.17</v>
      </c>
      <c r="S66" s="12">
        <v>3619.26</v>
      </c>
      <c r="T66" s="42">
        <f t="shared" si="24"/>
        <v>0.86843536585365855</v>
      </c>
      <c r="U66" s="13">
        <f t="shared" si="26"/>
        <v>0.101731</v>
      </c>
      <c r="V66" s="13">
        <f t="shared" si="25"/>
        <v>1.9675762448677352</v>
      </c>
      <c r="W66" s="39">
        <f t="shared" si="27"/>
        <v>61800</v>
      </c>
      <c r="AB66" t="s">
        <v>179</v>
      </c>
      <c r="AC66">
        <v>139500</v>
      </c>
    </row>
    <row r="67" spans="1:29" x14ac:dyDescent="0.25">
      <c r="A67" s="30" t="s">
        <v>276</v>
      </c>
      <c r="B67" t="s">
        <v>179</v>
      </c>
      <c r="C67" t="s">
        <v>181</v>
      </c>
      <c r="D67" t="s">
        <v>281</v>
      </c>
      <c r="E67" s="30" t="s">
        <v>550</v>
      </c>
      <c r="F67" t="s">
        <v>282</v>
      </c>
      <c r="G67" t="s">
        <v>497</v>
      </c>
      <c r="H67" s="47">
        <v>139500</v>
      </c>
      <c r="I67" s="47">
        <v>34000</v>
      </c>
      <c r="J67" s="47">
        <v>33696.129999999997</v>
      </c>
      <c r="K67" s="47">
        <v>71484.100000000006</v>
      </c>
      <c r="L67" s="42">
        <f t="shared" si="16"/>
        <v>0.99106264705882341</v>
      </c>
      <c r="M67" s="13">
        <f t="shared" si="17"/>
        <v>0.24154931899641574</v>
      </c>
      <c r="N67" s="13">
        <f t="shared" si="18"/>
        <v>0.47137936967801225</v>
      </c>
      <c r="O67" s="97">
        <f t="shared" si="19"/>
        <v>105803.87</v>
      </c>
      <c r="P67" s="106"/>
      <c r="Q67" s="50">
        <v>18500</v>
      </c>
      <c r="R67" s="12">
        <v>16114.7</v>
      </c>
      <c r="S67" s="12">
        <v>35864.199999999997</v>
      </c>
      <c r="T67" s="42">
        <f t="shared" si="24"/>
        <v>0.8710648648648649</v>
      </c>
      <c r="U67" s="13">
        <f t="shared" si="26"/>
        <v>0.11551756272401434</v>
      </c>
      <c r="V67" s="13">
        <f t="shared" si="25"/>
        <v>0.44932551123404402</v>
      </c>
      <c r="W67" s="39">
        <f t="shared" si="27"/>
        <v>121000</v>
      </c>
      <c r="AB67" t="s">
        <v>189</v>
      </c>
      <c r="AC67">
        <v>84000</v>
      </c>
    </row>
    <row r="68" spans="1:29" x14ac:dyDescent="0.25">
      <c r="A68" s="30" t="s">
        <v>276</v>
      </c>
      <c r="B68" t="s">
        <v>189</v>
      </c>
      <c r="C68" t="s">
        <v>191</v>
      </c>
      <c r="D68" t="s">
        <v>281</v>
      </c>
      <c r="E68" s="30" t="s">
        <v>550</v>
      </c>
      <c r="F68" t="s">
        <v>282</v>
      </c>
      <c r="G68" t="s">
        <v>498</v>
      </c>
      <c r="H68" s="47">
        <v>84000</v>
      </c>
      <c r="I68" s="47">
        <v>27000</v>
      </c>
      <c r="J68" s="47">
        <v>26133.61</v>
      </c>
      <c r="K68" s="47">
        <v>40809.519999999997</v>
      </c>
      <c r="L68" s="42">
        <f t="shared" si="16"/>
        <v>0.96791148148148154</v>
      </c>
      <c r="M68" s="13">
        <f t="shared" si="17"/>
        <v>0.31111440476190477</v>
      </c>
      <c r="N68" s="13">
        <f t="shared" si="18"/>
        <v>0.64038023480795669</v>
      </c>
      <c r="O68" s="97">
        <f t="shared" si="19"/>
        <v>57866.39</v>
      </c>
      <c r="P68" s="106"/>
      <c r="Q68" s="50">
        <v>16000</v>
      </c>
      <c r="R68" s="12">
        <v>14230.91</v>
      </c>
      <c r="S68" s="12">
        <v>17108.29</v>
      </c>
      <c r="T68" s="42">
        <f t="shared" si="24"/>
        <v>0.88943187499999998</v>
      </c>
      <c r="U68" s="13">
        <f t="shared" si="26"/>
        <v>0.16941559523809524</v>
      </c>
      <c r="V68" s="13">
        <f t="shared" si="25"/>
        <v>0.83181369967425145</v>
      </c>
      <c r="W68" s="39">
        <f t="shared" si="27"/>
        <v>68000</v>
      </c>
      <c r="AB68" t="s">
        <v>198</v>
      </c>
      <c r="AC68">
        <v>126000</v>
      </c>
    </row>
    <row r="69" spans="1:29" x14ac:dyDescent="0.25">
      <c r="A69" s="30" t="s">
        <v>276</v>
      </c>
      <c r="B69" t="s">
        <v>198</v>
      </c>
      <c r="C69" t="s">
        <v>200</v>
      </c>
      <c r="D69" t="s">
        <v>281</v>
      </c>
      <c r="E69" s="30" t="s">
        <v>550</v>
      </c>
      <c r="F69" t="s">
        <v>282</v>
      </c>
      <c r="G69" t="s">
        <v>499</v>
      </c>
      <c r="H69" s="47">
        <v>126000</v>
      </c>
      <c r="I69" s="47">
        <v>47000</v>
      </c>
      <c r="J69" s="47">
        <v>46210.879999999997</v>
      </c>
      <c r="K69" s="47">
        <v>49083.43</v>
      </c>
      <c r="L69" s="42">
        <f t="shared" si="16"/>
        <v>0.98321021276595744</v>
      </c>
      <c r="M69" s="13">
        <f t="shared" si="17"/>
        <v>0.36675301587301584</v>
      </c>
      <c r="N69" s="13">
        <f t="shared" si="18"/>
        <v>0.9414761763796865</v>
      </c>
      <c r="O69" s="97">
        <f t="shared" si="19"/>
        <v>79789.119999999995</v>
      </c>
      <c r="P69" s="106"/>
      <c r="Q69" s="50">
        <v>23000</v>
      </c>
      <c r="R69" s="12">
        <v>20275.8</v>
      </c>
      <c r="S69" s="12">
        <v>14327.07</v>
      </c>
      <c r="T69" s="42">
        <f t="shared" si="24"/>
        <v>0.88155652173913035</v>
      </c>
      <c r="U69" s="13">
        <f t="shared" si="26"/>
        <v>0.1609190476190476</v>
      </c>
      <c r="V69" s="13">
        <f t="shared" si="25"/>
        <v>1.4152091111441487</v>
      </c>
      <c r="W69" s="39">
        <f t="shared" si="27"/>
        <v>103000</v>
      </c>
      <c r="AB69" t="s">
        <v>206</v>
      </c>
      <c r="AC69">
        <v>74000</v>
      </c>
    </row>
    <row r="70" spans="1:29" x14ac:dyDescent="0.25">
      <c r="A70" s="30" t="s">
        <v>276</v>
      </c>
      <c r="B70" t="s">
        <v>206</v>
      </c>
      <c r="C70" t="s">
        <v>208</v>
      </c>
      <c r="D70" t="s">
        <v>281</v>
      </c>
      <c r="E70" s="30" t="s">
        <v>550</v>
      </c>
      <c r="F70" t="s">
        <v>282</v>
      </c>
      <c r="G70" t="s">
        <v>500</v>
      </c>
      <c r="H70" s="47">
        <v>74000</v>
      </c>
      <c r="I70" s="47">
        <v>25000</v>
      </c>
      <c r="J70" s="47">
        <v>24999.69</v>
      </c>
      <c r="K70" s="47">
        <v>17385.009999999998</v>
      </c>
      <c r="L70" s="42">
        <f t="shared" si="16"/>
        <v>0.99998759999999998</v>
      </c>
      <c r="M70" s="13">
        <f t="shared" si="17"/>
        <v>0.33783364864864862</v>
      </c>
      <c r="N70" s="13">
        <f t="shared" si="18"/>
        <v>1.4380026240997275</v>
      </c>
      <c r="O70" s="97">
        <f t="shared" si="19"/>
        <v>49000.31</v>
      </c>
      <c r="P70" s="106"/>
      <c r="Q70" s="50">
        <v>9500</v>
      </c>
      <c r="R70" s="12">
        <v>8241.77</v>
      </c>
      <c r="S70" s="12">
        <v>6438.7</v>
      </c>
      <c r="T70" s="42">
        <f t="shared" si="24"/>
        <v>0.86755473684210527</v>
      </c>
      <c r="U70" s="13">
        <f t="shared" si="26"/>
        <v>0.11137527027027028</v>
      </c>
      <c r="V70" s="13">
        <f t="shared" si="25"/>
        <v>1.2800363427399941</v>
      </c>
      <c r="W70" s="39">
        <f t="shared" si="27"/>
        <v>64500</v>
      </c>
      <c r="AB70" t="s">
        <v>214</v>
      </c>
      <c r="AC70">
        <v>135000</v>
      </c>
    </row>
    <row r="71" spans="1:29" x14ac:dyDescent="0.25">
      <c r="A71" s="30" t="s">
        <v>276</v>
      </c>
      <c r="B71" t="s">
        <v>214</v>
      </c>
      <c r="C71" t="s">
        <v>216</v>
      </c>
      <c r="D71" t="s">
        <v>281</v>
      </c>
      <c r="E71" s="30" t="s">
        <v>550</v>
      </c>
      <c r="F71" t="s">
        <v>282</v>
      </c>
      <c r="G71" t="s">
        <v>501</v>
      </c>
      <c r="H71" s="47">
        <v>135000</v>
      </c>
      <c r="I71" s="47">
        <v>70000</v>
      </c>
      <c r="J71" s="47">
        <v>69178.05</v>
      </c>
      <c r="K71" s="47">
        <v>53023.29</v>
      </c>
      <c r="L71" s="42">
        <f t="shared" si="16"/>
        <v>0.98825785714285719</v>
      </c>
      <c r="M71" s="13">
        <f t="shared" si="17"/>
        <v>0.51243000000000005</v>
      </c>
      <c r="N71" s="13">
        <f t="shared" si="18"/>
        <v>1.3046729088293088</v>
      </c>
      <c r="O71" s="97">
        <f t="shared" si="19"/>
        <v>65821.95</v>
      </c>
      <c r="P71" s="106"/>
      <c r="Q71" s="50">
        <v>16000</v>
      </c>
      <c r="R71" s="12">
        <v>14201.11</v>
      </c>
      <c r="S71" s="12">
        <v>16994.330000000002</v>
      </c>
      <c r="T71" s="42">
        <f t="shared" si="24"/>
        <v>0.88756937499999999</v>
      </c>
      <c r="U71" s="13">
        <f t="shared" si="26"/>
        <v>0.10519340740740742</v>
      </c>
      <c r="V71" s="13">
        <f t="shared" si="25"/>
        <v>0.83563812165586993</v>
      </c>
      <c r="W71" s="39">
        <f t="shared" si="27"/>
        <v>119000</v>
      </c>
      <c r="AB71" t="s">
        <v>226</v>
      </c>
      <c r="AC71">
        <v>93000</v>
      </c>
    </row>
    <row r="72" spans="1:29" x14ac:dyDescent="0.25">
      <c r="A72" s="30" t="s">
        <v>276</v>
      </c>
      <c r="B72" t="s">
        <v>226</v>
      </c>
      <c r="C72" t="s">
        <v>228</v>
      </c>
      <c r="D72" t="s">
        <v>281</v>
      </c>
      <c r="E72" s="30" t="s">
        <v>550</v>
      </c>
      <c r="F72" t="s">
        <v>282</v>
      </c>
      <c r="G72" t="s">
        <v>502</v>
      </c>
      <c r="H72" s="47">
        <v>93000</v>
      </c>
      <c r="I72" s="47">
        <v>33000</v>
      </c>
      <c r="J72" s="47">
        <v>31961.72</v>
      </c>
      <c r="K72" s="47">
        <v>35490.01</v>
      </c>
      <c r="L72" s="42">
        <f t="shared" si="16"/>
        <v>0.96853696969696979</v>
      </c>
      <c r="M72" s="13">
        <f t="shared" si="17"/>
        <v>0.34367440860215054</v>
      </c>
      <c r="N72" s="13">
        <f t="shared" si="18"/>
        <v>0.90058357267298594</v>
      </c>
      <c r="O72" s="97">
        <f t="shared" si="19"/>
        <v>61038.28</v>
      </c>
      <c r="P72" s="106"/>
      <c r="Q72" s="50">
        <v>9000</v>
      </c>
      <c r="R72" s="12">
        <v>7836.22</v>
      </c>
      <c r="S72" s="12">
        <v>11325.42</v>
      </c>
      <c r="T72" s="42">
        <f t="shared" si="24"/>
        <v>0.87069111111111119</v>
      </c>
      <c r="U72" s="13">
        <f t="shared" si="26"/>
        <v>8.4260430107526887E-2</v>
      </c>
      <c r="V72" s="13">
        <f t="shared" si="25"/>
        <v>0.69191429545217753</v>
      </c>
      <c r="W72" s="39">
        <f t="shared" si="27"/>
        <v>84000</v>
      </c>
      <c r="AB72" t="s">
        <v>234</v>
      </c>
      <c r="AC72">
        <v>93000</v>
      </c>
    </row>
    <row r="73" spans="1:29" x14ac:dyDescent="0.25">
      <c r="A73" s="30" t="s">
        <v>276</v>
      </c>
      <c r="B73" t="s">
        <v>234</v>
      </c>
      <c r="C73" t="s">
        <v>236</v>
      </c>
      <c r="D73" t="s">
        <v>281</v>
      </c>
      <c r="E73" s="30" t="s">
        <v>550</v>
      </c>
      <c r="F73" t="s">
        <v>282</v>
      </c>
      <c r="G73" t="s">
        <v>503</v>
      </c>
      <c r="H73" s="47">
        <v>93000</v>
      </c>
      <c r="I73" s="47">
        <v>45000</v>
      </c>
      <c r="J73" s="47">
        <v>44385.61</v>
      </c>
      <c r="K73" s="47">
        <v>53247.32</v>
      </c>
      <c r="L73" s="42">
        <f t="shared" si="16"/>
        <v>0.98634688888888888</v>
      </c>
      <c r="M73" s="13">
        <f t="shared" si="17"/>
        <v>0.47726462365591399</v>
      </c>
      <c r="N73" s="13">
        <f t="shared" si="18"/>
        <v>0.83357453483104882</v>
      </c>
      <c r="O73" s="97">
        <f t="shared" si="19"/>
        <v>48614.39</v>
      </c>
      <c r="P73" s="106"/>
      <c r="Q73" s="50">
        <v>15000</v>
      </c>
      <c r="R73" s="12">
        <v>12871.84</v>
      </c>
      <c r="S73" s="12">
        <v>14694.24</v>
      </c>
      <c r="T73" s="42">
        <f t="shared" si="24"/>
        <v>0.8581226666666667</v>
      </c>
      <c r="U73" s="13">
        <f t="shared" si="26"/>
        <v>0.13840688172043011</v>
      </c>
      <c r="V73" s="13">
        <f t="shared" si="25"/>
        <v>0.87597861474972505</v>
      </c>
      <c r="W73" s="39">
        <f t="shared" si="27"/>
        <v>78000</v>
      </c>
      <c r="AB73" t="s">
        <v>241</v>
      </c>
      <c r="AC73">
        <v>93000</v>
      </c>
    </row>
    <row r="74" spans="1:29" x14ac:dyDescent="0.25">
      <c r="A74" s="30" t="s">
        <v>276</v>
      </c>
      <c r="B74" t="s">
        <v>241</v>
      </c>
      <c r="C74" t="s">
        <v>243</v>
      </c>
      <c r="D74" t="s">
        <v>281</v>
      </c>
      <c r="E74" s="30" t="s">
        <v>550</v>
      </c>
      <c r="F74" t="s">
        <v>282</v>
      </c>
      <c r="G74" t="s">
        <v>504</v>
      </c>
      <c r="H74" s="47">
        <v>93000</v>
      </c>
      <c r="I74" s="47">
        <v>38000</v>
      </c>
      <c r="J74" s="47">
        <v>36044.550000000003</v>
      </c>
      <c r="K74" s="47">
        <v>39785.919999999998</v>
      </c>
      <c r="L74" s="42">
        <f t="shared" si="16"/>
        <v>0.94854078947368425</v>
      </c>
      <c r="M74" s="13">
        <f t="shared" si="17"/>
        <v>0.38757580645161294</v>
      </c>
      <c r="N74" s="13">
        <f t="shared" si="18"/>
        <v>0.90596246109176326</v>
      </c>
      <c r="O74" s="97">
        <f t="shared" si="19"/>
        <v>56955.45</v>
      </c>
      <c r="P74" s="106"/>
      <c r="Q74" s="105">
        <v>11000</v>
      </c>
      <c r="R74" s="12">
        <v>9756.68</v>
      </c>
      <c r="S74" s="12">
        <v>11629.71</v>
      </c>
      <c r="T74" s="42">
        <f t="shared" si="24"/>
        <v>0.88697090909090914</v>
      </c>
      <c r="U74" s="13">
        <f t="shared" si="26"/>
        <v>0.10491053763440861</v>
      </c>
      <c r="V74" s="13">
        <f t="shared" si="25"/>
        <v>0.83894439328237769</v>
      </c>
      <c r="W74" s="39">
        <f t="shared" si="27"/>
        <v>82000</v>
      </c>
      <c r="AB74" t="s">
        <v>248</v>
      </c>
      <c r="AC74">
        <v>140000</v>
      </c>
    </row>
    <row r="75" spans="1:29" x14ac:dyDescent="0.25">
      <c r="A75" s="30" t="s">
        <v>276</v>
      </c>
      <c r="B75" t="s">
        <v>248</v>
      </c>
      <c r="C75" t="s">
        <v>250</v>
      </c>
      <c r="D75" t="s">
        <v>281</v>
      </c>
      <c r="E75" s="30" t="s">
        <v>550</v>
      </c>
      <c r="F75" t="s">
        <v>282</v>
      </c>
      <c r="G75" t="s">
        <v>505</v>
      </c>
      <c r="H75" s="47">
        <v>140000</v>
      </c>
      <c r="I75" s="47">
        <v>68000</v>
      </c>
      <c r="J75" s="47">
        <v>63988.24</v>
      </c>
      <c r="K75" s="47">
        <v>52881.99</v>
      </c>
      <c r="L75" s="42">
        <f t="shared" si="16"/>
        <v>0.94100352941176468</v>
      </c>
      <c r="M75" s="13">
        <f t="shared" si="17"/>
        <v>0.45705885714285716</v>
      </c>
      <c r="N75" s="13">
        <f t="shared" si="18"/>
        <v>1.2100195170416241</v>
      </c>
      <c r="O75" s="97">
        <f t="shared" si="19"/>
        <v>76011.760000000009</v>
      </c>
      <c r="P75" s="106"/>
      <c r="Q75" s="50">
        <v>18000</v>
      </c>
      <c r="R75" s="12">
        <v>15691.01</v>
      </c>
      <c r="S75" s="12">
        <v>23923.87</v>
      </c>
      <c r="T75" s="42">
        <f t="shared" si="24"/>
        <v>0.87172277777777774</v>
      </c>
      <c r="U75" s="13">
        <f t="shared" si="26"/>
        <v>0.11207864285714286</v>
      </c>
      <c r="V75" s="13">
        <f t="shared" si="25"/>
        <v>0.65587256576799657</v>
      </c>
      <c r="W75" s="39">
        <f t="shared" si="27"/>
        <v>122000</v>
      </c>
      <c r="AB75" t="s">
        <v>259</v>
      </c>
      <c r="AC75">
        <v>75000</v>
      </c>
    </row>
    <row r="76" spans="1:29" x14ac:dyDescent="0.25">
      <c r="A76" s="30" t="s">
        <v>276</v>
      </c>
      <c r="B76" t="s">
        <v>259</v>
      </c>
      <c r="C76" t="s">
        <v>261</v>
      </c>
      <c r="D76" t="s">
        <v>281</v>
      </c>
      <c r="E76" s="30" t="s">
        <v>550</v>
      </c>
      <c r="F76" t="s">
        <v>282</v>
      </c>
      <c r="G76" t="s">
        <v>506</v>
      </c>
      <c r="H76" s="47">
        <v>75000</v>
      </c>
      <c r="I76" s="47">
        <v>38000</v>
      </c>
      <c r="J76" s="47">
        <v>34582.89</v>
      </c>
      <c r="K76" s="47">
        <v>17442.91</v>
      </c>
      <c r="L76" s="42">
        <f t="shared" si="16"/>
        <v>0.91007605263157898</v>
      </c>
      <c r="M76" s="13">
        <f t="shared" si="17"/>
        <v>0.46110519999999999</v>
      </c>
      <c r="N76" s="13">
        <f t="shared" si="18"/>
        <v>1.9826330583601015</v>
      </c>
      <c r="O76" s="97">
        <f t="shared" si="19"/>
        <v>40417.11</v>
      </c>
      <c r="P76" s="106"/>
      <c r="Q76" s="50">
        <v>5500</v>
      </c>
      <c r="R76" s="12">
        <v>4892.97</v>
      </c>
      <c r="S76" s="12">
        <v>5091.38</v>
      </c>
      <c r="T76" s="42">
        <f t="shared" si="24"/>
        <v>0.88963090909090914</v>
      </c>
      <c r="U76" s="13">
        <f t="shared" si="26"/>
        <v>6.5239600000000009E-2</v>
      </c>
      <c r="V76" s="13">
        <f t="shared" si="25"/>
        <v>0.96103021184826121</v>
      </c>
      <c r="W76" s="39">
        <f t="shared" si="27"/>
        <v>69500</v>
      </c>
      <c r="AB76" t="s">
        <v>268</v>
      </c>
      <c r="AC76">
        <v>75000</v>
      </c>
    </row>
    <row r="77" spans="1:29" x14ac:dyDescent="0.25">
      <c r="A77" s="30" t="s">
        <v>276</v>
      </c>
      <c r="B77" t="s">
        <v>268</v>
      </c>
      <c r="C77" t="s">
        <v>270</v>
      </c>
      <c r="D77" t="s">
        <v>281</v>
      </c>
      <c r="E77" s="30" t="s">
        <v>550</v>
      </c>
      <c r="F77" t="s">
        <v>282</v>
      </c>
      <c r="G77" t="s">
        <v>507</v>
      </c>
      <c r="H77" s="47">
        <v>75000</v>
      </c>
      <c r="I77" s="47">
        <v>38000</v>
      </c>
      <c r="J77" s="47">
        <v>36583.51</v>
      </c>
      <c r="K77" s="47">
        <v>19814.79</v>
      </c>
      <c r="L77" s="42">
        <f t="shared" si="16"/>
        <v>0.96272394736842115</v>
      </c>
      <c r="M77" s="13">
        <f t="shared" si="17"/>
        <v>0.48778013333333337</v>
      </c>
      <c r="N77" s="13">
        <f t="shared" si="18"/>
        <v>1.8462729102857007</v>
      </c>
      <c r="O77" s="97">
        <f t="shared" si="19"/>
        <v>38416.49</v>
      </c>
      <c r="P77" s="106"/>
      <c r="Q77" s="105">
        <v>8800</v>
      </c>
      <c r="R77" s="12">
        <v>7203.44</v>
      </c>
      <c r="S77" s="12">
        <v>4594.3999999999996</v>
      </c>
      <c r="T77" s="42">
        <f t="shared" si="24"/>
        <v>0.81857272727272723</v>
      </c>
      <c r="U77" s="13">
        <f t="shared" si="26"/>
        <v>9.604586666666666E-2</v>
      </c>
      <c r="V77" s="13">
        <f t="shared" si="25"/>
        <v>1.5678739334842418</v>
      </c>
      <c r="W77" s="39">
        <f t="shared" si="27"/>
        <v>66200</v>
      </c>
    </row>
    <row r="78" spans="1:29" x14ac:dyDescent="0.25">
      <c r="A78" s="30" t="s">
        <v>276</v>
      </c>
      <c r="B78" t="s">
        <v>295</v>
      </c>
      <c r="C78" t="s">
        <v>296</v>
      </c>
      <c r="D78" t="s">
        <v>309</v>
      </c>
      <c r="E78" s="30" t="s">
        <v>551</v>
      </c>
      <c r="F78" t="s">
        <v>310</v>
      </c>
      <c r="G78" t="s">
        <v>460</v>
      </c>
      <c r="H78" s="47">
        <v>1550000</v>
      </c>
      <c r="I78" s="39">
        <v>585000</v>
      </c>
      <c r="J78" s="12">
        <v>555102.65</v>
      </c>
      <c r="K78" s="12">
        <v>569760.76</v>
      </c>
      <c r="L78" s="42">
        <f t="shared" ref="L78" si="28">J78/I78</f>
        <v>0.94889341880341882</v>
      </c>
      <c r="M78" s="13">
        <f t="shared" ref="M78" si="29">J78/H78</f>
        <v>0.35813074193548389</v>
      </c>
      <c r="N78" s="13">
        <f t="shared" ref="N78" si="30">J78/K78</f>
        <v>0.97427321951760948</v>
      </c>
      <c r="O78" s="97">
        <f t="shared" ref="O78" si="31">H78-J78</f>
        <v>994897.35</v>
      </c>
      <c r="P78" s="106"/>
      <c r="Q78" s="39">
        <v>266500</v>
      </c>
      <c r="R78">
        <v>218236.14</v>
      </c>
      <c r="S78">
        <v>216908.65</v>
      </c>
      <c r="T78" s="42">
        <f t="shared" ref="T78:T92" si="32">R78/Q78</f>
        <v>0.81889733583489688</v>
      </c>
      <c r="U78" s="13">
        <f t="shared" si="26"/>
        <v>0.14079750967741936</v>
      </c>
      <c r="V78" s="13">
        <f t="shared" ref="V78:V92" si="33">R78/S78</f>
        <v>1.0061200417779559</v>
      </c>
      <c r="W78" s="39">
        <f t="shared" si="27"/>
        <v>1283500</v>
      </c>
    </row>
    <row r="79" spans="1:29" x14ac:dyDescent="0.25">
      <c r="A79" s="30" t="s">
        <v>276</v>
      </c>
      <c r="B79" t="s">
        <v>329</v>
      </c>
      <c r="C79" t="s">
        <v>330</v>
      </c>
      <c r="D79" t="s">
        <v>309</v>
      </c>
      <c r="E79" s="30" t="s">
        <v>551</v>
      </c>
      <c r="F79" t="s">
        <v>310</v>
      </c>
      <c r="G79" t="s">
        <v>462</v>
      </c>
      <c r="H79" s="47">
        <v>100000</v>
      </c>
      <c r="I79" s="39">
        <v>17000</v>
      </c>
      <c r="J79" s="12">
        <v>14561.25</v>
      </c>
      <c r="K79" s="12">
        <v>28556.46</v>
      </c>
      <c r="L79" s="42">
        <f t="shared" ref="L79:L98" si="34">J79/I79</f>
        <v>0.85654411764705884</v>
      </c>
      <c r="M79" s="13">
        <f t="shared" ref="M79:M98" si="35">J79/H79</f>
        <v>0.14561250000000001</v>
      </c>
      <c r="N79" s="13">
        <f t="shared" ref="N79:N98" si="36">J79/K79</f>
        <v>0.50991089231648468</v>
      </c>
      <c r="O79" s="97">
        <f t="shared" ref="O79:O98" si="37">H79-J79</f>
        <v>85438.75</v>
      </c>
      <c r="P79" s="106"/>
      <c r="Q79" s="39">
        <v>9000</v>
      </c>
      <c r="R79">
        <v>7368.15</v>
      </c>
      <c r="S79">
        <v>21926.06</v>
      </c>
      <c r="T79" s="42">
        <f>R79/Q79</f>
        <v>0.81868333333333332</v>
      </c>
      <c r="U79" s="13">
        <f t="shared" si="26"/>
        <v>7.3681499999999997E-2</v>
      </c>
      <c r="V79" s="13">
        <f t="shared" si="33"/>
        <v>0.33604532688499433</v>
      </c>
      <c r="W79" s="39">
        <f t="shared" si="27"/>
        <v>91000</v>
      </c>
    </row>
    <row r="80" spans="1:29" x14ac:dyDescent="0.25">
      <c r="A80" s="30" t="s">
        <v>276</v>
      </c>
      <c r="B80" t="s">
        <v>110</v>
      </c>
      <c r="C80" t="s">
        <v>112</v>
      </c>
      <c r="D80" t="s">
        <v>309</v>
      </c>
      <c r="E80" s="30" t="s">
        <v>551</v>
      </c>
      <c r="F80" t="s">
        <v>310</v>
      </c>
      <c r="G80" t="s">
        <v>487</v>
      </c>
      <c r="H80" s="47">
        <v>40000</v>
      </c>
      <c r="I80" s="39">
        <v>20000</v>
      </c>
      <c r="J80" s="12">
        <v>17075.52</v>
      </c>
      <c r="K80" s="12">
        <v>12139.3</v>
      </c>
      <c r="L80" s="42">
        <f t="shared" si="34"/>
        <v>0.85377599999999998</v>
      </c>
      <c r="M80" s="13">
        <f t="shared" si="35"/>
        <v>0.42688799999999999</v>
      </c>
      <c r="N80" s="13">
        <f t="shared" si="36"/>
        <v>1.4066313543614541</v>
      </c>
      <c r="O80" s="97">
        <f t="shared" si="37"/>
        <v>22924.48</v>
      </c>
      <c r="P80" s="106"/>
      <c r="Q80" s="39">
        <v>5800</v>
      </c>
      <c r="R80">
        <v>5666.65</v>
      </c>
      <c r="S80">
        <v>6878.12</v>
      </c>
      <c r="T80" s="42">
        <f t="shared" si="32"/>
        <v>0.97700862068965511</v>
      </c>
      <c r="U80" s="13">
        <f t="shared" si="26"/>
        <v>0.14166624999999999</v>
      </c>
      <c r="V80" s="13">
        <f t="shared" si="33"/>
        <v>0.82386611457782066</v>
      </c>
      <c r="W80" s="39">
        <f t="shared" si="27"/>
        <v>34200</v>
      </c>
    </row>
    <row r="81" spans="1:23" x14ac:dyDescent="0.25">
      <c r="A81" s="30" t="s">
        <v>276</v>
      </c>
      <c r="B81" t="s">
        <v>119</v>
      </c>
      <c r="C81" t="s">
        <v>121</v>
      </c>
      <c r="D81" t="s">
        <v>309</v>
      </c>
      <c r="E81" s="30" t="s">
        <v>551</v>
      </c>
      <c r="F81" t="s">
        <v>310</v>
      </c>
      <c r="G81" t="s">
        <v>488</v>
      </c>
      <c r="H81" s="47">
        <v>70000</v>
      </c>
      <c r="I81" s="39">
        <v>26000</v>
      </c>
      <c r="J81" s="12">
        <v>24025.25</v>
      </c>
      <c r="K81" s="12">
        <v>26823.19</v>
      </c>
      <c r="L81" s="42">
        <f t="shared" si="34"/>
        <v>0.92404807692307689</v>
      </c>
      <c r="M81" s="13">
        <f t="shared" si="35"/>
        <v>0.34321785714285713</v>
      </c>
      <c r="N81" s="13">
        <f t="shared" si="36"/>
        <v>0.89568951343967673</v>
      </c>
      <c r="O81" s="97">
        <f t="shared" si="37"/>
        <v>45974.75</v>
      </c>
      <c r="P81" s="106"/>
      <c r="Q81" s="39">
        <v>9600</v>
      </c>
      <c r="R81">
        <v>9357.75</v>
      </c>
      <c r="S81">
        <v>10701.89</v>
      </c>
      <c r="T81" s="42">
        <f t="shared" si="32"/>
        <v>0.97476562499999997</v>
      </c>
      <c r="U81" s="13">
        <f t="shared" si="26"/>
        <v>0.13368214285714286</v>
      </c>
      <c r="V81" s="13">
        <f t="shared" si="33"/>
        <v>0.87440162438597302</v>
      </c>
      <c r="W81" s="39">
        <f t="shared" si="27"/>
        <v>60400</v>
      </c>
    </row>
    <row r="82" spans="1:23" x14ac:dyDescent="0.25">
      <c r="A82" s="30" t="s">
        <v>276</v>
      </c>
      <c r="B82" t="s">
        <v>127</v>
      </c>
      <c r="C82" t="s">
        <v>128</v>
      </c>
      <c r="D82" t="s">
        <v>309</v>
      </c>
      <c r="E82" s="30" t="s">
        <v>551</v>
      </c>
      <c r="F82" t="s">
        <v>310</v>
      </c>
      <c r="G82" t="s">
        <v>489</v>
      </c>
      <c r="H82" s="47">
        <v>45000</v>
      </c>
      <c r="I82" s="39">
        <v>13000</v>
      </c>
      <c r="J82" s="12">
        <v>11351.15</v>
      </c>
      <c r="K82" s="12">
        <v>8613.6</v>
      </c>
      <c r="L82" s="42">
        <f t="shared" si="34"/>
        <v>0.87316538461538462</v>
      </c>
      <c r="M82" s="13">
        <f t="shared" si="35"/>
        <v>0.25224777777777779</v>
      </c>
      <c r="N82" s="13">
        <f t="shared" si="36"/>
        <v>1.317817172842946</v>
      </c>
      <c r="O82" s="97">
        <f t="shared" si="37"/>
        <v>33648.85</v>
      </c>
      <c r="P82" s="106"/>
      <c r="Q82" s="39">
        <v>4800</v>
      </c>
      <c r="R82">
        <v>3940.4</v>
      </c>
      <c r="S82">
        <v>3767.3</v>
      </c>
      <c r="T82" s="42">
        <f t="shared" si="32"/>
        <v>0.82091666666666674</v>
      </c>
      <c r="U82" s="13">
        <f t="shared" si="26"/>
        <v>8.7564444444444445E-2</v>
      </c>
      <c r="V82" s="13">
        <f t="shared" si="33"/>
        <v>1.0459480264380325</v>
      </c>
      <c r="W82" s="39">
        <f t="shared" si="27"/>
        <v>40200</v>
      </c>
    </row>
    <row r="83" spans="1:23" x14ac:dyDescent="0.25">
      <c r="A83" s="30" t="s">
        <v>276</v>
      </c>
      <c r="B83" t="s">
        <v>135</v>
      </c>
      <c r="C83" t="s">
        <v>137</v>
      </c>
      <c r="D83" t="s">
        <v>309</v>
      </c>
      <c r="E83" s="30" t="s">
        <v>551</v>
      </c>
      <c r="F83" t="s">
        <v>310</v>
      </c>
      <c r="G83" t="s">
        <v>490</v>
      </c>
      <c r="H83" s="47">
        <v>40000</v>
      </c>
      <c r="I83" s="39">
        <v>25000</v>
      </c>
      <c r="J83" s="12">
        <v>22275.439999999999</v>
      </c>
      <c r="K83" s="12">
        <v>14793.35</v>
      </c>
      <c r="L83" s="42">
        <f t="shared" si="34"/>
        <v>0.89101759999999997</v>
      </c>
      <c r="M83" s="13">
        <f t="shared" si="35"/>
        <v>0.55688599999999999</v>
      </c>
      <c r="N83" s="13">
        <f t="shared" si="36"/>
        <v>1.5057738781276722</v>
      </c>
      <c r="O83" s="97">
        <f t="shared" si="37"/>
        <v>17724.560000000001</v>
      </c>
      <c r="P83" s="106"/>
      <c r="Q83" s="39">
        <v>11500</v>
      </c>
      <c r="R83">
        <v>11075.23</v>
      </c>
      <c r="S83">
        <v>6761.93</v>
      </c>
      <c r="T83" s="42">
        <f t="shared" si="32"/>
        <v>0.96306347826086958</v>
      </c>
      <c r="U83" s="13">
        <f t="shared" si="26"/>
        <v>0.27688075000000001</v>
      </c>
      <c r="V83" s="13">
        <f t="shared" si="33"/>
        <v>1.6378800135464282</v>
      </c>
      <c r="W83" s="39">
        <f t="shared" si="27"/>
        <v>28500</v>
      </c>
    </row>
    <row r="84" spans="1:23" x14ac:dyDescent="0.25">
      <c r="A84" s="30" t="s">
        <v>276</v>
      </c>
      <c r="B84" t="s">
        <v>143</v>
      </c>
      <c r="C84" t="s">
        <v>145</v>
      </c>
      <c r="D84" t="s">
        <v>309</v>
      </c>
      <c r="E84" s="30" t="s">
        <v>551</v>
      </c>
      <c r="F84" t="s">
        <v>310</v>
      </c>
      <c r="G84" t="s">
        <v>491</v>
      </c>
      <c r="H84" s="47">
        <v>70000</v>
      </c>
      <c r="I84" s="39">
        <v>29000</v>
      </c>
      <c r="J84" s="12">
        <v>24655.88</v>
      </c>
      <c r="K84" s="12">
        <v>25135.69</v>
      </c>
      <c r="L84" s="42">
        <f t="shared" si="34"/>
        <v>0.85020275862068972</v>
      </c>
      <c r="M84" s="13">
        <f t="shared" si="35"/>
        <v>0.35222685714285717</v>
      </c>
      <c r="N84" s="13">
        <f t="shared" si="36"/>
        <v>0.98091120633648821</v>
      </c>
      <c r="O84" s="97">
        <f t="shared" si="37"/>
        <v>45344.119999999995</v>
      </c>
      <c r="P84" s="106"/>
      <c r="Q84" s="39">
        <v>11000</v>
      </c>
      <c r="R84">
        <v>10632.18</v>
      </c>
      <c r="S84">
        <v>10390.31</v>
      </c>
      <c r="T84" s="42">
        <f t="shared" si="32"/>
        <v>0.96656181818181819</v>
      </c>
      <c r="U84" s="13">
        <f t="shared" si="26"/>
        <v>0.15188828571428573</v>
      </c>
      <c r="V84" s="13">
        <f t="shared" si="33"/>
        <v>1.0232784199893941</v>
      </c>
      <c r="W84" s="39">
        <f t="shared" si="27"/>
        <v>59000</v>
      </c>
    </row>
    <row r="85" spans="1:23" x14ac:dyDescent="0.25">
      <c r="A85" s="30" t="s">
        <v>276</v>
      </c>
      <c r="B85" t="s">
        <v>151</v>
      </c>
      <c r="C85" t="s">
        <v>153</v>
      </c>
      <c r="D85" t="s">
        <v>309</v>
      </c>
      <c r="E85" s="30" t="s">
        <v>551</v>
      </c>
      <c r="F85" t="s">
        <v>310</v>
      </c>
      <c r="G85" t="s">
        <v>493</v>
      </c>
      <c r="H85" s="47">
        <v>72000</v>
      </c>
      <c r="I85" s="39">
        <v>25000</v>
      </c>
      <c r="J85" s="12">
        <v>20917.8</v>
      </c>
      <c r="K85" s="12">
        <v>20751.97</v>
      </c>
      <c r="L85" s="42">
        <f t="shared" si="34"/>
        <v>0.83671200000000001</v>
      </c>
      <c r="M85" s="13">
        <f t="shared" si="35"/>
        <v>0.29052499999999998</v>
      </c>
      <c r="N85" s="13">
        <f t="shared" si="36"/>
        <v>1.0079910485606909</v>
      </c>
      <c r="O85" s="97">
        <f t="shared" si="37"/>
        <v>51082.2</v>
      </c>
      <c r="P85" s="106"/>
      <c r="Q85" s="39">
        <f>9300+700</f>
        <v>10000</v>
      </c>
      <c r="R85">
        <v>8609.6</v>
      </c>
      <c r="S85">
        <v>9617.4699999999993</v>
      </c>
      <c r="T85" s="42">
        <f t="shared" si="32"/>
        <v>0.86096000000000006</v>
      </c>
      <c r="U85" s="13">
        <f t="shared" si="26"/>
        <v>0.11957777777777778</v>
      </c>
      <c r="V85" s="13">
        <f t="shared" si="33"/>
        <v>0.89520424810267163</v>
      </c>
      <c r="W85" s="39">
        <f t="shared" si="27"/>
        <v>62000</v>
      </c>
    </row>
    <row r="86" spans="1:23" x14ac:dyDescent="0.25">
      <c r="A86" s="30" t="s">
        <v>276</v>
      </c>
      <c r="B86" t="s">
        <v>159</v>
      </c>
      <c r="C86" t="s">
        <v>161</v>
      </c>
      <c r="D86" t="s">
        <v>309</v>
      </c>
      <c r="E86" s="30" t="s">
        <v>551</v>
      </c>
      <c r="F86" t="s">
        <v>310</v>
      </c>
      <c r="G86" t="s">
        <v>495</v>
      </c>
      <c r="H86" s="47">
        <v>66000</v>
      </c>
      <c r="I86" s="39">
        <v>28000</v>
      </c>
      <c r="J86" s="12">
        <v>24002.33</v>
      </c>
      <c r="K86" s="12">
        <v>23071.25</v>
      </c>
      <c r="L86" s="42">
        <f t="shared" si="34"/>
        <v>0.85722607142857155</v>
      </c>
      <c r="M86" s="13">
        <f t="shared" si="35"/>
        <v>0.36367166666666667</v>
      </c>
      <c r="N86" s="13">
        <f t="shared" si="36"/>
        <v>1.0403567210272526</v>
      </c>
      <c r="O86" s="97">
        <f t="shared" si="37"/>
        <v>41997.67</v>
      </c>
      <c r="P86" s="106"/>
      <c r="Q86" s="39">
        <v>10100</v>
      </c>
      <c r="R86">
        <v>9742.7999999999993</v>
      </c>
      <c r="S86">
        <v>8762.15</v>
      </c>
      <c r="T86" s="42">
        <f t="shared" si="32"/>
        <v>0.9646336633663366</v>
      </c>
      <c r="U86" s="13">
        <f t="shared" si="26"/>
        <v>0.14761818181818182</v>
      </c>
      <c r="V86" s="13">
        <f t="shared" si="33"/>
        <v>1.1119188783574807</v>
      </c>
      <c r="W86" s="39">
        <f t="shared" si="27"/>
        <v>55900</v>
      </c>
    </row>
    <row r="87" spans="1:23" x14ac:dyDescent="0.25">
      <c r="A87" s="30" t="s">
        <v>276</v>
      </c>
      <c r="B87" t="s">
        <v>170</v>
      </c>
      <c r="C87" t="s">
        <v>172</v>
      </c>
      <c r="D87" t="s">
        <v>309</v>
      </c>
      <c r="E87" s="30" t="s">
        <v>551</v>
      </c>
      <c r="F87" t="s">
        <v>310</v>
      </c>
      <c r="G87" t="s">
        <v>496</v>
      </c>
      <c r="H87" s="47">
        <v>65000</v>
      </c>
      <c r="I87" s="39">
        <v>23000</v>
      </c>
      <c r="J87" s="12">
        <v>19778.05</v>
      </c>
      <c r="K87" s="12">
        <v>19147.099999999999</v>
      </c>
      <c r="L87" s="42">
        <f t="shared" si="34"/>
        <v>0.85991521739130428</v>
      </c>
      <c r="M87" s="13">
        <f t="shared" si="35"/>
        <v>0.3042776923076923</v>
      </c>
      <c r="N87" s="13">
        <f t="shared" si="36"/>
        <v>1.0329527709157</v>
      </c>
      <c r="O87" s="97">
        <f t="shared" si="37"/>
        <v>45221.95</v>
      </c>
      <c r="P87" s="106"/>
      <c r="Q87" s="39">
        <v>8400</v>
      </c>
      <c r="R87">
        <v>7264.95</v>
      </c>
      <c r="S87">
        <v>7245.4</v>
      </c>
      <c r="T87" s="42">
        <f t="shared" si="32"/>
        <v>0.86487499999999995</v>
      </c>
      <c r="U87" s="13">
        <f t="shared" ref="U87:U118" si="38">R87/H87</f>
        <v>0.11176846153846154</v>
      </c>
      <c r="V87" s="13">
        <f t="shared" si="33"/>
        <v>1.0026982637259503</v>
      </c>
      <c r="W87" s="39">
        <f t="shared" ref="W87:W118" si="39">H87-Q87</f>
        <v>56600</v>
      </c>
    </row>
    <row r="88" spans="1:23" x14ac:dyDescent="0.25">
      <c r="A88" s="30" t="s">
        <v>276</v>
      </c>
      <c r="B88" t="s">
        <v>179</v>
      </c>
      <c r="C88" t="s">
        <v>181</v>
      </c>
      <c r="D88" t="s">
        <v>309</v>
      </c>
      <c r="E88" s="30" t="s">
        <v>551</v>
      </c>
      <c r="F88" t="s">
        <v>310</v>
      </c>
      <c r="G88" t="s">
        <v>497</v>
      </c>
      <c r="H88" s="47">
        <v>155000</v>
      </c>
      <c r="I88" s="39">
        <v>53000</v>
      </c>
      <c r="J88" s="12">
        <v>52324.44</v>
      </c>
      <c r="K88" s="12">
        <v>56062.95</v>
      </c>
      <c r="L88" s="42">
        <f t="shared" si="34"/>
        <v>0.9872535849056604</v>
      </c>
      <c r="M88" s="13">
        <f t="shared" si="35"/>
        <v>0.33757703225806451</v>
      </c>
      <c r="N88" s="13">
        <f t="shared" si="36"/>
        <v>0.93331585298311992</v>
      </c>
      <c r="O88" s="97">
        <f t="shared" si="37"/>
        <v>102675.56</v>
      </c>
      <c r="P88" s="106"/>
      <c r="Q88" s="39">
        <f>20100+400</f>
        <v>20500</v>
      </c>
      <c r="R88">
        <v>17566.990000000002</v>
      </c>
      <c r="S88">
        <v>24503.65</v>
      </c>
      <c r="T88" s="42">
        <f t="shared" si="32"/>
        <v>0.85692634146341473</v>
      </c>
      <c r="U88" s="13">
        <f t="shared" si="38"/>
        <v>0.11333541935483872</v>
      </c>
      <c r="V88" s="13">
        <f t="shared" si="33"/>
        <v>0.71691319456489133</v>
      </c>
      <c r="W88" s="39">
        <f t="shared" si="39"/>
        <v>134500</v>
      </c>
    </row>
    <row r="89" spans="1:23" x14ac:dyDescent="0.25">
      <c r="A89" s="30" t="s">
        <v>276</v>
      </c>
      <c r="B89" t="s">
        <v>189</v>
      </c>
      <c r="C89" t="s">
        <v>191</v>
      </c>
      <c r="D89" t="s">
        <v>309</v>
      </c>
      <c r="E89" s="30" t="s">
        <v>551</v>
      </c>
      <c r="F89" t="s">
        <v>310</v>
      </c>
      <c r="G89" t="s">
        <v>498</v>
      </c>
      <c r="H89" s="47">
        <v>68000</v>
      </c>
      <c r="I89" s="39">
        <v>28000</v>
      </c>
      <c r="J89" s="12">
        <v>26301.15</v>
      </c>
      <c r="K89" s="12">
        <v>28261.7</v>
      </c>
      <c r="L89" s="42">
        <f t="shared" si="34"/>
        <v>0.93932678571428574</v>
      </c>
      <c r="M89" s="13">
        <f t="shared" si="35"/>
        <v>0.38678161764705882</v>
      </c>
      <c r="N89" s="13">
        <f t="shared" si="36"/>
        <v>0.9306287307557578</v>
      </c>
      <c r="O89" s="97">
        <f t="shared" si="37"/>
        <v>41698.85</v>
      </c>
      <c r="P89" s="106"/>
      <c r="Q89" s="39">
        <f>8800+500</f>
        <v>9300</v>
      </c>
      <c r="R89">
        <v>8144.85</v>
      </c>
      <c r="S89">
        <v>12126.75</v>
      </c>
      <c r="T89" s="42">
        <f t="shared" si="32"/>
        <v>0.87579032258064515</v>
      </c>
      <c r="U89" s="13">
        <f t="shared" si="38"/>
        <v>0.11977720588235295</v>
      </c>
      <c r="V89" s="13">
        <f t="shared" si="33"/>
        <v>0.67164326798194074</v>
      </c>
      <c r="W89" s="39">
        <f t="shared" si="39"/>
        <v>58700</v>
      </c>
    </row>
    <row r="90" spans="1:23" x14ac:dyDescent="0.25">
      <c r="A90" s="30" t="s">
        <v>276</v>
      </c>
      <c r="B90" t="s">
        <v>198</v>
      </c>
      <c r="C90" t="s">
        <v>200</v>
      </c>
      <c r="D90" t="s">
        <v>309</v>
      </c>
      <c r="E90" s="30" t="s">
        <v>551</v>
      </c>
      <c r="F90" t="s">
        <v>310</v>
      </c>
      <c r="G90" t="s">
        <v>499</v>
      </c>
      <c r="H90" s="47">
        <v>65000</v>
      </c>
      <c r="I90" s="39">
        <v>20000</v>
      </c>
      <c r="J90" s="12">
        <v>16865.5</v>
      </c>
      <c r="K90" s="12">
        <v>13266.1</v>
      </c>
      <c r="L90" s="42">
        <f t="shared" si="34"/>
        <v>0.843275</v>
      </c>
      <c r="M90" s="13">
        <f t="shared" si="35"/>
        <v>0.25946923076923079</v>
      </c>
      <c r="N90" s="13">
        <f t="shared" si="36"/>
        <v>1.2713231469685891</v>
      </c>
      <c r="O90" s="97">
        <f t="shared" si="37"/>
        <v>48134.5</v>
      </c>
      <c r="P90" s="106"/>
      <c r="Q90" s="39">
        <v>8400</v>
      </c>
      <c r="R90">
        <v>6722.35</v>
      </c>
      <c r="S90">
        <v>5214.8</v>
      </c>
      <c r="T90" s="42">
        <f t="shared" si="32"/>
        <v>0.80027976190476191</v>
      </c>
      <c r="U90" s="13">
        <f t="shared" si="38"/>
        <v>0.10342076923076923</v>
      </c>
      <c r="V90" s="13">
        <f t="shared" si="33"/>
        <v>1.2890906650302985</v>
      </c>
      <c r="W90" s="39">
        <f t="shared" si="39"/>
        <v>56600</v>
      </c>
    </row>
    <row r="91" spans="1:23" x14ac:dyDescent="0.25">
      <c r="A91" s="30" t="s">
        <v>276</v>
      </c>
      <c r="B91" t="s">
        <v>206</v>
      </c>
      <c r="C91" t="s">
        <v>208</v>
      </c>
      <c r="D91" t="s">
        <v>309</v>
      </c>
      <c r="E91" s="30" t="s">
        <v>551</v>
      </c>
      <c r="F91" t="s">
        <v>310</v>
      </c>
      <c r="G91" t="s">
        <v>500</v>
      </c>
      <c r="H91" s="47">
        <v>66000</v>
      </c>
      <c r="I91" s="39">
        <v>25000</v>
      </c>
      <c r="J91" s="12">
        <v>23761.65</v>
      </c>
      <c r="K91" s="12">
        <v>22828.55</v>
      </c>
      <c r="L91" s="42">
        <f t="shared" si="34"/>
        <v>0.95046600000000003</v>
      </c>
      <c r="M91" s="13">
        <f t="shared" si="35"/>
        <v>0.36002500000000004</v>
      </c>
      <c r="N91" s="13">
        <f t="shared" si="36"/>
        <v>1.0408742561397899</v>
      </c>
      <c r="O91" s="97">
        <f t="shared" si="37"/>
        <v>42238.35</v>
      </c>
      <c r="P91" s="106"/>
      <c r="Q91" s="39">
        <v>7000</v>
      </c>
      <c r="R91">
        <v>5836.8</v>
      </c>
      <c r="S91">
        <v>8107.1</v>
      </c>
      <c r="T91" s="42">
        <f t="shared" si="32"/>
        <v>0.83382857142857147</v>
      </c>
      <c r="U91" s="13">
        <f t="shared" si="38"/>
        <v>8.8436363636363632E-2</v>
      </c>
      <c r="V91" s="13">
        <f t="shared" si="33"/>
        <v>0.71996151521505836</v>
      </c>
      <c r="W91" s="39">
        <f t="shared" si="39"/>
        <v>59000</v>
      </c>
    </row>
    <row r="92" spans="1:23" x14ac:dyDescent="0.25">
      <c r="A92" s="30" t="s">
        <v>276</v>
      </c>
      <c r="B92" t="s">
        <v>214</v>
      </c>
      <c r="C92" t="s">
        <v>216</v>
      </c>
      <c r="D92" t="s">
        <v>309</v>
      </c>
      <c r="E92" s="30" t="s">
        <v>551</v>
      </c>
      <c r="F92" t="s">
        <v>310</v>
      </c>
      <c r="G92" t="s">
        <v>501</v>
      </c>
      <c r="H92" s="47">
        <v>88000</v>
      </c>
      <c r="I92" s="39">
        <v>38000</v>
      </c>
      <c r="J92" s="12">
        <v>35975.85</v>
      </c>
      <c r="K92" s="12">
        <v>38748.129999999997</v>
      </c>
      <c r="L92" s="42">
        <f t="shared" si="34"/>
        <v>0.94673289473684208</v>
      </c>
      <c r="M92" s="13">
        <f t="shared" si="35"/>
        <v>0.40881647727272724</v>
      </c>
      <c r="N92" s="13">
        <f t="shared" si="36"/>
        <v>0.92845383764326173</v>
      </c>
      <c r="O92" s="97">
        <f t="shared" si="37"/>
        <v>52024.15</v>
      </c>
      <c r="P92" s="106"/>
      <c r="Q92" s="39">
        <v>19300</v>
      </c>
      <c r="R92">
        <v>18597.5</v>
      </c>
      <c r="S92">
        <v>18954.63</v>
      </c>
      <c r="T92" s="42">
        <f t="shared" si="32"/>
        <v>0.96360103626943006</v>
      </c>
      <c r="U92" s="13">
        <f t="shared" si="38"/>
        <v>0.21133522727272727</v>
      </c>
      <c r="V92" s="13">
        <f t="shared" si="33"/>
        <v>0.98115869315307125</v>
      </c>
      <c r="W92" s="39">
        <f t="shared" si="39"/>
        <v>68700</v>
      </c>
    </row>
    <row r="93" spans="1:23" x14ac:dyDescent="0.25">
      <c r="A93" s="30" t="s">
        <v>276</v>
      </c>
      <c r="B93" t="s">
        <v>226</v>
      </c>
      <c r="C93" t="s">
        <v>228</v>
      </c>
      <c r="D93" t="s">
        <v>309</v>
      </c>
      <c r="E93" s="30" t="s">
        <v>551</v>
      </c>
      <c r="F93" t="s">
        <v>310</v>
      </c>
      <c r="G93" t="s">
        <v>502</v>
      </c>
      <c r="H93" s="47">
        <v>37000</v>
      </c>
      <c r="I93" s="39">
        <v>12000</v>
      </c>
      <c r="J93" s="12">
        <v>10523.5</v>
      </c>
      <c r="K93" s="12">
        <v>10214.84</v>
      </c>
      <c r="L93" s="42">
        <f t="shared" si="34"/>
        <v>0.87695833333333328</v>
      </c>
      <c r="M93" s="13">
        <f t="shared" si="35"/>
        <v>0.28441891891891891</v>
      </c>
      <c r="N93" s="13">
        <f t="shared" si="36"/>
        <v>1.0302168218004393</v>
      </c>
      <c r="O93" s="97">
        <f t="shared" si="37"/>
        <v>26476.5</v>
      </c>
      <c r="P93" s="106"/>
      <c r="Q93" s="39">
        <v>3200</v>
      </c>
      <c r="R93">
        <v>2573.85</v>
      </c>
      <c r="S93">
        <v>4097.99</v>
      </c>
      <c r="T93" s="42">
        <f t="shared" ref="T93:T98" si="40">R93/Q93</f>
        <v>0.80432812499999995</v>
      </c>
      <c r="U93" s="13">
        <f t="shared" si="38"/>
        <v>6.9563513513513517E-2</v>
      </c>
      <c r="V93" s="13">
        <f t="shared" ref="V93:V98" si="41">R93/S93</f>
        <v>0.62807620321181845</v>
      </c>
      <c r="W93" s="39">
        <f t="shared" si="39"/>
        <v>33800</v>
      </c>
    </row>
    <row r="94" spans="1:23" x14ac:dyDescent="0.25">
      <c r="A94" s="30" t="s">
        <v>276</v>
      </c>
      <c r="B94" t="s">
        <v>234</v>
      </c>
      <c r="C94" t="s">
        <v>236</v>
      </c>
      <c r="D94" t="s">
        <v>309</v>
      </c>
      <c r="E94" s="30" t="s">
        <v>551</v>
      </c>
      <c r="F94" t="s">
        <v>310</v>
      </c>
      <c r="G94" t="s">
        <v>503</v>
      </c>
      <c r="H94" s="47">
        <v>42000</v>
      </c>
      <c r="I94" s="39">
        <v>14000</v>
      </c>
      <c r="J94" s="12">
        <v>12605.75</v>
      </c>
      <c r="K94" s="12">
        <v>13203.61</v>
      </c>
      <c r="L94" s="42">
        <f t="shared" si="34"/>
        <v>0.90041071428571429</v>
      </c>
      <c r="M94" s="13">
        <f t="shared" si="35"/>
        <v>0.30013690476190474</v>
      </c>
      <c r="N94" s="13">
        <f t="shared" si="36"/>
        <v>0.95471995916268348</v>
      </c>
      <c r="O94" s="97">
        <f t="shared" si="37"/>
        <v>29394.25</v>
      </c>
      <c r="P94" s="106"/>
      <c r="Q94" s="39">
        <v>5700</v>
      </c>
      <c r="R94">
        <v>5521.7</v>
      </c>
      <c r="S94">
        <v>5863.31</v>
      </c>
      <c r="T94" s="42">
        <f t="shared" si="40"/>
        <v>0.96871929824561398</v>
      </c>
      <c r="U94" s="13">
        <f t="shared" si="38"/>
        <v>0.13146904761904762</v>
      </c>
      <c r="V94" s="13">
        <f t="shared" si="41"/>
        <v>0.94173768741547004</v>
      </c>
      <c r="W94" s="39">
        <f t="shared" si="39"/>
        <v>36300</v>
      </c>
    </row>
    <row r="95" spans="1:23" x14ac:dyDescent="0.25">
      <c r="A95" s="30" t="s">
        <v>276</v>
      </c>
      <c r="B95" t="s">
        <v>241</v>
      </c>
      <c r="C95" t="s">
        <v>243</v>
      </c>
      <c r="D95" t="s">
        <v>309</v>
      </c>
      <c r="E95" s="30" t="s">
        <v>551</v>
      </c>
      <c r="F95" t="s">
        <v>310</v>
      </c>
      <c r="G95" t="s">
        <v>504</v>
      </c>
      <c r="H95" s="47">
        <v>36000</v>
      </c>
      <c r="I95" s="39">
        <v>14000</v>
      </c>
      <c r="J95" s="12">
        <v>12579.1</v>
      </c>
      <c r="K95" s="12">
        <v>13499.92</v>
      </c>
      <c r="L95" s="42">
        <f t="shared" si="34"/>
        <v>0.89850714285714284</v>
      </c>
      <c r="M95" s="13">
        <f t="shared" si="35"/>
        <v>0.34941944444444445</v>
      </c>
      <c r="N95" s="13">
        <f t="shared" si="36"/>
        <v>0.93179070690789279</v>
      </c>
      <c r="O95" s="97">
        <f t="shared" si="37"/>
        <v>23420.9</v>
      </c>
      <c r="P95" s="106"/>
      <c r="Q95" s="39">
        <v>5200</v>
      </c>
      <c r="R95">
        <v>5053.6499999999996</v>
      </c>
      <c r="S95">
        <v>5937.12</v>
      </c>
      <c r="T95" s="42">
        <f t="shared" si="40"/>
        <v>0.97185576923076911</v>
      </c>
      <c r="U95" s="13">
        <f t="shared" si="38"/>
        <v>0.14037916666666667</v>
      </c>
      <c r="V95" s="13">
        <f t="shared" si="41"/>
        <v>0.85119552914544416</v>
      </c>
      <c r="W95" s="39">
        <f t="shared" si="39"/>
        <v>30800</v>
      </c>
    </row>
    <row r="96" spans="1:23" x14ac:dyDescent="0.25">
      <c r="A96" s="30" t="s">
        <v>276</v>
      </c>
      <c r="B96" t="s">
        <v>248</v>
      </c>
      <c r="C96" t="s">
        <v>250</v>
      </c>
      <c r="D96" t="s">
        <v>309</v>
      </c>
      <c r="E96" s="30" t="s">
        <v>551</v>
      </c>
      <c r="F96" t="s">
        <v>310</v>
      </c>
      <c r="G96" t="s">
        <v>505</v>
      </c>
      <c r="H96" s="47">
        <v>53000</v>
      </c>
      <c r="I96" s="39">
        <v>26000</v>
      </c>
      <c r="J96" s="12">
        <v>24117.45</v>
      </c>
      <c r="K96" s="12">
        <v>21022.81</v>
      </c>
      <c r="L96" s="42">
        <f t="shared" si="34"/>
        <v>0.92759423076923075</v>
      </c>
      <c r="M96" s="13">
        <f t="shared" si="35"/>
        <v>0.45504622641509435</v>
      </c>
      <c r="N96" s="13">
        <f t="shared" si="36"/>
        <v>1.1472039180299873</v>
      </c>
      <c r="O96" s="97">
        <f t="shared" si="37"/>
        <v>28882.55</v>
      </c>
      <c r="P96" s="106"/>
      <c r="Q96" s="39">
        <v>7900</v>
      </c>
      <c r="R96">
        <v>7647.89</v>
      </c>
      <c r="S96">
        <v>6761.22</v>
      </c>
      <c r="T96" s="42">
        <f t="shared" si="40"/>
        <v>0.96808734177215194</v>
      </c>
      <c r="U96" s="13">
        <f t="shared" si="38"/>
        <v>0.14429981132075473</v>
      </c>
      <c r="V96" s="13">
        <f t="shared" si="41"/>
        <v>1.131140533808987</v>
      </c>
      <c r="W96" s="39">
        <f t="shared" si="39"/>
        <v>45100</v>
      </c>
    </row>
    <row r="97" spans="1:23" x14ac:dyDescent="0.25">
      <c r="A97" s="30" t="s">
        <v>276</v>
      </c>
      <c r="B97" t="s">
        <v>259</v>
      </c>
      <c r="C97" t="s">
        <v>261</v>
      </c>
      <c r="D97" t="s">
        <v>309</v>
      </c>
      <c r="E97" s="30" t="s">
        <v>551</v>
      </c>
      <c r="F97" t="s">
        <v>310</v>
      </c>
      <c r="G97" t="s">
        <v>506</v>
      </c>
      <c r="H97" s="47">
        <v>36000</v>
      </c>
      <c r="I97" s="39">
        <v>11000</v>
      </c>
      <c r="J97" s="12">
        <v>9602.92</v>
      </c>
      <c r="K97" s="12">
        <v>13965.58</v>
      </c>
      <c r="L97" s="42">
        <f t="shared" si="34"/>
        <v>0.87299272727272725</v>
      </c>
      <c r="M97" s="13">
        <f t="shared" si="35"/>
        <v>0.26674777777777781</v>
      </c>
      <c r="N97" s="13">
        <f t="shared" si="36"/>
        <v>0.68761340381137048</v>
      </c>
      <c r="O97" s="97">
        <f t="shared" si="37"/>
        <v>26397.08</v>
      </c>
      <c r="P97" s="106"/>
      <c r="Q97" s="39">
        <v>4600</v>
      </c>
      <c r="R97">
        <v>4418.07</v>
      </c>
      <c r="S97">
        <v>2339.6799999999998</v>
      </c>
      <c r="T97" s="42">
        <f t="shared" si="40"/>
        <v>0.96044999999999991</v>
      </c>
      <c r="U97" s="13">
        <f t="shared" si="38"/>
        <v>0.12272416666666666</v>
      </c>
      <c r="V97" s="13">
        <f t="shared" si="41"/>
        <v>1.8883223346782465</v>
      </c>
      <c r="W97" s="39">
        <f t="shared" si="39"/>
        <v>31400</v>
      </c>
    </row>
    <row r="98" spans="1:23" x14ac:dyDescent="0.25">
      <c r="A98" s="30" t="s">
        <v>276</v>
      </c>
      <c r="B98" t="s">
        <v>268</v>
      </c>
      <c r="C98" t="s">
        <v>270</v>
      </c>
      <c r="D98" t="s">
        <v>309</v>
      </c>
      <c r="E98" s="30" t="s">
        <v>551</v>
      </c>
      <c r="F98" t="s">
        <v>310</v>
      </c>
      <c r="G98" t="s">
        <v>507</v>
      </c>
      <c r="H98" s="47">
        <v>36000</v>
      </c>
      <c r="I98" s="39">
        <v>18000</v>
      </c>
      <c r="J98" s="12">
        <v>14763.35</v>
      </c>
      <c r="K98" s="12">
        <v>12409.9</v>
      </c>
      <c r="L98" s="42">
        <f t="shared" si="34"/>
        <v>0.82018611111111117</v>
      </c>
      <c r="M98" s="13">
        <f t="shared" si="35"/>
        <v>0.41009305555555559</v>
      </c>
      <c r="N98" s="13">
        <f t="shared" si="36"/>
        <v>1.1896429463573437</v>
      </c>
      <c r="O98" s="97">
        <f t="shared" si="37"/>
        <v>21236.65</v>
      </c>
      <c r="P98" s="106"/>
      <c r="Q98" s="39">
        <v>6500</v>
      </c>
      <c r="R98">
        <v>6324.05</v>
      </c>
      <c r="S98">
        <v>5789</v>
      </c>
      <c r="T98" s="42">
        <f t="shared" si="40"/>
        <v>0.97293076923076927</v>
      </c>
      <c r="U98" s="13">
        <f t="shared" si="38"/>
        <v>0.17566805555555556</v>
      </c>
      <c r="V98" s="13">
        <f t="shared" si="41"/>
        <v>1.0924252893418553</v>
      </c>
      <c r="W98" s="39">
        <f t="shared" si="39"/>
        <v>29500</v>
      </c>
    </row>
    <row r="99" spans="1:23" x14ac:dyDescent="0.25">
      <c r="A99" s="30" t="s">
        <v>276</v>
      </c>
      <c r="B99" t="s">
        <v>295</v>
      </c>
      <c r="C99" t="s">
        <v>296</v>
      </c>
      <c r="D99" t="s">
        <v>311</v>
      </c>
      <c r="E99" t="s">
        <v>541</v>
      </c>
      <c r="F99" t="s">
        <v>312</v>
      </c>
      <c r="G99" t="s">
        <v>460</v>
      </c>
      <c r="H99" s="47">
        <v>547400</v>
      </c>
      <c r="I99" s="12">
        <v>320000</v>
      </c>
      <c r="J99" s="39">
        <v>312334.90000000002</v>
      </c>
      <c r="K99" s="12">
        <v>196364.4</v>
      </c>
      <c r="L99" s="42">
        <f t="shared" ref="L99:L120" si="42">J99/I99</f>
        <v>0.9760465625000001</v>
      </c>
      <c r="M99" s="13">
        <f t="shared" ref="M99:M120" si="43">J99/H99</f>
        <v>0.57057891852393139</v>
      </c>
      <c r="N99" s="13">
        <f t="shared" ref="N99:N120" si="44">J99/K99</f>
        <v>1.5905882125273219</v>
      </c>
      <c r="O99" s="97">
        <f t="shared" ref="O99:O120" si="45">H99-J99</f>
        <v>235065.09999999998</v>
      </c>
      <c r="P99" s="106"/>
      <c r="Q99" s="39">
        <f>142300+3000</f>
        <v>145300</v>
      </c>
      <c r="R99" s="12">
        <v>140667.85</v>
      </c>
      <c r="S99" s="12">
        <v>111800.2</v>
      </c>
      <c r="T99" s="42">
        <f t="shared" ref="T99:T109" si="46">R99/Q99</f>
        <v>0.96812009635237439</v>
      </c>
      <c r="U99" s="13">
        <f t="shared" si="38"/>
        <v>0.25697451589331388</v>
      </c>
      <c r="V99" s="13">
        <f t="shared" ref="V99:V109" si="47">R99/S99</f>
        <v>1.2582074987343494</v>
      </c>
      <c r="W99" s="39">
        <f t="shared" si="39"/>
        <v>402100</v>
      </c>
    </row>
    <row r="100" spans="1:23" x14ac:dyDescent="0.25">
      <c r="A100" s="30" t="s">
        <v>276</v>
      </c>
      <c r="B100" t="s">
        <v>329</v>
      </c>
      <c r="C100" t="s">
        <v>330</v>
      </c>
      <c r="D100" t="s">
        <v>311</v>
      </c>
      <c r="E100" t="s">
        <v>541</v>
      </c>
      <c r="F100" t="s">
        <v>312</v>
      </c>
      <c r="G100" t="s">
        <v>462</v>
      </c>
      <c r="H100" s="47">
        <v>4100000</v>
      </c>
      <c r="I100" s="12">
        <v>2487000</v>
      </c>
      <c r="J100" s="39">
        <v>2379516.1399999997</v>
      </c>
      <c r="K100" s="12">
        <v>1228800.3</v>
      </c>
      <c r="L100" s="42">
        <f t="shared" si="42"/>
        <v>0.95678172094893432</v>
      </c>
      <c r="M100" s="13">
        <f t="shared" si="43"/>
        <v>0.58036979024390234</v>
      </c>
      <c r="N100" s="13">
        <f t="shared" si="44"/>
        <v>1.9364547192900259</v>
      </c>
      <c r="O100" s="97">
        <f t="shared" si="45"/>
        <v>1720483.8600000003</v>
      </c>
      <c r="P100" s="106"/>
      <c r="Q100" s="39">
        <v>1650000</v>
      </c>
      <c r="R100" s="12">
        <v>1585653.98</v>
      </c>
      <c r="S100" s="12">
        <v>0</v>
      </c>
      <c r="T100" s="42">
        <f t="shared" si="46"/>
        <v>0.96100241212121207</v>
      </c>
      <c r="U100" s="13">
        <f t="shared" si="38"/>
        <v>0.3867448731707317</v>
      </c>
      <c r="V100" s="13" t="e">
        <f t="shared" si="47"/>
        <v>#DIV/0!</v>
      </c>
      <c r="W100" s="39">
        <f t="shared" si="39"/>
        <v>2450000</v>
      </c>
    </row>
    <row r="101" spans="1:23" x14ac:dyDescent="0.25">
      <c r="A101" s="30" t="s">
        <v>276</v>
      </c>
      <c r="B101" t="s">
        <v>341</v>
      </c>
      <c r="C101" t="s">
        <v>342</v>
      </c>
      <c r="D101" t="s">
        <v>311</v>
      </c>
      <c r="E101" t="s">
        <v>541</v>
      </c>
      <c r="F101" t="s">
        <v>312</v>
      </c>
      <c r="G101" t="s">
        <v>465</v>
      </c>
      <c r="H101" s="47">
        <v>100000</v>
      </c>
      <c r="I101" s="12">
        <v>50000</v>
      </c>
      <c r="J101" s="39">
        <v>48579</v>
      </c>
      <c r="K101" s="12">
        <v>55024.76</v>
      </c>
      <c r="L101" s="42">
        <f t="shared" si="42"/>
        <v>0.97158</v>
      </c>
      <c r="M101" s="13">
        <f t="shared" si="43"/>
        <v>0.48579</v>
      </c>
      <c r="N101" s="13">
        <f t="shared" si="44"/>
        <v>0.88285709924041467</v>
      </c>
      <c r="O101" s="97">
        <f t="shared" si="45"/>
        <v>51421</v>
      </c>
      <c r="P101" s="106"/>
      <c r="Q101" s="39">
        <v>27000</v>
      </c>
      <c r="R101" s="12">
        <v>23582.04</v>
      </c>
      <c r="S101" s="12">
        <v>23582.04</v>
      </c>
      <c r="T101" s="42">
        <f t="shared" si="46"/>
        <v>0.8734088888888889</v>
      </c>
      <c r="U101" s="13">
        <f t="shared" si="38"/>
        <v>0.23582040000000001</v>
      </c>
      <c r="V101" s="13">
        <f t="shared" si="47"/>
        <v>1</v>
      </c>
      <c r="W101" s="39">
        <f t="shared" si="39"/>
        <v>73000</v>
      </c>
    </row>
    <row r="102" spans="1:23" x14ac:dyDescent="0.25">
      <c r="A102" s="30" t="s">
        <v>276</v>
      </c>
      <c r="B102" t="s">
        <v>110</v>
      </c>
      <c r="C102" t="s">
        <v>112</v>
      </c>
      <c r="D102" t="s">
        <v>311</v>
      </c>
      <c r="E102" t="s">
        <v>541</v>
      </c>
      <c r="F102" t="s">
        <v>312</v>
      </c>
      <c r="G102" t="s">
        <v>487</v>
      </c>
      <c r="H102" s="47">
        <v>115000</v>
      </c>
      <c r="I102" s="12">
        <v>58000</v>
      </c>
      <c r="J102" s="39">
        <v>57128</v>
      </c>
      <c r="K102" s="12">
        <v>58125</v>
      </c>
      <c r="L102" s="42">
        <f t="shared" si="42"/>
        <v>0.98496551724137926</v>
      </c>
      <c r="M102" s="13">
        <f t="shared" si="43"/>
        <v>0.49676521739130436</v>
      </c>
      <c r="N102" s="13">
        <f t="shared" si="44"/>
        <v>0.98284731182795704</v>
      </c>
      <c r="O102" s="97">
        <f t="shared" si="45"/>
        <v>57872</v>
      </c>
      <c r="P102" s="106"/>
      <c r="Q102" s="39">
        <v>22000</v>
      </c>
      <c r="R102" s="12">
        <v>17987</v>
      </c>
      <c r="S102" s="12">
        <v>34277</v>
      </c>
      <c r="T102" s="42">
        <f t="shared" si="46"/>
        <v>0.81759090909090915</v>
      </c>
      <c r="U102" s="13">
        <f t="shared" si="38"/>
        <v>0.15640869565217391</v>
      </c>
      <c r="V102" s="13">
        <f t="shared" si="47"/>
        <v>0.52475420836129183</v>
      </c>
      <c r="W102" s="39">
        <f t="shared" si="39"/>
        <v>93000</v>
      </c>
    </row>
    <row r="103" spans="1:23" x14ac:dyDescent="0.25">
      <c r="A103" s="30" t="s">
        <v>276</v>
      </c>
      <c r="B103" t="s">
        <v>119</v>
      </c>
      <c r="C103" t="s">
        <v>121</v>
      </c>
      <c r="D103" t="s">
        <v>311</v>
      </c>
      <c r="E103" t="s">
        <v>541</v>
      </c>
      <c r="F103" t="s">
        <v>312</v>
      </c>
      <c r="G103" t="s">
        <v>488</v>
      </c>
      <c r="H103" s="47">
        <v>31500</v>
      </c>
      <c r="I103" s="12">
        <v>14000</v>
      </c>
      <c r="J103" s="39">
        <v>13587.6</v>
      </c>
      <c r="K103" s="12">
        <v>10297</v>
      </c>
      <c r="L103" s="42">
        <f t="shared" si="42"/>
        <v>0.97054285714285715</v>
      </c>
      <c r="M103" s="13">
        <f t="shared" si="43"/>
        <v>0.43135238095238099</v>
      </c>
      <c r="N103" s="13">
        <f t="shared" si="44"/>
        <v>1.3195688064484801</v>
      </c>
      <c r="O103" s="97">
        <f t="shared" si="45"/>
        <v>17912.400000000001</v>
      </c>
      <c r="P103" s="106"/>
      <c r="Q103" s="39">
        <f>6500+100</f>
        <v>6600</v>
      </c>
      <c r="R103" s="12">
        <v>5356.8</v>
      </c>
      <c r="S103" s="12">
        <v>5257</v>
      </c>
      <c r="T103" s="42">
        <f t="shared" si="46"/>
        <v>0.81163636363636371</v>
      </c>
      <c r="U103" s="13">
        <f t="shared" si="38"/>
        <v>0.17005714285714285</v>
      </c>
      <c r="V103" s="13">
        <f t="shared" si="47"/>
        <v>1.0189842115274872</v>
      </c>
      <c r="W103" s="39">
        <f t="shared" si="39"/>
        <v>24900</v>
      </c>
    </row>
    <row r="104" spans="1:23" x14ac:dyDescent="0.25">
      <c r="A104" s="30" t="s">
        <v>276</v>
      </c>
      <c r="B104" t="s">
        <v>127</v>
      </c>
      <c r="C104" t="s">
        <v>128</v>
      </c>
      <c r="D104" t="s">
        <v>311</v>
      </c>
      <c r="E104" t="s">
        <v>541</v>
      </c>
      <c r="F104" t="s">
        <v>312</v>
      </c>
      <c r="G104" t="s">
        <v>489</v>
      </c>
      <c r="H104" s="47">
        <v>300000</v>
      </c>
      <c r="I104" s="12">
        <v>145000</v>
      </c>
      <c r="J104" s="39">
        <v>143724.57999999999</v>
      </c>
      <c r="K104" s="12">
        <v>129780.3</v>
      </c>
      <c r="L104" s="42">
        <f t="shared" si="42"/>
        <v>0.99120399999999986</v>
      </c>
      <c r="M104" s="13">
        <f t="shared" si="43"/>
        <v>0.47908193333333327</v>
      </c>
      <c r="N104" s="13">
        <f t="shared" si="44"/>
        <v>1.1074452748221415</v>
      </c>
      <c r="O104" s="97">
        <f t="shared" si="45"/>
        <v>156275.42000000001</v>
      </c>
      <c r="P104" s="106"/>
      <c r="Q104" s="39">
        <v>82000</v>
      </c>
      <c r="R104" s="12">
        <v>71994.78</v>
      </c>
      <c r="S104" s="12">
        <v>85920.2</v>
      </c>
      <c r="T104" s="42">
        <f t="shared" si="46"/>
        <v>0.87798512195121947</v>
      </c>
      <c r="U104" s="13">
        <f t="shared" si="38"/>
        <v>0.23998259999999999</v>
      </c>
      <c r="V104" s="13">
        <f t="shared" si="47"/>
        <v>0.83792612214589823</v>
      </c>
      <c r="W104" s="39">
        <f t="shared" si="39"/>
        <v>218000</v>
      </c>
    </row>
    <row r="105" spans="1:23" x14ac:dyDescent="0.25">
      <c r="A105" s="30" t="s">
        <v>276</v>
      </c>
      <c r="B105" t="s">
        <v>135</v>
      </c>
      <c r="C105" t="s">
        <v>137</v>
      </c>
      <c r="D105" t="s">
        <v>311</v>
      </c>
      <c r="E105" t="s">
        <v>541</v>
      </c>
      <c r="F105" t="s">
        <v>312</v>
      </c>
      <c r="G105" t="s">
        <v>490</v>
      </c>
      <c r="H105" s="47">
        <v>366000</v>
      </c>
      <c r="I105" s="12">
        <v>240000</v>
      </c>
      <c r="J105" s="39">
        <v>238348.38</v>
      </c>
      <c r="K105" s="12">
        <v>158790.24</v>
      </c>
      <c r="L105" s="42">
        <f t="shared" si="42"/>
        <v>0.99311824999999998</v>
      </c>
      <c r="M105" s="13">
        <f t="shared" si="43"/>
        <v>0.65122508196721318</v>
      </c>
      <c r="N105" s="13">
        <f t="shared" si="44"/>
        <v>1.5010266374054224</v>
      </c>
      <c r="O105" s="97">
        <f t="shared" si="45"/>
        <v>127651.62</v>
      </c>
      <c r="P105" s="106"/>
      <c r="Q105" s="39">
        <v>135000</v>
      </c>
      <c r="R105" s="12">
        <v>118347.78</v>
      </c>
      <c r="S105" s="12">
        <v>130592.3</v>
      </c>
      <c r="T105" s="42">
        <f t="shared" si="46"/>
        <v>0.87665022222222222</v>
      </c>
      <c r="U105" s="13">
        <f t="shared" si="38"/>
        <v>0.32335459016393442</v>
      </c>
      <c r="V105" s="13">
        <f t="shared" si="47"/>
        <v>0.90623857608756408</v>
      </c>
      <c r="W105" s="39">
        <f t="shared" si="39"/>
        <v>231000</v>
      </c>
    </row>
    <row r="106" spans="1:23" x14ac:dyDescent="0.25">
      <c r="A106" s="30" t="s">
        <v>276</v>
      </c>
      <c r="B106" t="s">
        <v>143</v>
      </c>
      <c r="C106" t="s">
        <v>145</v>
      </c>
      <c r="D106" t="s">
        <v>311</v>
      </c>
      <c r="E106" t="s">
        <v>541</v>
      </c>
      <c r="F106" t="s">
        <v>312</v>
      </c>
      <c r="G106" t="s">
        <v>491</v>
      </c>
      <c r="H106" s="47">
        <v>991000</v>
      </c>
      <c r="I106" s="12">
        <v>480000</v>
      </c>
      <c r="J106" s="39">
        <v>478175.78</v>
      </c>
      <c r="K106" s="12">
        <v>456389.48</v>
      </c>
      <c r="L106" s="42">
        <f t="shared" si="42"/>
        <v>0.99619954166666669</v>
      </c>
      <c r="M106" s="13">
        <f t="shared" si="43"/>
        <v>0.48251844601412719</v>
      </c>
      <c r="N106" s="13">
        <f t="shared" si="44"/>
        <v>1.0477362011061255</v>
      </c>
      <c r="O106" s="97">
        <f t="shared" si="45"/>
        <v>512824.22</v>
      </c>
      <c r="P106" s="106"/>
      <c r="Q106" s="39">
        <v>275000</v>
      </c>
      <c r="R106" s="12">
        <v>238216.37</v>
      </c>
      <c r="S106" s="12">
        <v>230168.74</v>
      </c>
      <c r="T106" s="42">
        <f t="shared" si="46"/>
        <v>0.86624134545454545</v>
      </c>
      <c r="U106" s="13">
        <f t="shared" si="38"/>
        <v>0.24037978809283553</v>
      </c>
      <c r="V106" s="13">
        <f t="shared" si="47"/>
        <v>1.034964044205134</v>
      </c>
      <c r="W106" s="39">
        <f t="shared" si="39"/>
        <v>716000</v>
      </c>
    </row>
    <row r="107" spans="1:23" x14ac:dyDescent="0.25">
      <c r="A107" s="30" t="s">
        <v>276</v>
      </c>
      <c r="B107" t="s">
        <v>151</v>
      </c>
      <c r="C107" t="s">
        <v>153</v>
      </c>
      <c r="D107" t="s">
        <v>311</v>
      </c>
      <c r="E107" t="s">
        <v>541</v>
      </c>
      <c r="F107" t="s">
        <v>312</v>
      </c>
      <c r="G107" t="s">
        <v>493</v>
      </c>
      <c r="H107" s="47">
        <v>1318000</v>
      </c>
      <c r="I107" s="12">
        <v>560000</v>
      </c>
      <c r="J107" s="39">
        <v>555342.4</v>
      </c>
      <c r="K107" s="12">
        <v>754327.82</v>
      </c>
      <c r="L107" s="42">
        <f t="shared" si="42"/>
        <v>0.9916828571428572</v>
      </c>
      <c r="M107" s="13">
        <f t="shared" si="43"/>
        <v>0.42135235204855842</v>
      </c>
      <c r="N107" s="13">
        <f t="shared" si="44"/>
        <v>0.73620829734212911</v>
      </c>
      <c r="O107" s="97">
        <f t="shared" si="45"/>
        <v>762657.6</v>
      </c>
      <c r="P107" s="106"/>
      <c r="Q107" s="39">
        <f>445000+3000</f>
        <v>448000</v>
      </c>
      <c r="R107" s="12">
        <v>431910.24</v>
      </c>
      <c r="S107" s="12">
        <v>327252.18</v>
      </c>
      <c r="T107" s="42">
        <f t="shared" si="46"/>
        <v>0.96408535714285715</v>
      </c>
      <c r="U107" s="13">
        <f t="shared" si="38"/>
        <v>0.32770124430955994</v>
      </c>
      <c r="V107" s="13">
        <f t="shared" si="47"/>
        <v>1.3198085953163092</v>
      </c>
      <c r="W107" s="39">
        <f t="shared" si="39"/>
        <v>870000</v>
      </c>
    </row>
    <row r="108" spans="1:23" x14ac:dyDescent="0.25">
      <c r="A108" s="30" t="s">
        <v>276</v>
      </c>
      <c r="B108" t="s">
        <v>159</v>
      </c>
      <c r="C108" t="s">
        <v>161</v>
      </c>
      <c r="D108" t="s">
        <v>311</v>
      </c>
      <c r="E108" t="s">
        <v>541</v>
      </c>
      <c r="F108" t="s">
        <v>312</v>
      </c>
      <c r="G108" t="s">
        <v>495</v>
      </c>
      <c r="H108" s="47">
        <v>888500</v>
      </c>
      <c r="I108" s="12">
        <v>450000</v>
      </c>
      <c r="J108" s="39">
        <v>437298.66</v>
      </c>
      <c r="K108" s="12">
        <v>383660.79999999999</v>
      </c>
      <c r="L108" s="42">
        <f t="shared" si="42"/>
        <v>0.97177479999999994</v>
      </c>
      <c r="M108" s="13">
        <f t="shared" si="43"/>
        <v>0.49217631963984237</v>
      </c>
      <c r="N108" s="13">
        <f t="shared" si="44"/>
        <v>1.1398054218726541</v>
      </c>
      <c r="O108" s="97">
        <f t="shared" si="45"/>
        <v>451201.34</v>
      </c>
      <c r="P108" s="106"/>
      <c r="Q108" s="39">
        <v>172000</v>
      </c>
      <c r="R108" s="12">
        <v>148198.94</v>
      </c>
      <c r="S108" s="12">
        <v>191109.4</v>
      </c>
      <c r="T108" s="42">
        <f t="shared" si="46"/>
        <v>0.86162174418604653</v>
      </c>
      <c r="U108" s="13">
        <f t="shared" si="38"/>
        <v>0.16679678109172763</v>
      </c>
      <c r="V108" s="13">
        <f t="shared" si="47"/>
        <v>0.77546651289784807</v>
      </c>
      <c r="W108" s="39">
        <f t="shared" si="39"/>
        <v>716500</v>
      </c>
    </row>
    <row r="109" spans="1:23" x14ac:dyDescent="0.25">
      <c r="A109" s="30" t="s">
        <v>276</v>
      </c>
      <c r="B109" t="s">
        <v>170</v>
      </c>
      <c r="C109" t="s">
        <v>172</v>
      </c>
      <c r="D109" t="s">
        <v>311</v>
      </c>
      <c r="E109" t="s">
        <v>541</v>
      </c>
      <c r="F109" t="s">
        <v>312</v>
      </c>
      <c r="G109" t="s">
        <v>496</v>
      </c>
      <c r="H109" s="47">
        <v>281500</v>
      </c>
      <c r="I109" s="12">
        <v>110000</v>
      </c>
      <c r="J109" s="39">
        <v>107683.9</v>
      </c>
      <c r="K109" s="12">
        <v>107792.1</v>
      </c>
      <c r="L109" s="42">
        <f t="shared" si="42"/>
        <v>0.97894454545454546</v>
      </c>
      <c r="M109" s="13">
        <f t="shared" si="43"/>
        <v>0.38253605683836589</v>
      </c>
      <c r="N109" s="13">
        <f t="shared" si="44"/>
        <v>0.99899621586368559</v>
      </c>
      <c r="O109" s="97">
        <f t="shared" si="45"/>
        <v>173816.1</v>
      </c>
      <c r="P109" s="106"/>
      <c r="Q109" s="39">
        <v>65000</v>
      </c>
      <c r="R109" s="12">
        <v>52962.35</v>
      </c>
      <c r="S109" s="12">
        <v>53803.05</v>
      </c>
      <c r="T109" s="42">
        <f t="shared" si="46"/>
        <v>0.81480538461538454</v>
      </c>
      <c r="U109" s="13">
        <f t="shared" si="38"/>
        <v>0.18814333925399646</v>
      </c>
      <c r="V109" s="13">
        <f t="shared" si="47"/>
        <v>0.98437449178067038</v>
      </c>
      <c r="W109" s="39">
        <f t="shared" si="39"/>
        <v>216500</v>
      </c>
    </row>
    <row r="110" spans="1:23" x14ac:dyDescent="0.25">
      <c r="A110" s="30" t="s">
        <v>276</v>
      </c>
      <c r="B110" t="s">
        <v>179</v>
      </c>
      <c r="C110" t="s">
        <v>181</v>
      </c>
      <c r="D110" t="s">
        <v>311</v>
      </c>
      <c r="E110" t="s">
        <v>541</v>
      </c>
      <c r="F110" t="s">
        <v>312</v>
      </c>
      <c r="G110" t="s">
        <v>497</v>
      </c>
      <c r="H110" s="47">
        <v>22000</v>
      </c>
      <c r="I110" s="12">
        <v>11000</v>
      </c>
      <c r="J110" s="39">
        <v>9220</v>
      </c>
      <c r="K110" s="12">
        <v>9980</v>
      </c>
      <c r="L110" s="42">
        <f t="shared" si="42"/>
        <v>0.83818181818181814</v>
      </c>
      <c r="M110" s="13">
        <f t="shared" si="43"/>
        <v>0.41909090909090907</v>
      </c>
      <c r="N110" s="13">
        <f t="shared" si="44"/>
        <v>0.9238476953907816</v>
      </c>
      <c r="O110" s="97">
        <f t="shared" si="45"/>
        <v>12780</v>
      </c>
      <c r="P110" s="106"/>
      <c r="Q110" s="39">
        <v>5200</v>
      </c>
      <c r="R110" s="12">
        <v>4190</v>
      </c>
      <c r="S110" s="12">
        <v>5990</v>
      </c>
      <c r="T110" s="42">
        <f t="shared" ref="T110:T120" si="48">R110/Q110</f>
        <v>0.80576923076923079</v>
      </c>
      <c r="U110" s="13">
        <f t="shared" si="38"/>
        <v>0.19045454545454546</v>
      </c>
      <c r="V110" s="13">
        <f t="shared" ref="V110:V120" si="49">R110/S110</f>
        <v>0.69949916527545908</v>
      </c>
      <c r="W110" s="39">
        <f t="shared" si="39"/>
        <v>16800</v>
      </c>
    </row>
    <row r="111" spans="1:23" x14ac:dyDescent="0.25">
      <c r="A111" s="30" t="s">
        <v>276</v>
      </c>
      <c r="B111" t="s">
        <v>189</v>
      </c>
      <c r="C111" t="s">
        <v>191</v>
      </c>
      <c r="D111" t="s">
        <v>311</v>
      </c>
      <c r="E111" t="s">
        <v>541</v>
      </c>
      <c r="F111" t="s">
        <v>312</v>
      </c>
      <c r="G111" t="s">
        <v>498</v>
      </c>
      <c r="H111" s="47">
        <v>469000</v>
      </c>
      <c r="I111" s="12">
        <v>230000</v>
      </c>
      <c r="J111" s="39">
        <v>228050.3</v>
      </c>
      <c r="K111" s="12">
        <v>208151.1</v>
      </c>
      <c r="L111" s="42">
        <f t="shared" si="42"/>
        <v>0.99152304347826081</v>
      </c>
      <c r="M111" s="13">
        <f t="shared" si="43"/>
        <v>0.48624797441364603</v>
      </c>
      <c r="N111" s="13">
        <f t="shared" si="44"/>
        <v>1.0955997830422226</v>
      </c>
      <c r="O111" s="97">
        <f t="shared" si="45"/>
        <v>240949.7</v>
      </c>
      <c r="P111" s="106"/>
      <c r="Q111" s="39">
        <v>96000</v>
      </c>
      <c r="R111" s="12">
        <v>77697.56</v>
      </c>
      <c r="S111" s="12">
        <v>98413.2</v>
      </c>
      <c r="T111" s="42">
        <f t="shared" si="48"/>
        <v>0.80934958333333329</v>
      </c>
      <c r="U111" s="13">
        <f t="shared" si="38"/>
        <v>0.16566643923240937</v>
      </c>
      <c r="V111" s="13">
        <f t="shared" si="49"/>
        <v>0.78950344059536726</v>
      </c>
      <c r="W111" s="39">
        <f t="shared" si="39"/>
        <v>373000</v>
      </c>
    </row>
    <row r="112" spans="1:23" x14ac:dyDescent="0.25">
      <c r="A112" s="30" t="s">
        <v>276</v>
      </c>
      <c r="B112" t="s">
        <v>198</v>
      </c>
      <c r="C112" t="s">
        <v>200</v>
      </c>
      <c r="D112" t="s">
        <v>311</v>
      </c>
      <c r="E112" t="s">
        <v>541</v>
      </c>
      <c r="F112" t="s">
        <v>312</v>
      </c>
      <c r="G112" t="s">
        <v>499</v>
      </c>
      <c r="H112" s="47">
        <v>413500</v>
      </c>
      <c r="I112" s="12">
        <v>190000</v>
      </c>
      <c r="J112" s="39">
        <v>186540</v>
      </c>
      <c r="K112" s="12">
        <v>96173</v>
      </c>
      <c r="L112" s="42">
        <f t="shared" si="42"/>
        <v>0.98178947368421055</v>
      </c>
      <c r="M112" s="13">
        <f t="shared" si="43"/>
        <v>0.45112454655380896</v>
      </c>
      <c r="N112" s="13">
        <f t="shared" si="44"/>
        <v>1.9396296257785448</v>
      </c>
      <c r="O112" s="97">
        <f t="shared" si="45"/>
        <v>226960</v>
      </c>
      <c r="P112" s="106"/>
      <c r="Q112" s="39">
        <f>107500+3000</f>
        <v>110500</v>
      </c>
      <c r="R112" s="12">
        <v>91287</v>
      </c>
      <c r="S112" s="12">
        <v>91287</v>
      </c>
      <c r="T112" s="42">
        <f t="shared" si="48"/>
        <v>0.82612669683257922</v>
      </c>
      <c r="U112" s="13">
        <f t="shared" si="38"/>
        <v>0.22076662636033859</v>
      </c>
      <c r="V112" s="13">
        <f t="shared" si="49"/>
        <v>1</v>
      </c>
      <c r="W112" s="39">
        <f t="shared" si="39"/>
        <v>303000</v>
      </c>
    </row>
    <row r="113" spans="1:23" x14ac:dyDescent="0.25">
      <c r="A113" s="30" t="s">
        <v>276</v>
      </c>
      <c r="B113" t="s">
        <v>206</v>
      </c>
      <c r="C113" t="s">
        <v>208</v>
      </c>
      <c r="D113" t="s">
        <v>311</v>
      </c>
      <c r="E113" t="s">
        <v>541</v>
      </c>
      <c r="F113" t="s">
        <v>312</v>
      </c>
      <c r="G113" t="s">
        <v>500</v>
      </c>
      <c r="H113" s="47">
        <v>311500</v>
      </c>
      <c r="I113" s="12">
        <v>155000</v>
      </c>
      <c r="J113" s="39">
        <v>146518.79999999999</v>
      </c>
      <c r="K113" s="12">
        <v>146518.79999999999</v>
      </c>
      <c r="L113" s="42">
        <f t="shared" si="42"/>
        <v>0.94528258064516124</v>
      </c>
      <c r="M113" s="13">
        <f t="shared" si="43"/>
        <v>0.47036532905296946</v>
      </c>
      <c r="N113" s="13">
        <f t="shared" si="44"/>
        <v>1</v>
      </c>
      <c r="O113" s="97">
        <f t="shared" si="45"/>
        <v>164981.20000000001</v>
      </c>
      <c r="P113" s="106"/>
      <c r="Q113" s="39">
        <v>60000</v>
      </c>
      <c r="R113" s="12">
        <v>49075.6</v>
      </c>
      <c r="S113" s="12">
        <v>72759.399999999994</v>
      </c>
      <c r="T113" s="42">
        <f t="shared" si="48"/>
        <v>0.81792666666666669</v>
      </c>
      <c r="U113" s="13">
        <f t="shared" si="38"/>
        <v>0.15754606741573032</v>
      </c>
      <c r="V113" s="13">
        <f t="shared" si="49"/>
        <v>0.67449154336072048</v>
      </c>
      <c r="W113" s="39">
        <f t="shared" si="39"/>
        <v>251500</v>
      </c>
    </row>
    <row r="114" spans="1:23" x14ac:dyDescent="0.25">
      <c r="A114" s="30" t="s">
        <v>276</v>
      </c>
      <c r="B114" t="s">
        <v>214</v>
      </c>
      <c r="C114" t="s">
        <v>216</v>
      </c>
      <c r="D114" t="s">
        <v>311</v>
      </c>
      <c r="E114" t="s">
        <v>541</v>
      </c>
      <c r="F114" t="s">
        <v>312</v>
      </c>
      <c r="G114" t="s">
        <v>501</v>
      </c>
      <c r="H114" s="47">
        <v>26000</v>
      </c>
      <c r="I114" s="12">
        <v>10000</v>
      </c>
      <c r="J114" s="39">
        <v>9690.7999999999993</v>
      </c>
      <c r="K114" s="12">
        <v>13964</v>
      </c>
      <c r="L114" s="42">
        <f t="shared" si="42"/>
        <v>0.96907999999999994</v>
      </c>
      <c r="M114" s="13">
        <f t="shared" si="43"/>
        <v>0.37272307692307688</v>
      </c>
      <c r="N114" s="13">
        <f t="shared" si="44"/>
        <v>0.69398453165282148</v>
      </c>
      <c r="O114" s="97">
        <f t="shared" si="45"/>
        <v>16309.2</v>
      </c>
      <c r="P114" s="106"/>
      <c r="Q114" s="39">
        <f>4300+100</f>
        <v>4400</v>
      </c>
      <c r="R114" s="12">
        <v>3547.96</v>
      </c>
      <c r="S114" s="12">
        <v>2959</v>
      </c>
      <c r="T114" s="42">
        <f t="shared" si="48"/>
        <v>0.80635454545454543</v>
      </c>
      <c r="U114" s="13">
        <f t="shared" si="38"/>
        <v>0.13646</v>
      </c>
      <c r="V114" s="13">
        <f t="shared" si="49"/>
        <v>1.199040216289287</v>
      </c>
      <c r="W114" s="39">
        <f t="shared" si="39"/>
        <v>21600</v>
      </c>
    </row>
    <row r="115" spans="1:23" x14ac:dyDescent="0.25">
      <c r="A115" s="30" t="s">
        <v>276</v>
      </c>
      <c r="B115" t="s">
        <v>226</v>
      </c>
      <c r="C115" t="s">
        <v>228</v>
      </c>
      <c r="D115" t="s">
        <v>311</v>
      </c>
      <c r="E115" t="s">
        <v>541</v>
      </c>
      <c r="F115" t="s">
        <v>312</v>
      </c>
      <c r="G115" t="s">
        <v>502</v>
      </c>
      <c r="H115" s="47">
        <v>220000</v>
      </c>
      <c r="I115" s="12">
        <v>92000</v>
      </c>
      <c r="J115" s="39">
        <v>89805.2</v>
      </c>
      <c r="K115" s="12">
        <v>84720</v>
      </c>
      <c r="L115" s="42">
        <f t="shared" si="42"/>
        <v>0.97614347826086956</v>
      </c>
      <c r="M115" s="13">
        <f t="shared" si="43"/>
        <v>0.40820545454545454</v>
      </c>
      <c r="N115" s="13">
        <f t="shared" si="44"/>
        <v>1.0600236071765816</v>
      </c>
      <c r="O115" s="97">
        <f t="shared" si="45"/>
        <v>130194.8</v>
      </c>
      <c r="P115" s="106"/>
      <c r="Q115" s="39">
        <v>23000</v>
      </c>
      <c r="R115" s="12">
        <v>18686.8</v>
      </c>
      <c r="S115" s="12">
        <v>34170</v>
      </c>
      <c r="T115" s="42">
        <f t="shared" si="48"/>
        <v>0.81246956521739122</v>
      </c>
      <c r="U115" s="13">
        <f t="shared" si="38"/>
        <v>8.4940000000000002E-2</v>
      </c>
      <c r="V115" s="13">
        <f t="shared" si="49"/>
        <v>0.54687737781679835</v>
      </c>
      <c r="W115" s="39">
        <f t="shared" si="39"/>
        <v>197000</v>
      </c>
    </row>
    <row r="116" spans="1:23" x14ac:dyDescent="0.25">
      <c r="A116" s="30" t="s">
        <v>276</v>
      </c>
      <c r="B116" t="s">
        <v>234</v>
      </c>
      <c r="C116" t="s">
        <v>236</v>
      </c>
      <c r="D116" t="s">
        <v>311</v>
      </c>
      <c r="E116" t="s">
        <v>541</v>
      </c>
      <c r="F116" t="s">
        <v>312</v>
      </c>
      <c r="G116" t="s">
        <v>503</v>
      </c>
      <c r="H116" s="47">
        <v>227500</v>
      </c>
      <c r="I116" s="12">
        <v>50000</v>
      </c>
      <c r="J116" s="39">
        <v>48704</v>
      </c>
      <c r="K116" s="12">
        <v>48704</v>
      </c>
      <c r="L116" s="42">
        <f t="shared" si="42"/>
        <v>0.97407999999999995</v>
      </c>
      <c r="M116" s="13">
        <f t="shared" si="43"/>
        <v>0.21408351648351648</v>
      </c>
      <c r="N116" s="13">
        <f t="shared" si="44"/>
        <v>1</v>
      </c>
      <c r="O116" s="97">
        <f t="shared" si="45"/>
        <v>178796</v>
      </c>
      <c r="P116" s="106"/>
      <c r="Q116" s="39">
        <v>30000</v>
      </c>
      <c r="R116" s="12">
        <v>24000</v>
      </c>
      <c r="S116" s="12">
        <v>24176</v>
      </c>
      <c r="T116" s="42">
        <f t="shared" si="48"/>
        <v>0.8</v>
      </c>
      <c r="U116" s="13">
        <f t="shared" si="38"/>
        <v>0.10549450549450549</v>
      </c>
      <c r="V116" s="13">
        <f t="shared" si="49"/>
        <v>0.99272005294506949</v>
      </c>
      <c r="W116" s="39">
        <f t="shared" si="39"/>
        <v>197500</v>
      </c>
    </row>
    <row r="117" spans="1:23" x14ac:dyDescent="0.25">
      <c r="A117" s="30" t="s">
        <v>276</v>
      </c>
      <c r="B117" t="s">
        <v>241</v>
      </c>
      <c r="C117" t="s">
        <v>243</v>
      </c>
      <c r="D117" t="s">
        <v>311</v>
      </c>
      <c r="E117" t="s">
        <v>541</v>
      </c>
      <c r="F117" t="s">
        <v>312</v>
      </c>
      <c r="G117" t="s">
        <v>504</v>
      </c>
      <c r="H117" s="47">
        <v>103600</v>
      </c>
      <c r="I117" s="12">
        <v>51000</v>
      </c>
      <c r="J117" s="39">
        <v>50360</v>
      </c>
      <c r="K117" s="12">
        <v>43512.6</v>
      </c>
      <c r="L117" s="42">
        <f t="shared" si="42"/>
        <v>0.98745098039215684</v>
      </c>
      <c r="M117" s="13">
        <f t="shared" si="43"/>
        <v>0.48610038610038608</v>
      </c>
      <c r="N117" s="13">
        <f t="shared" si="44"/>
        <v>1.1573659124023847</v>
      </c>
      <c r="O117" s="97">
        <f t="shared" si="45"/>
        <v>53240</v>
      </c>
      <c r="P117" s="106"/>
      <c r="Q117" s="39">
        <v>27000</v>
      </c>
      <c r="R117" s="12">
        <v>26107.4</v>
      </c>
      <c r="S117" s="12">
        <v>15153.4</v>
      </c>
      <c r="T117" s="42">
        <f t="shared" si="48"/>
        <v>0.96694074074074077</v>
      </c>
      <c r="U117" s="13">
        <f t="shared" si="38"/>
        <v>0.25200193050193054</v>
      </c>
      <c r="V117" s="13">
        <f t="shared" si="49"/>
        <v>1.7228740744651367</v>
      </c>
      <c r="W117" s="39">
        <f t="shared" si="39"/>
        <v>76600</v>
      </c>
    </row>
    <row r="118" spans="1:23" x14ac:dyDescent="0.25">
      <c r="A118" s="30" t="s">
        <v>276</v>
      </c>
      <c r="B118" t="s">
        <v>248</v>
      </c>
      <c r="C118" t="s">
        <v>250</v>
      </c>
      <c r="D118" t="s">
        <v>311</v>
      </c>
      <c r="E118" t="s">
        <v>541</v>
      </c>
      <c r="F118" t="s">
        <v>312</v>
      </c>
      <c r="G118" t="s">
        <v>505</v>
      </c>
      <c r="H118" s="47">
        <v>804000</v>
      </c>
      <c r="I118" s="12">
        <v>330000</v>
      </c>
      <c r="J118" s="39">
        <v>323193.09000000003</v>
      </c>
      <c r="K118" s="12">
        <v>285521.90000000002</v>
      </c>
      <c r="L118" s="42">
        <f t="shared" si="42"/>
        <v>0.97937300000000005</v>
      </c>
      <c r="M118" s="13">
        <f t="shared" si="43"/>
        <v>0.40198145522388062</v>
      </c>
      <c r="N118" s="13">
        <f t="shared" si="44"/>
        <v>1.1319380054559738</v>
      </c>
      <c r="O118" s="97">
        <f t="shared" si="45"/>
        <v>480806.91</v>
      </c>
      <c r="P118" s="106"/>
      <c r="Q118" s="39">
        <f>131000+500</f>
        <v>131500</v>
      </c>
      <c r="R118" s="12">
        <v>107496.09</v>
      </c>
      <c r="S118" s="12">
        <v>142515.95000000001</v>
      </c>
      <c r="T118" s="42">
        <f t="shared" si="48"/>
        <v>0.81746076045627369</v>
      </c>
      <c r="U118" s="13">
        <f t="shared" si="38"/>
        <v>0.13370160447761192</v>
      </c>
      <c r="V118" s="13">
        <f t="shared" si="49"/>
        <v>0.75427410054804378</v>
      </c>
      <c r="W118" s="39">
        <f t="shared" si="39"/>
        <v>672500</v>
      </c>
    </row>
    <row r="119" spans="1:23" x14ac:dyDescent="0.25">
      <c r="A119" s="30" t="s">
        <v>276</v>
      </c>
      <c r="B119" t="s">
        <v>259</v>
      </c>
      <c r="C119" t="s">
        <v>261</v>
      </c>
      <c r="D119" t="s">
        <v>311</v>
      </c>
      <c r="E119" t="s">
        <v>541</v>
      </c>
      <c r="F119" t="s">
        <v>312</v>
      </c>
      <c r="G119" t="s">
        <v>506</v>
      </c>
      <c r="H119" s="47">
        <v>222000</v>
      </c>
      <c r="I119" s="12">
        <v>95000</v>
      </c>
      <c r="J119" s="39">
        <v>94580.800000000003</v>
      </c>
      <c r="K119" s="12">
        <v>88427.6</v>
      </c>
      <c r="L119" s="42">
        <f t="shared" si="42"/>
        <v>0.99558736842105267</v>
      </c>
      <c r="M119" s="13">
        <f t="shared" si="43"/>
        <v>0.42603963963963964</v>
      </c>
      <c r="N119" s="13">
        <f t="shared" si="44"/>
        <v>1.0695846093301187</v>
      </c>
      <c r="O119" s="97">
        <f t="shared" si="45"/>
        <v>127419.2</v>
      </c>
      <c r="P119" s="106"/>
      <c r="Q119" s="39">
        <v>57700</v>
      </c>
      <c r="R119" s="12">
        <v>47290.400000000001</v>
      </c>
      <c r="S119" s="12">
        <v>44088.800000000003</v>
      </c>
      <c r="T119" s="42">
        <f t="shared" si="48"/>
        <v>0.81959098786828422</v>
      </c>
      <c r="U119" s="13">
        <f t="shared" ref="U119:U124" si="50">R119/H119</f>
        <v>0.21301981981981982</v>
      </c>
      <c r="V119" s="13">
        <f t="shared" si="49"/>
        <v>1.072617081889278</v>
      </c>
      <c r="W119" s="39">
        <f t="shared" ref="W119:W124" si="51">H119-Q119</f>
        <v>164300</v>
      </c>
    </row>
    <row r="120" spans="1:23" x14ac:dyDescent="0.25">
      <c r="A120" s="30" t="s">
        <v>276</v>
      </c>
      <c r="B120" t="s">
        <v>268</v>
      </c>
      <c r="C120" t="s">
        <v>270</v>
      </c>
      <c r="D120" t="s">
        <v>311</v>
      </c>
      <c r="E120" t="s">
        <v>541</v>
      </c>
      <c r="F120" t="s">
        <v>312</v>
      </c>
      <c r="G120" t="s">
        <v>507</v>
      </c>
      <c r="H120" s="47">
        <v>142000</v>
      </c>
      <c r="I120" s="12">
        <v>72000</v>
      </c>
      <c r="J120" s="39">
        <v>70814.720000000001</v>
      </c>
      <c r="K120" s="12">
        <v>55768.55</v>
      </c>
      <c r="L120" s="42">
        <f t="shared" si="42"/>
        <v>0.98353777777777784</v>
      </c>
      <c r="M120" s="13">
        <f t="shared" si="43"/>
        <v>0.49869521126760563</v>
      </c>
      <c r="N120" s="13">
        <f t="shared" si="44"/>
        <v>1.26979668648369</v>
      </c>
      <c r="O120" s="97">
        <f t="shared" si="45"/>
        <v>71185.279999999999</v>
      </c>
      <c r="P120" s="106"/>
      <c r="Q120" s="39">
        <v>36800</v>
      </c>
      <c r="R120" s="12">
        <v>30194.880000000001</v>
      </c>
      <c r="S120" s="12">
        <v>26688.52</v>
      </c>
      <c r="T120" s="42">
        <f t="shared" si="48"/>
        <v>0.82051304347826093</v>
      </c>
      <c r="U120" s="13">
        <f t="shared" si="50"/>
        <v>0.21264</v>
      </c>
      <c r="V120" s="13">
        <f t="shared" si="49"/>
        <v>1.131380833407023</v>
      </c>
      <c r="W120" s="39">
        <f t="shared" si="51"/>
        <v>105200</v>
      </c>
    </row>
    <row r="121" spans="1:23" x14ac:dyDescent="0.25">
      <c r="A121" s="30" t="s">
        <v>276</v>
      </c>
      <c r="B121" t="s">
        <v>277</v>
      </c>
      <c r="C121" t="s">
        <v>278</v>
      </c>
      <c r="D121" t="s">
        <v>283</v>
      </c>
      <c r="E121" t="s">
        <v>542</v>
      </c>
      <c r="F121" s="30" t="s">
        <v>548</v>
      </c>
      <c r="G121" t="s">
        <v>456</v>
      </c>
      <c r="H121" s="47">
        <v>100</v>
      </c>
      <c r="I121">
        <v>100</v>
      </c>
      <c r="J121" s="12">
        <v>88.71</v>
      </c>
      <c r="K121" s="12">
        <v>0</v>
      </c>
      <c r="L121" s="42">
        <f t="shared" ref="L121:L146" si="52">J121/I121</f>
        <v>0.88709999999999989</v>
      </c>
      <c r="M121" s="13">
        <f t="shared" ref="M121:M146" si="53">J121/H121</f>
        <v>0.88709999999999989</v>
      </c>
      <c r="N121" s="13" t="e">
        <f t="shared" ref="N121:N146" si="54">J121/K121</f>
        <v>#DIV/0!</v>
      </c>
      <c r="O121" s="97">
        <f t="shared" ref="O121:O146" si="55">H121-J121</f>
        <v>11.290000000000006</v>
      </c>
      <c r="P121" s="106"/>
      <c r="Q121" s="39">
        <v>100</v>
      </c>
      <c r="R121">
        <v>88.71</v>
      </c>
      <c r="S121">
        <v>0</v>
      </c>
      <c r="T121" s="42">
        <f t="shared" ref="T121:T135" si="56">R121/Q121</f>
        <v>0.88709999999999989</v>
      </c>
      <c r="U121" s="13">
        <f t="shared" si="50"/>
        <v>0.88709999999999989</v>
      </c>
      <c r="V121" s="13" t="e">
        <f t="shared" ref="V121:V135" si="57">R121/S121</f>
        <v>#DIV/0!</v>
      </c>
      <c r="W121" s="39">
        <f t="shared" si="51"/>
        <v>0</v>
      </c>
    </row>
    <row r="122" spans="1:23" x14ac:dyDescent="0.25">
      <c r="A122" s="30" t="s">
        <v>276</v>
      </c>
      <c r="B122" t="s">
        <v>295</v>
      </c>
      <c r="C122" t="s">
        <v>296</v>
      </c>
      <c r="D122" t="s">
        <v>283</v>
      </c>
      <c r="E122" t="s">
        <v>542</v>
      </c>
      <c r="F122" s="30" t="s">
        <v>548</v>
      </c>
      <c r="G122" t="s">
        <v>460</v>
      </c>
      <c r="H122" s="47">
        <v>1048000</v>
      </c>
      <c r="I122" s="12">
        <v>526000</v>
      </c>
      <c r="J122" s="12">
        <v>475191.47</v>
      </c>
      <c r="K122" s="12">
        <v>335263.01</v>
      </c>
      <c r="L122" s="42">
        <f t="shared" si="52"/>
        <v>0.90340583650190109</v>
      </c>
      <c r="M122" s="13">
        <f t="shared" si="53"/>
        <v>0.45342697519083969</v>
      </c>
      <c r="N122" s="13">
        <f t="shared" si="54"/>
        <v>1.41736921708124</v>
      </c>
      <c r="O122" s="97">
        <f t="shared" si="55"/>
        <v>572808.53</v>
      </c>
      <c r="P122" s="106"/>
      <c r="Q122" s="39">
        <f>175000+38400</f>
        <v>213400</v>
      </c>
      <c r="R122" s="12">
        <v>173978.19</v>
      </c>
      <c r="S122" s="12">
        <v>41612.519999999997</v>
      </c>
      <c r="T122" s="42">
        <f t="shared" si="56"/>
        <v>0.81526799437675723</v>
      </c>
      <c r="U122" s="13">
        <f t="shared" si="50"/>
        <v>0.16600972328244276</v>
      </c>
      <c r="V122" s="13">
        <f t="shared" si="57"/>
        <v>4.1809097358198928</v>
      </c>
      <c r="W122" s="39">
        <f t="shared" si="51"/>
        <v>834600</v>
      </c>
    </row>
    <row r="123" spans="1:23" x14ac:dyDescent="0.25">
      <c r="A123" s="30" t="s">
        <v>276</v>
      </c>
      <c r="B123" t="s">
        <v>329</v>
      </c>
      <c r="C123" t="s">
        <v>330</v>
      </c>
      <c r="D123" t="s">
        <v>283</v>
      </c>
      <c r="E123" t="s">
        <v>542</v>
      </c>
      <c r="F123" s="30" t="s">
        <v>548</v>
      </c>
      <c r="G123" t="s">
        <v>462</v>
      </c>
      <c r="H123" s="47">
        <v>100000</v>
      </c>
      <c r="I123" s="12">
        <v>0</v>
      </c>
      <c r="J123" s="12">
        <v>0</v>
      </c>
      <c r="K123" s="12">
        <v>7196</v>
      </c>
      <c r="L123" s="42" t="e">
        <f t="shared" si="52"/>
        <v>#DIV/0!</v>
      </c>
      <c r="M123" s="13">
        <f t="shared" si="53"/>
        <v>0</v>
      </c>
      <c r="N123" s="13">
        <f t="shared" si="54"/>
        <v>0</v>
      </c>
      <c r="O123" s="97">
        <f t="shared" si="55"/>
        <v>100000</v>
      </c>
      <c r="P123" s="106"/>
      <c r="Q123" s="39">
        <v>0</v>
      </c>
      <c r="R123" s="12">
        <v>0</v>
      </c>
      <c r="S123" s="12">
        <v>7196</v>
      </c>
      <c r="T123" s="42" t="e">
        <f t="shared" si="56"/>
        <v>#DIV/0!</v>
      </c>
      <c r="U123" s="13">
        <f t="shared" si="50"/>
        <v>0</v>
      </c>
      <c r="V123" s="13">
        <f t="shared" si="57"/>
        <v>0</v>
      </c>
      <c r="W123" s="39">
        <f t="shared" si="51"/>
        <v>100000</v>
      </c>
    </row>
    <row r="124" spans="1:23" x14ac:dyDescent="0.25">
      <c r="A124" s="30" t="s">
        <v>276</v>
      </c>
      <c r="B124" t="s">
        <v>341</v>
      </c>
      <c r="C124" t="s">
        <v>342</v>
      </c>
      <c r="D124" t="s">
        <v>283</v>
      </c>
      <c r="E124" t="s">
        <v>542</v>
      </c>
      <c r="F124" s="30" t="s">
        <v>548</v>
      </c>
      <c r="G124" t="s">
        <v>465</v>
      </c>
      <c r="H124" s="47">
        <v>1329200</v>
      </c>
      <c r="I124" s="12">
        <v>68000</v>
      </c>
      <c r="J124" s="12">
        <v>66075.8</v>
      </c>
      <c r="K124" s="12">
        <v>32271</v>
      </c>
      <c r="L124" s="42">
        <f t="shared" si="52"/>
        <v>0.9717029411764706</v>
      </c>
      <c r="M124" s="13">
        <f t="shared" si="53"/>
        <v>4.9710953957267531E-2</v>
      </c>
      <c r="N124" s="13">
        <f t="shared" si="54"/>
        <v>2.0475287409748693</v>
      </c>
      <c r="O124" s="97">
        <f t="shared" si="55"/>
        <v>1263124.2</v>
      </c>
      <c r="P124" s="106"/>
      <c r="Q124" s="39">
        <v>0</v>
      </c>
      <c r="R124" s="12">
        <v>0</v>
      </c>
      <c r="S124" s="12">
        <v>10088</v>
      </c>
      <c r="T124" s="42" t="e">
        <f t="shared" si="56"/>
        <v>#DIV/0!</v>
      </c>
      <c r="U124" s="13">
        <f t="shared" si="50"/>
        <v>0</v>
      </c>
      <c r="V124" s="13">
        <f t="shared" si="57"/>
        <v>0</v>
      </c>
      <c r="W124" s="39">
        <f t="shared" si="51"/>
        <v>1329200</v>
      </c>
    </row>
    <row r="125" spans="1:23" x14ac:dyDescent="0.25">
      <c r="A125" s="30" t="s">
        <v>276</v>
      </c>
      <c r="B125" t="s">
        <v>9</v>
      </c>
      <c r="C125" t="s">
        <v>11</v>
      </c>
      <c r="D125" t="s">
        <v>283</v>
      </c>
      <c r="E125" t="s">
        <v>542</v>
      </c>
      <c r="F125" s="30" t="s">
        <v>548</v>
      </c>
      <c r="G125" s="30" t="s">
        <v>868</v>
      </c>
      <c r="H125" s="47">
        <v>6000</v>
      </c>
      <c r="I125" s="12">
        <v>0</v>
      </c>
      <c r="J125" s="12">
        <v>0</v>
      </c>
      <c r="K125" s="12">
        <v>0</v>
      </c>
      <c r="L125" s="42" t="e">
        <f t="shared" si="52"/>
        <v>#DIV/0!</v>
      </c>
      <c r="M125" s="13">
        <f t="shared" si="53"/>
        <v>0</v>
      </c>
      <c r="N125" s="13" t="e">
        <f t="shared" si="54"/>
        <v>#DIV/0!</v>
      </c>
      <c r="O125" s="97">
        <f t="shared" si="55"/>
        <v>6000</v>
      </c>
      <c r="P125" s="106"/>
      <c r="Q125" s="39"/>
      <c r="R125" s="12"/>
      <c r="S125" s="12"/>
      <c r="T125" s="42"/>
      <c r="U125" s="13"/>
      <c r="V125" s="13"/>
      <c r="W125" s="39"/>
    </row>
    <row r="126" spans="1:23" x14ac:dyDescent="0.25">
      <c r="A126" s="30" t="s">
        <v>276</v>
      </c>
      <c r="B126" t="s">
        <v>13</v>
      </c>
      <c r="C126" t="s">
        <v>15</v>
      </c>
      <c r="D126" t="s">
        <v>283</v>
      </c>
      <c r="E126" t="s">
        <v>542</v>
      </c>
      <c r="F126" s="30" t="s">
        <v>548</v>
      </c>
      <c r="G126" t="s">
        <v>467</v>
      </c>
      <c r="H126" s="47">
        <v>522000</v>
      </c>
      <c r="I126" s="12">
        <v>86000</v>
      </c>
      <c r="J126" s="12">
        <v>84445.65</v>
      </c>
      <c r="K126" s="12">
        <v>20338.650000000001</v>
      </c>
      <c r="L126" s="42">
        <f t="shared" si="52"/>
        <v>0.98192616279069755</v>
      </c>
      <c r="M126" s="13">
        <f t="shared" si="53"/>
        <v>0.16177327586206897</v>
      </c>
      <c r="N126" s="13">
        <f t="shared" si="54"/>
        <v>4.151979113657986</v>
      </c>
      <c r="O126" s="97">
        <f t="shared" si="55"/>
        <v>437554.35</v>
      </c>
      <c r="P126" s="106"/>
      <c r="Q126" s="39">
        <v>70600</v>
      </c>
      <c r="R126">
        <v>57297.15</v>
      </c>
      <c r="S126">
        <v>19970.3</v>
      </c>
      <c r="T126" s="42">
        <f t="shared" si="56"/>
        <v>0.81157436260623228</v>
      </c>
      <c r="U126" s="13">
        <f t="shared" ref="U126:U157" si="58">R126/H126</f>
        <v>0.10976465517241379</v>
      </c>
      <c r="V126" s="13">
        <f t="shared" si="57"/>
        <v>2.8691181404385513</v>
      </c>
      <c r="W126" s="39">
        <f t="shared" ref="W126:W157" si="59">H126-Q126</f>
        <v>451400</v>
      </c>
    </row>
    <row r="127" spans="1:23" x14ac:dyDescent="0.25">
      <c r="A127" s="30" t="s">
        <v>276</v>
      </c>
      <c r="B127" t="s">
        <v>77</v>
      </c>
      <c r="C127" t="s">
        <v>79</v>
      </c>
      <c r="D127" t="s">
        <v>283</v>
      </c>
      <c r="E127" t="s">
        <v>542</v>
      </c>
      <c r="F127" s="30" t="s">
        <v>548</v>
      </c>
      <c r="G127" t="s">
        <v>480</v>
      </c>
      <c r="H127" s="47">
        <v>800</v>
      </c>
      <c r="I127" s="12">
        <v>800</v>
      </c>
      <c r="J127" s="12">
        <v>705</v>
      </c>
      <c r="K127" s="12">
        <v>0</v>
      </c>
      <c r="L127" s="42">
        <f t="shared" si="52"/>
        <v>0.88124999999999998</v>
      </c>
      <c r="M127" s="13">
        <f t="shared" si="53"/>
        <v>0.88124999999999998</v>
      </c>
      <c r="N127" s="13" t="e">
        <f t="shared" si="54"/>
        <v>#DIV/0!</v>
      </c>
      <c r="O127" s="97">
        <f t="shared" si="55"/>
        <v>95</v>
      </c>
      <c r="P127" s="106"/>
      <c r="Q127" s="39">
        <v>0</v>
      </c>
      <c r="R127" s="12">
        <v>0</v>
      </c>
      <c r="S127" s="12">
        <v>0</v>
      </c>
      <c r="T127" s="42" t="e">
        <f t="shared" si="56"/>
        <v>#DIV/0!</v>
      </c>
      <c r="U127" s="13">
        <f t="shared" si="58"/>
        <v>0</v>
      </c>
      <c r="V127" s="13" t="e">
        <f t="shared" si="57"/>
        <v>#DIV/0!</v>
      </c>
      <c r="W127" s="39">
        <f t="shared" si="59"/>
        <v>800</v>
      </c>
    </row>
    <row r="128" spans="1:23" x14ac:dyDescent="0.25">
      <c r="A128" s="30" t="s">
        <v>276</v>
      </c>
      <c r="B128" t="s">
        <v>110</v>
      </c>
      <c r="C128" t="s">
        <v>112</v>
      </c>
      <c r="D128" t="s">
        <v>283</v>
      </c>
      <c r="E128" t="s">
        <v>542</v>
      </c>
      <c r="F128" s="30" t="s">
        <v>548</v>
      </c>
      <c r="G128" t="s">
        <v>487</v>
      </c>
      <c r="H128" s="47">
        <v>67600</v>
      </c>
      <c r="I128" s="12">
        <v>45000</v>
      </c>
      <c r="J128" s="12">
        <v>39193.120000000003</v>
      </c>
      <c r="K128" s="12">
        <v>10979.99</v>
      </c>
      <c r="L128" s="42">
        <f t="shared" si="52"/>
        <v>0.8709582222222223</v>
      </c>
      <c r="M128" s="13">
        <f t="shared" si="53"/>
        <v>0.57977988165680472</v>
      </c>
      <c r="N128" s="13">
        <f t="shared" si="54"/>
        <v>3.5695041616613499</v>
      </c>
      <c r="O128" s="97">
        <f t="shared" si="55"/>
        <v>28406.879999999997</v>
      </c>
      <c r="P128" s="106"/>
      <c r="Q128" s="39">
        <f>9000+200</f>
        <v>9200</v>
      </c>
      <c r="R128">
        <v>7382.78</v>
      </c>
      <c r="S128">
        <v>6466.23</v>
      </c>
      <c r="T128" s="42">
        <f t="shared" si="56"/>
        <v>0.80247608695652173</v>
      </c>
      <c r="U128" s="13">
        <f t="shared" si="58"/>
        <v>0.10921272189349113</v>
      </c>
      <c r="V128" s="13">
        <f t="shared" si="57"/>
        <v>1.1417441074629266</v>
      </c>
      <c r="W128" s="39">
        <f t="shared" si="59"/>
        <v>58400</v>
      </c>
    </row>
    <row r="129" spans="1:23" x14ac:dyDescent="0.25">
      <c r="A129" s="30" t="s">
        <v>276</v>
      </c>
      <c r="B129" t="s">
        <v>119</v>
      </c>
      <c r="C129" t="s">
        <v>121</v>
      </c>
      <c r="D129" t="s">
        <v>283</v>
      </c>
      <c r="E129" t="s">
        <v>542</v>
      </c>
      <c r="F129" s="30" t="s">
        <v>548</v>
      </c>
      <c r="G129" t="s">
        <v>488</v>
      </c>
      <c r="H129" s="47">
        <v>94500</v>
      </c>
      <c r="I129" s="12">
        <v>60000</v>
      </c>
      <c r="J129" s="12">
        <v>53800.56</v>
      </c>
      <c r="K129" s="12">
        <v>53026.36</v>
      </c>
      <c r="L129" s="42">
        <f t="shared" si="52"/>
        <v>0.89667599999999992</v>
      </c>
      <c r="M129" s="13">
        <f t="shared" si="53"/>
        <v>0.56931809523809518</v>
      </c>
      <c r="N129" s="13">
        <f t="shared" si="54"/>
        <v>1.0146002855938066</v>
      </c>
      <c r="O129" s="97">
        <f t="shared" si="55"/>
        <v>40699.440000000002</v>
      </c>
      <c r="P129" s="106"/>
      <c r="Q129" s="39">
        <f>34000+8000</f>
        <v>42000</v>
      </c>
      <c r="R129" s="12">
        <v>33624.57</v>
      </c>
      <c r="S129" s="12">
        <v>17363.240000000002</v>
      </c>
      <c r="T129" s="42">
        <f t="shared" si="56"/>
        <v>0.80058499999999999</v>
      </c>
      <c r="U129" s="13">
        <f t="shared" si="58"/>
        <v>0.35581555555555555</v>
      </c>
      <c r="V129" s="13">
        <f t="shared" si="57"/>
        <v>1.9365377659929828</v>
      </c>
      <c r="W129" s="39">
        <f t="shared" si="59"/>
        <v>52500</v>
      </c>
    </row>
    <row r="130" spans="1:23" x14ac:dyDescent="0.25">
      <c r="A130" s="30" t="s">
        <v>276</v>
      </c>
      <c r="B130" t="s">
        <v>127</v>
      </c>
      <c r="C130" t="s">
        <v>128</v>
      </c>
      <c r="D130" t="s">
        <v>283</v>
      </c>
      <c r="E130" t="s">
        <v>542</v>
      </c>
      <c r="F130" s="30" t="s">
        <v>548</v>
      </c>
      <c r="G130" t="s">
        <v>489</v>
      </c>
      <c r="H130" s="47">
        <v>87000</v>
      </c>
      <c r="I130" s="12">
        <v>45000</v>
      </c>
      <c r="J130" s="12">
        <v>39448.589999999997</v>
      </c>
      <c r="K130" s="12">
        <v>35955.1</v>
      </c>
      <c r="L130" s="42">
        <f t="shared" si="52"/>
        <v>0.87663533333333321</v>
      </c>
      <c r="M130" s="13">
        <f t="shared" si="53"/>
        <v>0.45343206896551719</v>
      </c>
      <c r="N130" s="13">
        <f t="shared" si="54"/>
        <v>1.0971625722081151</v>
      </c>
      <c r="O130" s="97">
        <f t="shared" si="55"/>
        <v>47551.41</v>
      </c>
      <c r="P130" s="106"/>
      <c r="Q130" s="39">
        <f>20000+4000</f>
        <v>24000</v>
      </c>
      <c r="R130" s="12">
        <v>19252.43</v>
      </c>
      <c r="S130" s="12">
        <v>25832.62</v>
      </c>
      <c r="T130" s="42">
        <f t="shared" si="56"/>
        <v>0.80218458333333331</v>
      </c>
      <c r="U130" s="13">
        <f t="shared" si="58"/>
        <v>0.22129229885057472</v>
      </c>
      <c r="V130" s="13">
        <f t="shared" si="57"/>
        <v>0.74527593407095372</v>
      </c>
      <c r="W130" s="39">
        <f t="shared" si="59"/>
        <v>63000</v>
      </c>
    </row>
    <row r="131" spans="1:23" x14ac:dyDescent="0.25">
      <c r="A131" s="30" t="s">
        <v>276</v>
      </c>
      <c r="B131" t="s">
        <v>135</v>
      </c>
      <c r="C131" t="s">
        <v>137</v>
      </c>
      <c r="D131" t="s">
        <v>283</v>
      </c>
      <c r="E131" t="s">
        <v>542</v>
      </c>
      <c r="F131" s="30" t="s">
        <v>548</v>
      </c>
      <c r="G131" t="s">
        <v>490</v>
      </c>
      <c r="H131" s="47">
        <v>210000</v>
      </c>
      <c r="I131" s="12">
        <v>33000</v>
      </c>
      <c r="J131" s="12">
        <v>27958.01</v>
      </c>
      <c r="K131" s="12">
        <v>50595.58</v>
      </c>
      <c r="L131" s="42">
        <f t="shared" si="52"/>
        <v>0.84721242424242416</v>
      </c>
      <c r="M131" s="13">
        <f t="shared" si="53"/>
        <v>0.13313338095238095</v>
      </c>
      <c r="N131" s="13">
        <f t="shared" si="54"/>
        <v>0.55257811057803863</v>
      </c>
      <c r="O131" s="97">
        <f t="shared" si="55"/>
        <v>182041.99</v>
      </c>
      <c r="P131" s="106"/>
      <c r="Q131" s="39">
        <v>5800</v>
      </c>
      <c r="R131" s="12">
        <v>4672.37</v>
      </c>
      <c r="S131" s="12">
        <v>20680.62</v>
      </c>
      <c r="T131" s="42">
        <f t="shared" si="56"/>
        <v>0.80558103448275864</v>
      </c>
      <c r="U131" s="13">
        <f t="shared" si="58"/>
        <v>2.2249380952380951E-2</v>
      </c>
      <c r="V131" s="13">
        <f t="shared" si="57"/>
        <v>0.22592988024536984</v>
      </c>
      <c r="W131" s="39">
        <f t="shared" si="59"/>
        <v>204200</v>
      </c>
    </row>
    <row r="132" spans="1:23" x14ac:dyDescent="0.25">
      <c r="A132" s="30" t="s">
        <v>276</v>
      </c>
      <c r="B132" t="s">
        <v>143</v>
      </c>
      <c r="C132" t="s">
        <v>145</v>
      </c>
      <c r="D132" t="s">
        <v>283</v>
      </c>
      <c r="E132" t="s">
        <v>542</v>
      </c>
      <c r="F132" s="30" t="s">
        <v>548</v>
      </c>
      <c r="G132" t="s">
        <v>491</v>
      </c>
      <c r="H132" s="47">
        <v>121500</v>
      </c>
      <c r="I132" s="12">
        <v>80000</v>
      </c>
      <c r="J132" s="12">
        <v>74327.179999999993</v>
      </c>
      <c r="K132" s="12">
        <v>67068.33</v>
      </c>
      <c r="L132" s="42">
        <f t="shared" si="52"/>
        <v>0.92908974999999994</v>
      </c>
      <c r="M132" s="13">
        <f t="shared" si="53"/>
        <v>0.61174633744855966</v>
      </c>
      <c r="N132" s="13">
        <f t="shared" si="54"/>
        <v>1.1082306656509859</v>
      </c>
      <c r="O132" s="97">
        <f t="shared" si="55"/>
        <v>47172.820000000007</v>
      </c>
      <c r="P132" s="106"/>
      <c r="Q132" s="39">
        <f>45000+10000</f>
        <v>55000</v>
      </c>
      <c r="R132" s="12">
        <v>44407.48</v>
      </c>
      <c r="S132" s="12">
        <v>47527.360000000001</v>
      </c>
      <c r="T132" s="42">
        <f t="shared" si="56"/>
        <v>0.80740872727272728</v>
      </c>
      <c r="U132" s="13">
        <f t="shared" si="58"/>
        <v>0.36549366255144033</v>
      </c>
      <c r="V132" s="13">
        <f t="shared" si="57"/>
        <v>0.93435612666051726</v>
      </c>
      <c r="W132" s="39">
        <f t="shared" si="59"/>
        <v>66500</v>
      </c>
    </row>
    <row r="133" spans="1:23" x14ac:dyDescent="0.25">
      <c r="A133" s="30" t="s">
        <v>276</v>
      </c>
      <c r="B133" t="s">
        <v>151</v>
      </c>
      <c r="C133" t="s">
        <v>153</v>
      </c>
      <c r="D133" t="s">
        <v>283</v>
      </c>
      <c r="E133" t="s">
        <v>542</v>
      </c>
      <c r="F133" s="30" t="s">
        <v>548</v>
      </c>
      <c r="G133" t="s">
        <v>493</v>
      </c>
      <c r="H133" s="47">
        <v>116800</v>
      </c>
      <c r="I133" s="12">
        <v>60000</v>
      </c>
      <c r="J133" s="12">
        <v>55591.1</v>
      </c>
      <c r="K133" s="12">
        <v>71592.39</v>
      </c>
      <c r="L133" s="42">
        <f t="shared" si="52"/>
        <v>0.92651833333333333</v>
      </c>
      <c r="M133" s="13">
        <f t="shared" si="53"/>
        <v>0.47595119863013696</v>
      </c>
      <c r="N133" s="13">
        <f t="shared" si="54"/>
        <v>0.77649454083038716</v>
      </c>
      <c r="O133" s="97">
        <f t="shared" si="55"/>
        <v>61208.9</v>
      </c>
      <c r="P133" s="106"/>
      <c r="Q133" s="39">
        <f>15000+3500</f>
        <v>18500</v>
      </c>
      <c r="R133" s="12">
        <v>14938.24</v>
      </c>
      <c r="S133" s="12">
        <v>54121.53</v>
      </c>
      <c r="T133" s="42">
        <f t="shared" si="56"/>
        <v>0.80747243243243239</v>
      </c>
      <c r="U133" s="13">
        <f t="shared" si="58"/>
        <v>0.12789589041095889</v>
      </c>
      <c r="V133" s="13">
        <f t="shared" si="57"/>
        <v>0.27601289172719251</v>
      </c>
      <c r="W133" s="39">
        <f t="shared" si="59"/>
        <v>98300</v>
      </c>
    </row>
    <row r="134" spans="1:23" x14ac:dyDescent="0.25">
      <c r="A134" s="30" t="s">
        <v>276</v>
      </c>
      <c r="B134" t="s">
        <v>159</v>
      </c>
      <c r="C134" t="s">
        <v>161</v>
      </c>
      <c r="D134" t="s">
        <v>283</v>
      </c>
      <c r="E134" t="s">
        <v>542</v>
      </c>
      <c r="F134" s="30" t="s">
        <v>548</v>
      </c>
      <c r="G134" t="s">
        <v>495</v>
      </c>
      <c r="H134" s="47">
        <v>123100</v>
      </c>
      <c r="I134" s="12">
        <v>43000</v>
      </c>
      <c r="J134" s="12">
        <v>38909.06</v>
      </c>
      <c r="K134" s="12">
        <v>34392.01</v>
      </c>
      <c r="L134" s="42">
        <f t="shared" si="52"/>
        <v>0.90486186046511619</v>
      </c>
      <c r="M134" s="13">
        <f t="shared" si="53"/>
        <v>0.31607684809098291</v>
      </c>
      <c r="N134" s="13">
        <f t="shared" si="54"/>
        <v>1.1313400990520761</v>
      </c>
      <c r="O134" s="97">
        <f t="shared" si="55"/>
        <v>84190.94</v>
      </c>
      <c r="P134" s="106"/>
      <c r="Q134" s="39">
        <f>11000+200</f>
        <v>11200</v>
      </c>
      <c r="R134" s="12">
        <v>8997.82</v>
      </c>
      <c r="S134" s="12">
        <v>23648.54</v>
      </c>
      <c r="T134" s="42">
        <f t="shared" si="56"/>
        <v>0.80337678571428572</v>
      </c>
      <c r="U134" s="13">
        <f t="shared" si="58"/>
        <v>7.3093582453290007E-2</v>
      </c>
      <c r="V134" s="13">
        <f t="shared" si="57"/>
        <v>0.38048099375267985</v>
      </c>
      <c r="W134" s="39">
        <f t="shared" si="59"/>
        <v>111900</v>
      </c>
    </row>
    <row r="135" spans="1:23" x14ac:dyDescent="0.25">
      <c r="A135" s="30" t="s">
        <v>276</v>
      </c>
      <c r="B135" t="s">
        <v>170</v>
      </c>
      <c r="C135" t="s">
        <v>172</v>
      </c>
      <c r="D135" t="s">
        <v>283</v>
      </c>
      <c r="E135" t="s">
        <v>542</v>
      </c>
      <c r="F135" s="30" t="s">
        <v>548</v>
      </c>
      <c r="G135" t="s">
        <v>496</v>
      </c>
      <c r="H135" s="47">
        <v>92000</v>
      </c>
      <c r="I135" s="12">
        <v>63000</v>
      </c>
      <c r="J135" s="12">
        <v>57124.88</v>
      </c>
      <c r="K135" s="12">
        <v>51613.63</v>
      </c>
      <c r="L135" s="42">
        <f t="shared" si="52"/>
        <v>0.90674412698412699</v>
      </c>
      <c r="M135" s="13">
        <f t="shared" si="53"/>
        <v>0.62092260869565219</v>
      </c>
      <c r="N135" s="13">
        <f t="shared" si="54"/>
        <v>1.1067789651686968</v>
      </c>
      <c r="O135" s="97">
        <f t="shared" si="55"/>
        <v>34875.120000000003</v>
      </c>
      <c r="P135" s="106"/>
      <c r="Q135" s="39">
        <f>15000+3300</f>
        <v>18300</v>
      </c>
      <c r="R135" s="12">
        <v>14648.69</v>
      </c>
      <c r="S135" s="12">
        <v>28348.81</v>
      </c>
      <c r="T135" s="42">
        <f t="shared" si="56"/>
        <v>0.80047486338797813</v>
      </c>
      <c r="U135" s="13">
        <f t="shared" si="58"/>
        <v>0.15922489130434783</v>
      </c>
      <c r="V135" s="13">
        <f t="shared" si="57"/>
        <v>0.51673033189047446</v>
      </c>
      <c r="W135" s="39">
        <f t="shared" si="59"/>
        <v>73700</v>
      </c>
    </row>
    <row r="136" spans="1:23" x14ac:dyDescent="0.25">
      <c r="A136" s="30" t="s">
        <v>276</v>
      </c>
      <c r="B136" t="s">
        <v>179</v>
      </c>
      <c r="C136" t="s">
        <v>181</v>
      </c>
      <c r="D136" t="s">
        <v>283</v>
      </c>
      <c r="E136" t="s">
        <v>542</v>
      </c>
      <c r="F136" s="30" t="s">
        <v>548</v>
      </c>
      <c r="G136" t="s">
        <v>497</v>
      </c>
      <c r="H136" s="47">
        <v>139000</v>
      </c>
      <c r="I136" s="12">
        <v>70000</v>
      </c>
      <c r="J136" s="12">
        <v>67736.27</v>
      </c>
      <c r="K136" s="12">
        <v>81434.05</v>
      </c>
      <c r="L136" s="42">
        <f t="shared" si="52"/>
        <v>0.9676610000000001</v>
      </c>
      <c r="M136" s="13">
        <f t="shared" si="53"/>
        <v>0.48731129496402881</v>
      </c>
      <c r="N136" s="13">
        <f t="shared" si="54"/>
        <v>0.83179296621008048</v>
      </c>
      <c r="O136" s="97">
        <f t="shared" si="55"/>
        <v>71263.73</v>
      </c>
      <c r="P136" s="106"/>
      <c r="Q136" s="39">
        <f>20000+3000</f>
        <v>23000</v>
      </c>
      <c r="R136" s="12">
        <v>18532.09</v>
      </c>
      <c r="S136" s="12">
        <v>52829.34</v>
      </c>
      <c r="T136" s="42">
        <f t="shared" ref="T136:T146" si="60">R136/Q136</f>
        <v>0.80574304347826087</v>
      </c>
      <c r="U136" s="13">
        <f t="shared" si="58"/>
        <v>0.13332438848920863</v>
      </c>
      <c r="V136" s="13">
        <f t="shared" ref="V136:V146" si="61">R136/S136</f>
        <v>0.35079162450259649</v>
      </c>
      <c r="W136" s="39">
        <f t="shared" si="59"/>
        <v>116000</v>
      </c>
    </row>
    <row r="137" spans="1:23" x14ac:dyDescent="0.25">
      <c r="A137" s="30" t="s">
        <v>276</v>
      </c>
      <c r="B137" t="s">
        <v>189</v>
      </c>
      <c r="C137" t="s">
        <v>191</v>
      </c>
      <c r="D137" t="s">
        <v>283</v>
      </c>
      <c r="E137" t="s">
        <v>542</v>
      </c>
      <c r="F137" s="30" t="s">
        <v>548</v>
      </c>
      <c r="G137" t="s">
        <v>498</v>
      </c>
      <c r="H137" s="47">
        <v>93000</v>
      </c>
      <c r="I137" s="12">
        <v>43000</v>
      </c>
      <c r="J137" s="12">
        <v>38955.589999999997</v>
      </c>
      <c r="K137" s="12">
        <v>60108.94</v>
      </c>
      <c r="L137" s="42">
        <f t="shared" si="52"/>
        <v>0.90594395348837198</v>
      </c>
      <c r="M137" s="13">
        <f t="shared" si="53"/>
        <v>0.41887731182795696</v>
      </c>
      <c r="N137" s="13">
        <f t="shared" si="54"/>
        <v>0.64808313039624377</v>
      </c>
      <c r="O137" s="97">
        <f t="shared" si="55"/>
        <v>54044.41</v>
      </c>
      <c r="P137" s="106"/>
      <c r="Q137" s="39">
        <v>6300</v>
      </c>
      <c r="R137" s="12">
        <v>5101.5600000000004</v>
      </c>
      <c r="S137" s="12">
        <v>24362.41</v>
      </c>
      <c r="T137" s="42">
        <f t="shared" si="60"/>
        <v>0.80977142857142859</v>
      </c>
      <c r="U137" s="13">
        <f t="shared" si="58"/>
        <v>5.4855483870967746E-2</v>
      </c>
      <c r="V137" s="13">
        <f t="shared" si="61"/>
        <v>0.2094029285280069</v>
      </c>
      <c r="W137" s="39">
        <f t="shared" si="59"/>
        <v>86700</v>
      </c>
    </row>
    <row r="138" spans="1:23" x14ac:dyDescent="0.25">
      <c r="A138" s="30" t="s">
        <v>276</v>
      </c>
      <c r="B138" t="s">
        <v>198</v>
      </c>
      <c r="C138" t="s">
        <v>200</v>
      </c>
      <c r="D138" t="s">
        <v>283</v>
      </c>
      <c r="E138" t="s">
        <v>542</v>
      </c>
      <c r="F138" s="30" t="s">
        <v>548</v>
      </c>
      <c r="G138" t="s">
        <v>499</v>
      </c>
      <c r="H138" s="47">
        <v>119000</v>
      </c>
      <c r="I138" s="12">
        <v>62000</v>
      </c>
      <c r="J138" s="12">
        <v>57502.239999999998</v>
      </c>
      <c r="K138" s="12">
        <v>56797.07</v>
      </c>
      <c r="L138" s="42">
        <f t="shared" si="52"/>
        <v>0.92745548387096766</v>
      </c>
      <c r="M138" s="13">
        <f t="shared" si="53"/>
        <v>0.48321210084033611</v>
      </c>
      <c r="N138" s="13">
        <f t="shared" si="54"/>
        <v>1.0124156052416085</v>
      </c>
      <c r="O138" s="97">
        <f t="shared" si="55"/>
        <v>61497.760000000002</v>
      </c>
      <c r="P138" s="106"/>
      <c r="Q138" s="39">
        <f>27000+6000</f>
        <v>33000</v>
      </c>
      <c r="R138" s="12">
        <v>26514.65</v>
      </c>
      <c r="S138" s="12">
        <v>15441.28</v>
      </c>
      <c r="T138" s="42">
        <f t="shared" si="60"/>
        <v>0.80347424242424248</v>
      </c>
      <c r="U138" s="13">
        <f t="shared" si="58"/>
        <v>0.2228121848739496</v>
      </c>
      <c r="V138" s="13">
        <f t="shared" si="61"/>
        <v>1.7171277251626809</v>
      </c>
      <c r="W138" s="39">
        <f t="shared" si="59"/>
        <v>86000</v>
      </c>
    </row>
    <row r="139" spans="1:23" x14ac:dyDescent="0.25">
      <c r="A139" s="30" t="s">
        <v>276</v>
      </c>
      <c r="B139" t="s">
        <v>206</v>
      </c>
      <c r="C139" t="s">
        <v>208</v>
      </c>
      <c r="D139" t="s">
        <v>283</v>
      </c>
      <c r="E139" t="s">
        <v>542</v>
      </c>
      <c r="F139" s="30" t="s">
        <v>548</v>
      </c>
      <c r="G139" t="s">
        <v>500</v>
      </c>
      <c r="H139" s="47">
        <v>87000</v>
      </c>
      <c r="I139" s="12">
        <v>38000</v>
      </c>
      <c r="J139" s="12">
        <v>31593.08</v>
      </c>
      <c r="K139" s="12">
        <v>40462</v>
      </c>
      <c r="L139" s="42">
        <f t="shared" si="52"/>
        <v>0.83139684210526321</v>
      </c>
      <c r="M139" s="13">
        <f t="shared" si="53"/>
        <v>0.36313885057471268</v>
      </c>
      <c r="N139" s="13">
        <f t="shared" si="54"/>
        <v>0.78080865997726268</v>
      </c>
      <c r="O139" s="97">
        <f t="shared" si="55"/>
        <v>55406.92</v>
      </c>
      <c r="P139" s="106"/>
      <c r="Q139" s="39">
        <f>21000+5000</f>
        <v>26000</v>
      </c>
      <c r="R139" s="12">
        <v>20957.21</v>
      </c>
      <c r="S139" s="12">
        <v>16569.259999999998</v>
      </c>
      <c r="T139" s="42">
        <f t="shared" si="60"/>
        <v>0.8060465384615384</v>
      </c>
      <c r="U139" s="13">
        <f t="shared" si="58"/>
        <v>0.2408874712643678</v>
      </c>
      <c r="V139" s="13">
        <f t="shared" si="61"/>
        <v>1.2648247417205114</v>
      </c>
      <c r="W139" s="39">
        <f t="shared" si="59"/>
        <v>61000</v>
      </c>
    </row>
    <row r="140" spans="1:23" x14ac:dyDescent="0.25">
      <c r="A140" s="30" t="s">
        <v>276</v>
      </c>
      <c r="B140" t="s">
        <v>214</v>
      </c>
      <c r="C140" t="s">
        <v>216</v>
      </c>
      <c r="D140" t="s">
        <v>283</v>
      </c>
      <c r="E140" t="s">
        <v>542</v>
      </c>
      <c r="F140" s="30" t="s">
        <v>548</v>
      </c>
      <c r="G140" t="s">
        <v>501</v>
      </c>
      <c r="H140" s="47">
        <v>152400</v>
      </c>
      <c r="I140" s="12">
        <v>80000</v>
      </c>
      <c r="J140" s="12">
        <v>77356.98</v>
      </c>
      <c r="K140" s="12">
        <v>40833.19</v>
      </c>
      <c r="L140" s="42">
        <f t="shared" si="52"/>
        <v>0.96696224999999991</v>
      </c>
      <c r="M140" s="13">
        <f t="shared" si="53"/>
        <v>0.50759173228346455</v>
      </c>
      <c r="N140" s="13">
        <f t="shared" si="54"/>
        <v>1.894463303014043</v>
      </c>
      <c r="O140" s="97">
        <f t="shared" si="55"/>
        <v>75043.02</v>
      </c>
      <c r="P140" s="106"/>
      <c r="Q140" s="39">
        <f>30000+7000</f>
        <v>37000</v>
      </c>
      <c r="R140" s="12">
        <v>29822.53</v>
      </c>
      <c r="S140" s="12">
        <v>17350.7</v>
      </c>
      <c r="T140" s="42">
        <f t="shared" si="60"/>
        <v>0.80601432432432429</v>
      </c>
      <c r="U140" s="13">
        <f t="shared" si="58"/>
        <v>0.19568589238845144</v>
      </c>
      <c r="V140" s="13">
        <f t="shared" si="61"/>
        <v>1.7188084630591272</v>
      </c>
      <c r="W140" s="39">
        <f t="shared" si="59"/>
        <v>115400</v>
      </c>
    </row>
    <row r="141" spans="1:23" x14ac:dyDescent="0.25">
      <c r="A141" s="30" t="s">
        <v>276</v>
      </c>
      <c r="B141" t="s">
        <v>226</v>
      </c>
      <c r="C141" t="s">
        <v>228</v>
      </c>
      <c r="D141" t="s">
        <v>283</v>
      </c>
      <c r="E141" t="s">
        <v>542</v>
      </c>
      <c r="F141" s="30" t="s">
        <v>548</v>
      </c>
      <c r="G141" t="s">
        <v>502</v>
      </c>
      <c r="H141" s="47">
        <v>71000</v>
      </c>
      <c r="I141" s="12">
        <v>30000</v>
      </c>
      <c r="J141" s="12">
        <v>28139.42</v>
      </c>
      <c r="K141" s="12">
        <v>36716.47</v>
      </c>
      <c r="L141" s="42">
        <f t="shared" si="52"/>
        <v>0.93798066666666657</v>
      </c>
      <c r="M141" s="13">
        <f t="shared" si="53"/>
        <v>0.39632985915492958</v>
      </c>
      <c r="N141" s="13">
        <f t="shared" si="54"/>
        <v>0.76639775011050892</v>
      </c>
      <c r="O141" s="97">
        <f t="shared" si="55"/>
        <v>42860.58</v>
      </c>
      <c r="P141" s="106"/>
      <c r="Q141" s="39">
        <v>5200</v>
      </c>
      <c r="R141" s="12">
        <v>4204.17</v>
      </c>
      <c r="S141" s="12">
        <v>18207.64</v>
      </c>
      <c r="T141" s="42">
        <f t="shared" si="60"/>
        <v>0.80849423076923077</v>
      </c>
      <c r="U141" s="13">
        <f t="shared" si="58"/>
        <v>5.9213661971830985E-2</v>
      </c>
      <c r="V141" s="13">
        <f t="shared" si="61"/>
        <v>0.2309014237979222</v>
      </c>
      <c r="W141" s="39">
        <f t="shared" si="59"/>
        <v>65800</v>
      </c>
    </row>
    <row r="142" spans="1:23" x14ac:dyDescent="0.25">
      <c r="A142" s="30" t="s">
        <v>276</v>
      </c>
      <c r="B142" t="s">
        <v>234</v>
      </c>
      <c r="C142" t="s">
        <v>236</v>
      </c>
      <c r="D142" t="s">
        <v>283</v>
      </c>
      <c r="E142" t="s">
        <v>542</v>
      </c>
      <c r="F142" s="30" t="s">
        <v>548</v>
      </c>
      <c r="G142" t="s">
        <v>503</v>
      </c>
      <c r="H142" s="47">
        <v>74000</v>
      </c>
      <c r="I142" s="12">
        <v>10000</v>
      </c>
      <c r="J142" s="12">
        <v>9506.25</v>
      </c>
      <c r="K142" s="12">
        <v>33360.089999999997</v>
      </c>
      <c r="L142" s="42">
        <f t="shared" si="52"/>
        <v>0.95062500000000005</v>
      </c>
      <c r="M142" s="13">
        <f t="shared" si="53"/>
        <v>0.12846283783783785</v>
      </c>
      <c r="N142" s="13">
        <f t="shared" si="54"/>
        <v>0.28495876360045796</v>
      </c>
      <c r="O142" s="97">
        <f t="shared" si="55"/>
        <v>64493.75</v>
      </c>
      <c r="P142" s="106"/>
      <c r="Q142" s="39">
        <f>2700</f>
        <v>2700</v>
      </c>
      <c r="R142" s="12">
        <v>2192.85</v>
      </c>
      <c r="S142" s="12">
        <v>29281.53</v>
      </c>
      <c r="T142" s="42">
        <f t="shared" si="60"/>
        <v>0.81216666666666659</v>
      </c>
      <c r="U142" s="13">
        <f t="shared" si="58"/>
        <v>2.9633108108108108E-2</v>
      </c>
      <c r="V142" s="13">
        <f t="shared" si="61"/>
        <v>7.488850480149091E-2</v>
      </c>
      <c r="W142" s="39">
        <f t="shared" si="59"/>
        <v>71300</v>
      </c>
    </row>
    <row r="143" spans="1:23" x14ac:dyDescent="0.25">
      <c r="A143" s="30" t="s">
        <v>276</v>
      </c>
      <c r="B143" t="s">
        <v>241</v>
      </c>
      <c r="C143" t="s">
        <v>243</v>
      </c>
      <c r="D143" t="s">
        <v>283</v>
      </c>
      <c r="E143" t="s">
        <v>542</v>
      </c>
      <c r="F143" s="30" t="s">
        <v>548</v>
      </c>
      <c r="G143" t="s">
        <v>504</v>
      </c>
      <c r="H143" s="47">
        <v>81000</v>
      </c>
      <c r="I143" s="12">
        <v>38000</v>
      </c>
      <c r="J143" s="12">
        <v>32021.98</v>
      </c>
      <c r="K143" s="12">
        <v>32749.48</v>
      </c>
      <c r="L143" s="42">
        <f t="shared" si="52"/>
        <v>0.84268368421052631</v>
      </c>
      <c r="M143" s="13">
        <f t="shared" si="53"/>
        <v>0.39533308641975307</v>
      </c>
      <c r="N143" s="13">
        <f t="shared" si="54"/>
        <v>0.97778590682966571</v>
      </c>
      <c r="O143" s="97">
        <f t="shared" si="55"/>
        <v>48978.020000000004</v>
      </c>
      <c r="P143" s="106"/>
      <c r="Q143" s="39">
        <f>12500+2500</f>
        <v>15000</v>
      </c>
      <c r="R143" s="12">
        <v>12159.71</v>
      </c>
      <c r="S143" s="12">
        <v>26010.720000000001</v>
      </c>
      <c r="T143" s="42">
        <f t="shared" si="60"/>
        <v>0.81064733333333328</v>
      </c>
      <c r="U143" s="13">
        <f t="shared" si="58"/>
        <v>0.15011987654320988</v>
      </c>
      <c r="V143" s="13">
        <f t="shared" si="61"/>
        <v>0.46748840478079801</v>
      </c>
      <c r="W143" s="39">
        <f t="shared" si="59"/>
        <v>66000</v>
      </c>
    </row>
    <row r="144" spans="1:23" x14ac:dyDescent="0.25">
      <c r="A144" s="30" t="s">
        <v>276</v>
      </c>
      <c r="B144" t="s">
        <v>248</v>
      </c>
      <c r="C144" t="s">
        <v>250</v>
      </c>
      <c r="D144" t="s">
        <v>283</v>
      </c>
      <c r="E144" t="s">
        <v>542</v>
      </c>
      <c r="F144" s="30" t="s">
        <v>548</v>
      </c>
      <c r="G144" t="s">
        <v>505</v>
      </c>
      <c r="H144" s="47">
        <v>132000</v>
      </c>
      <c r="I144" s="12">
        <v>65000</v>
      </c>
      <c r="J144" s="12">
        <v>60947.81</v>
      </c>
      <c r="K144" s="12">
        <v>59193.39</v>
      </c>
      <c r="L144" s="42">
        <f t="shared" si="52"/>
        <v>0.93765861538461537</v>
      </c>
      <c r="M144" s="13">
        <f t="shared" si="53"/>
        <v>0.46172583333333334</v>
      </c>
      <c r="N144" s="13">
        <f t="shared" si="54"/>
        <v>1.0296387823032267</v>
      </c>
      <c r="O144" s="97">
        <f t="shared" si="55"/>
        <v>71052.19</v>
      </c>
      <c r="P144" s="106"/>
      <c r="Q144" s="39">
        <v>10800</v>
      </c>
      <c r="R144" s="12">
        <v>8660.65</v>
      </c>
      <c r="S144" s="12">
        <v>13988.63</v>
      </c>
      <c r="T144" s="42">
        <f t="shared" si="60"/>
        <v>0.80191203703703695</v>
      </c>
      <c r="U144" s="13">
        <f t="shared" si="58"/>
        <v>6.5610984848484849E-2</v>
      </c>
      <c r="V144" s="13">
        <f t="shared" si="61"/>
        <v>0.61912067157398543</v>
      </c>
      <c r="W144" s="39">
        <f t="shared" si="59"/>
        <v>121200</v>
      </c>
    </row>
    <row r="145" spans="1:23" x14ac:dyDescent="0.25">
      <c r="A145" s="30" t="s">
        <v>276</v>
      </c>
      <c r="B145" t="s">
        <v>259</v>
      </c>
      <c r="C145" t="s">
        <v>261</v>
      </c>
      <c r="D145" t="s">
        <v>283</v>
      </c>
      <c r="E145" t="s">
        <v>542</v>
      </c>
      <c r="F145" s="30" t="s">
        <v>548</v>
      </c>
      <c r="G145" t="s">
        <v>506</v>
      </c>
      <c r="H145" s="47">
        <v>64000</v>
      </c>
      <c r="I145" s="12">
        <v>28000</v>
      </c>
      <c r="J145" s="12">
        <v>23360.28</v>
      </c>
      <c r="K145" s="12">
        <v>11412.64</v>
      </c>
      <c r="L145" s="42">
        <f t="shared" si="52"/>
        <v>0.83429571428571425</v>
      </c>
      <c r="M145" s="13">
        <f t="shared" si="53"/>
        <v>0.36500437499999999</v>
      </c>
      <c r="N145" s="13">
        <f t="shared" si="54"/>
        <v>2.0468778477197214</v>
      </c>
      <c r="O145" s="97">
        <f t="shared" si="55"/>
        <v>40639.72</v>
      </c>
      <c r="P145" s="106"/>
      <c r="Q145" s="39">
        <v>5900</v>
      </c>
      <c r="R145" s="12">
        <v>4721.83</v>
      </c>
      <c r="S145" s="12">
        <v>8842.09</v>
      </c>
      <c r="T145" s="42">
        <f t="shared" si="60"/>
        <v>0.80031016949152545</v>
      </c>
      <c r="U145" s="13">
        <f t="shared" si="58"/>
        <v>7.3778593749999996E-2</v>
      </c>
      <c r="V145" s="13">
        <f t="shared" si="61"/>
        <v>0.53401740991100521</v>
      </c>
      <c r="W145" s="39">
        <f t="shared" si="59"/>
        <v>58100</v>
      </c>
    </row>
    <row r="146" spans="1:23" x14ac:dyDescent="0.25">
      <c r="A146" s="30" t="s">
        <v>276</v>
      </c>
      <c r="B146" t="s">
        <v>268</v>
      </c>
      <c r="C146" t="s">
        <v>270</v>
      </c>
      <c r="D146" t="s">
        <v>283</v>
      </c>
      <c r="E146" t="s">
        <v>542</v>
      </c>
      <c r="F146" s="30" t="s">
        <v>548</v>
      </c>
      <c r="G146" t="s">
        <v>507</v>
      </c>
      <c r="H146" s="47">
        <v>69000</v>
      </c>
      <c r="I146" s="12">
        <v>26100</v>
      </c>
      <c r="J146" s="12">
        <v>22930</v>
      </c>
      <c r="K146" s="12">
        <v>33383.54</v>
      </c>
      <c r="L146" s="42">
        <f t="shared" si="52"/>
        <v>0.87854406130268203</v>
      </c>
      <c r="M146" s="13">
        <f t="shared" si="53"/>
        <v>0.33231884057971012</v>
      </c>
      <c r="N146" s="13">
        <f t="shared" si="54"/>
        <v>0.68686544326934773</v>
      </c>
      <c r="O146" s="97">
        <f t="shared" si="55"/>
        <v>46070</v>
      </c>
      <c r="P146" s="106"/>
      <c r="Q146" s="39">
        <v>8000</v>
      </c>
      <c r="R146" s="12">
        <v>6517.8</v>
      </c>
      <c r="S146" s="12">
        <v>23989.8</v>
      </c>
      <c r="T146" s="42">
        <f t="shared" si="60"/>
        <v>0.81472500000000003</v>
      </c>
      <c r="U146" s="13">
        <f t="shared" si="58"/>
        <v>9.446086956521739E-2</v>
      </c>
      <c r="V146" s="13">
        <f t="shared" si="61"/>
        <v>0.27169046844909089</v>
      </c>
      <c r="W146" s="39">
        <f t="shared" si="59"/>
        <v>61000</v>
      </c>
    </row>
    <row r="147" spans="1:23" x14ac:dyDescent="0.25">
      <c r="A147" s="30" t="s">
        <v>276</v>
      </c>
      <c r="B147" t="s">
        <v>295</v>
      </c>
      <c r="C147" t="s">
        <v>296</v>
      </c>
      <c r="D147" t="s">
        <v>315</v>
      </c>
      <c r="E147" t="s">
        <v>543</v>
      </c>
      <c r="F147" t="s">
        <v>316</v>
      </c>
      <c r="G147" t="s">
        <v>460</v>
      </c>
      <c r="H147" s="47">
        <v>2197000</v>
      </c>
      <c r="I147" s="98">
        <v>500100</v>
      </c>
      <c r="J147" s="98">
        <v>477084.32</v>
      </c>
      <c r="K147" s="12">
        <v>406083.86</v>
      </c>
      <c r="L147" s="42">
        <f t="shared" ref="L147:L169" si="62">J147/I147</f>
        <v>0.95397784443111378</v>
      </c>
      <c r="M147" s="13">
        <f t="shared" ref="M147:M169" si="63">J147/H147</f>
        <v>0.21715262630860263</v>
      </c>
      <c r="N147" s="13">
        <f t="shared" ref="N147:N169" si="64">J147/K147</f>
        <v>1.1748418664066087</v>
      </c>
      <c r="O147" s="97">
        <f t="shared" ref="O147:O169" si="65">H147-J147</f>
        <v>1719915.68</v>
      </c>
      <c r="P147" s="106"/>
      <c r="Q147" s="39">
        <f>150000-25000+6000</f>
        <v>131000</v>
      </c>
      <c r="R147">
        <v>121657.5</v>
      </c>
      <c r="S147">
        <v>140291.63</v>
      </c>
      <c r="T147" s="42">
        <f t="shared" ref="T147:T169" si="66">R147/Q147</f>
        <v>0.92868320610687027</v>
      </c>
      <c r="U147" s="13">
        <f t="shared" si="58"/>
        <v>5.5374374146563494E-2</v>
      </c>
      <c r="V147" s="13">
        <f t="shared" ref="V147:V169" si="67">R147/S147</f>
        <v>0.8671757538208088</v>
      </c>
      <c r="W147" s="39">
        <f t="shared" si="59"/>
        <v>2066000</v>
      </c>
    </row>
    <row r="148" spans="1:23" x14ac:dyDescent="0.25">
      <c r="A148" s="30" t="s">
        <v>276</v>
      </c>
      <c r="B148" t="s">
        <v>329</v>
      </c>
      <c r="C148" t="s">
        <v>330</v>
      </c>
      <c r="D148" t="s">
        <v>315</v>
      </c>
      <c r="E148" t="s">
        <v>543</v>
      </c>
      <c r="F148" t="s">
        <v>316</v>
      </c>
      <c r="G148" t="s">
        <v>462</v>
      </c>
      <c r="H148" s="47">
        <v>3616500</v>
      </c>
      <c r="I148" s="98">
        <v>1592000</v>
      </c>
      <c r="J148" s="98">
        <v>1499981.22</v>
      </c>
      <c r="K148" s="12">
        <v>1686610.26</v>
      </c>
      <c r="L148" s="42">
        <f t="shared" si="62"/>
        <v>0.94219925879396982</v>
      </c>
      <c r="M148" s="13">
        <f t="shared" si="63"/>
        <v>0.41476046453753629</v>
      </c>
      <c r="N148" s="13">
        <f t="shared" si="64"/>
        <v>0.88934667099677189</v>
      </c>
      <c r="O148" s="97">
        <f t="shared" si="65"/>
        <v>2116518.7800000003</v>
      </c>
      <c r="P148" s="106"/>
      <c r="Q148" s="39">
        <f>780000+95000</f>
        <v>875000</v>
      </c>
      <c r="R148">
        <v>744675.53</v>
      </c>
      <c r="S148">
        <v>426775.14</v>
      </c>
      <c r="T148" s="42">
        <f t="shared" si="66"/>
        <v>0.85105774857142857</v>
      </c>
      <c r="U148" s="13">
        <f t="shared" si="58"/>
        <v>0.20591055716853313</v>
      </c>
      <c r="V148" s="13">
        <f t="shared" si="67"/>
        <v>1.7448896625047092</v>
      </c>
      <c r="W148" s="39">
        <f t="shared" si="59"/>
        <v>2741500</v>
      </c>
    </row>
    <row r="149" spans="1:23" x14ac:dyDescent="0.25">
      <c r="A149" s="30" t="s">
        <v>276</v>
      </c>
      <c r="B149" t="s">
        <v>341</v>
      </c>
      <c r="C149" t="s">
        <v>342</v>
      </c>
      <c r="D149" t="s">
        <v>315</v>
      </c>
      <c r="E149" t="s">
        <v>543</v>
      </c>
      <c r="F149" t="s">
        <v>316</v>
      </c>
      <c r="G149" t="s">
        <v>465</v>
      </c>
      <c r="H149" s="47">
        <v>5563500</v>
      </c>
      <c r="I149" s="98">
        <v>950000</v>
      </c>
      <c r="J149" s="98">
        <v>885558.38</v>
      </c>
      <c r="K149" s="12">
        <v>863731.57</v>
      </c>
      <c r="L149" s="42">
        <f t="shared" si="62"/>
        <v>0.93216671578947374</v>
      </c>
      <c r="M149" s="13">
        <f t="shared" si="63"/>
        <v>0.15917289116563316</v>
      </c>
      <c r="N149" s="13">
        <f t="shared" si="64"/>
        <v>1.0252703626428754</v>
      </c>
      <c r="O149" s="97">
        <f t="shared" si="65"/>
        <v>4677941.62</v>
      </c>
      <c r="P149" s="106"/>
      <c r="Q149" s="39">
        <v>490000</v>
      </c>
      <c r="R149">
        <v>395492.43</v>
      </c>
      <c r="S149">
        <v>372610.52</v>
      </c>
      <c r="T149" s="42">
        <f t="shared" si="66"/>
        <v>0.80712740816326534</v>
      </c>
      <c r="U149" s="13">
        <f t="shared" si="58"/>
        <v>7.1086983014289562E-2</v>
      </c>
      <c r="V149" s="13">
        <f t="shared" si="67"/>
        <v>1.0614097261666149</v>
      </c>
      <c r="W149" s="39">
        <f t="shared" si="59"/>
        <v>5073500</v>
      </c>
    </row>
    <row r="150" spans="1:23" x14ac:dyDescent="0.25">
      <c r="A150" s="30" t="s">
        <v>276</v>
      </c>
      <c r="B150" t="s">
        <v>13</v>
      </c>
      <c r="C150" t="s">
        <v>15</v>
      </c>
      <c r="D150" t="s">
        <v>315</v>
      </c>
      <c r="E150" t="s">
        <v>543</v>
      </c>
      <c r="F150" t="s">
        <v>316</v>
      </c>
      <c r="G150" t="s">
        <v>467</v>
      </c>
      <c r="H150" s="47">
        <v>20000</v>
      </c>
      <c r="I150" s="98">
        <v>900</v>
      </c>
      <c r="J150" s="98">
        <v>735.5</v>
      </c>
      <c r="K150" s="12">
        <v>733.95</v>
      </c>
      <c r="L150" s="42">
        <f t="shared" si="62"/>
        <v>0.81722222222222218</v>
      </c>
      <c r="M150" s="13">
        <f t="shared" si="63"/>
        <v>3.6775000000000002E-2</v>
      </c>
      <c r="N150" s="13">
        <f t="shared" si="64"/>
        <v>1.0021118604809591</v>
      </c>
      <c r="O150" s="97">
        <f t="shared" si="65"/>
        <v>19264.5</v>
      </c>
      <c r="P150" s="106"/>
      <c r="Q150" s="39">
        <v>700</v>
      </c>
      <c r="R150">
        <v>675.5</v>
      </c>
      <c r="S150">
        <v>713.95</v>
      </c>
      <c r="T150" s="42">
        <f t="shared" si="66"/>
        <v>0.96499999999999997</v>
      </c>
      <c r="U150" s="13">
        <f t="shared" si="58"/>
        <v>3.3774999999999999E-2</v>
      </c>
      <c r="V150" s="13">
        <f t="shared" si="67"/>
        <v>0.94614468800336149</v>
      </c>
      <c r="W150" s="39">
        <f t="shared" si="59"/>
        <v>19300</v>
      </c>
    </row>
    <row r="151" spans="1:23" x14ac:dyDescent="0.25">
      <c r="A151" s="30" t="s">
        <v>276</v>
      </c>
      <c r="B151" t="s">
        <v>110</v>
      </c>
      <c r="C151" t="s">
        <v>112</v>
      </c>
      <c r="D151" t="s">
        <v>315</v>
      </c>
      <c r="E151" t="s">
        <v>543</v>
      </c>
      <c r="F151" t="s">
        <v>316</v>
      </c>
      <c r="G151" t="s">
        <v>487</v>
      </c>
      <c r="H151" s="47">
        <v>89000</v>
      </c>
      <c r="I151" s="98">
        <v>42000</v>
      </c>
      <c r="J151" s="98">
        <v>39915.370000000003</v>
      </c>
      <c r="K151" s="12">
        <v>18431.650000000001</v>
      </c>
      <c r="L151" s="42">
        <f t="shared" si="62"/>
        <v>0.95036595238095245</v>
      </c>
      <c r="M151" s="13">
        <f t="shared" si="63"/>
        <v>0.44848730337078657</v>
      </c>
      <c r="N151" s="13">
        <f t="shared" si="64"/>
        <v>2.1655885392789034</v>
      </c>
      <c r="O151" s="97">
        <f t="shared" si="65"/>
        <v>49084.63</v>
      </c>
      <c r="P151" s="106"/>
      <c r="Q151" s="39">
        <f>12500+1500</f>
        <v>14000</v>
      </c>
      <c r="R151">
        <v>11930</v>
      </c>
      <c r="S151">
        <v>7461.9</v>
      </c>
      <c r="T151" s="42">
        <f t="shared" si="66"/>
        <v>0.85214285714285709</v>
      </c>
      <c r="U151" s="13">
        <f t="shared" si="58"/>
        <v>0.13404494382022472</v>
      </c>
      <c r="V151" s="13">
        <f t="shared" si="67"/>
        <v>1.5987885123091974</v>
      </c>
      <c r="W151" s="39">
        <f t="shared" si="59"/>
        <v>75000</v>
      </c>
    </row>
    <row r="152" spans="1:23" x14ac:dyDescent="0.25">
      <c r="A152" s="30" t="s">
        <v>276</v>
      </c>
      <c r="B152" t="s">
        <v>119</v>
      </c>
      <c r="C152" t="s">
        <v>121</v>
      </c>
      <c r="D152" t="s">
        <v>315</v>
      </c>
      <c r="E152" t="s">
        <v>543</v>
      </c>
      <c r="F152" t="s">
        <v>316</v>
      </c>
      <c r="G152" t="s">
        <v>488</v>
      </c>
      <c r="H152" s="47">
        <v>160000</v>
      </c>
      <c r="I152" s="98">
        <v>55000</v>
      </c>
      <c r="J152" s="98">
        <v>53662.28</v>
      </c>
      <c r="K152" s="12">
        <v>59169.16</v>
      </c>
      <c r="L152" s="42">
        <f t="shared" si="62"/>
        <v>0.9756778181818182</v>
      </c>
      <c r="M152" s="13">
        <f t="shared" si="63"/>
        <v>0.33538924999999997</v>
      </c>
      <c r="N152" s="13">
        <f t="shared" si="64"/>
        <v>0.90692989388390832</v>
      </c>
      <c r="O152" s="97">
        <f t="shared" si="65"/>
        <v>106337.72</v>
      </c>
      <c r="P152" s="106"/>
      <c r="Q152" s="39">
        <f>21000+2500</f>
        <v>23500</v>
      </c>
      <c r="R152">
        <v>20160.599999999999</v>
      </c>
      <c r="S152">
        <v>19629.810000000001</v>
      </c>
      <c r="T152" s="42">
        <f t="shared" si="66"/>
        <v>0.85789787234042547</v>
      </c>
      <c r="U152" s="13">
        <f t="shared" si="58"/>
        <v>0.12600375</v>
      </c>
      <c r="V152" s="13">
        <f t="shared" si="67"/>
        <v>1.0270399968211612</v>
      </c>
      <c r="W152" s="39">
        <f t="shared" si="59"/>
        <v>136500</v>
      </c>
    </row>
    <row r="153" spans="1:23" x14ac:dyDescent="0.25">
      <c r="A153" s="30" t="s">
        <v>276</v>
      </c>
      <c r="B153" t="s">
        <v>127</v>
      </c>
      <c r="C153" t="s">
        <v>128</v>
      </c>
      <c r="D153" t="s">
        <v>315</v>
      </c>
      <c r="E153" t="s">
        <v>543</v>
      </c>
      <c r="F153" t="s">
        <v>316</v>
      </c>
      <c r="G153" t="s">
        <v>489</v>
      </c>
      <c r="H153" s="47">
        <v>78000</v>
      </c>
      <c r="I153" s="98">
        <v>30000</v>
      </c>
      <c r="J153" s="98">
        <v>26380.49</v>
      </c>
      <c r="K153" s="12">
        <v>21345.33</v>
      </c>
      <c r="L153" s="42">
        <f t="shared" si="62"/>
        <v>0.8793496666666667</v>
      </c>
      <c r="M153" s="13">
        <f t="shared" si="63"/>
        <v>0.33821141025641027</v>
      </c>
      <c r="N153" s="13">
        <f t="shared" si="64"/>
        <v>1.2358904734665614</v>
      </c>
      <c r="O153" s="97">
        <f t="shared" si="65"/>
        <v>51619.509999999995</v>
      </c>
      <c r="P153" s="106"/>
      <c r="Q153" s="39">
        <f>9400+1400</f>
        <v>10800</v>
      </c>
      <c r="R153">
        <v>9219.25</v>
      </c>
      <c r="S153">
        <v>12438.24</v>
      </c>
      <c r="T153" s="42">
        <f t="shared" si="66"/>
        <v>0.85363425925925929</v>
      </c>
      <c r="U153" s="13">
        <f t="shared" si="58"/>
        <v>0.11819551282051283</v>
      </c>
      <c r="V153" s="13">
        <f t="shared" si="67"/>
        <v>0.74120213149127212</v>
      </c>
      <c r="W153" s="39">
        <f t="shared" si="59"/>
        <v>67200</v>
      </c>
    </row>
    <row r="154" spans="1:23" x14ac:dyDescent="0.25">
      <c r="A154" s="30" t="s">
        <v>276</v>
      </c>
      <c r="B154" t="s">
        <v>135</v>
      </c>
      <c r="C154" t="s">
        <v>137</v>
      </c>
      <c r="D154" t="s">
        <v>315</v>
      </c>
      <c r="E154" t="s">
        <v>543</v>
      </c>
      <c r="F154" t="s">
        <v>316</v>
      </c>
      <c r="G154" t="s">
        <v>490</v>
      </c>
      <c r="H154" s="47">
        <v>60000</v>
      </c>
      <c r="I154" s="98">
        <v>27000</v>
      </c>
      <c r="J154" s="98">
        <v>22415.1</v>
      </c>
      <c r="K154" s="12">
        <v>18871.95</v>
      </c>
      <c r="L154" s="42">
        <f t="shared" si="62"/>
        <v>0.83018888888888887</v>
      </c>
      <c r="M154" s="13">
        <f t="shared" si="63"/>
        <v>0.373585</v>
      </c>
      <c r="N154" s="13">
        <f t="shared" si="64"/>
        <v>1.1877468942001224</v>
      </c>
      <c r="O154" s="97">
        <f t="shared" si="65"/>
        <v>37584.9</v>
      </c>
      <c r="P154" s="106"/>
      <c r="Q154" s="39">
        <v>10800</v>
      </c>
      <c r="R154">
        <v>9247.9</v>
      </c>
      <c r="S154">
        <v>7128.75</v>
      </c>
      <c r="T154" s="42">
        <f t="shared" si="66"/>
        <v>0.85628703703703701</v>
      </c>
      <c r="U154" s="13">
        <f t="shared" si="58"/>
        <v>0.15413166666666667</v>
      </c>
      <c r="V154" s="13">
        <f t="shared" si="67"/>
        <v>1.2972681045064001</v>
      </c>
      <c r="W154" s="39">
        <f t="shared" si="59"/>
        <v>49200</v>
      </c>
    </row>
    <row r="155" spans="1:23" x14ac:dyDescent="0.25">
      <c r="A155" s="30" t="s">
        <v>276</v>
      </c>
      <c r="B155" t="s">
        <v>143</v>
      </c>
      <c r="C155" t="s">
        <v>145</v>
      </c>
      <c r="D155" t="s">
        <v>315</v>
      </c>
      <c r="E155" t="s">
        <v>543</v>
      </c>
      <c r="F155" t="s">
        <v>316</v>
      </c>
      <c r="G155" t="s">
        <v>491</v>
      </c>
      <c r="H155" s="47">
        <v>130000</v>
      </c>
      <c r="I155" s="98">
        <v>45000</v>
      </c>
      <c r="J155" s="98">
        <v>39060.199999999997</v>
      </c>
      <c r="K155" s="12">
        <v>39220.449999999997</v>
      </c>
      <c r="L155" s="42">
        <f t="shared" si="62"/>
        <v>0.86800444444444436</v>
      </c>
      <c r="M155" s="13">
        <f t="shared" si="63"/>
        <v>0.30046307692307689</v>
      </c>
      <c r="N155" s="13">
        <f t="shared" si="64"/>
        <v>0.99591412133211121</v>
      </c>
      <c r="O155" s="97">
        <f t="shared" si="65"/>
        <v>90939.8</v>
      </c>
      <c r="P155" s="106"/>
      <c r="Q155" s="52">
        <f>27000</f>
        <v>27000</v>
      </c>
      <c r="R155">
        <v>23560.55</v>
      </c>
      <c r="S155">
        <v>15347.5</v>
      </c>
      <c r="T155" s="42">
        <f t="shared" si="66"/>
        <v>0.87261296296296298</v>
      </c>
      <c r="U155" s="13">
        <f t="shared" si="58"/>
        <v>0.18123500000000001</v>
      </c>
      <c r="V155" s="13">
        <f t="shared" si="67"/>
        <v>1.5351392734973122</v>
      </c>
      <c r="W155" s="39">
        <f t="shared" si="59"/>
        <v>103000</v>
      </c>
    </row>
    <row r="156" spans="1:23" x14ac:dyDescent="0.25">
      <c r="A156" s="30" t="s">
        <v>276</v>
      </c>
      <c r="B156" t="s">
        <v>151</v>
      </c>
      <c r="C156" t="s">
        <v>153</v>
      </c>
      <c r="D156" t="s">
        <v>315</v>
      </c>
      <c r="E156" t="s">
        <v>543</v>
      </c>
      <c r="F156" t="s">
        <v>316</v>
      </c>
      <c r="G156" t="s">
        <v>493</v>
      </c>
      <c r="H156" s="47">
        <v>180000</v>
      </c>
      <c r="I156" s="98">
        <v>82000</v>
      </c>
      <c r="J156" s="98">
        <v>77934.41</v>
      </c>
      <c r="K156" s="12">
        <v>38110.519999999997</v>
      </c>
      <c r="L156" s="42">
        <f t="shared" si="62"/>
        <v>0.95041963414634145</v>
      </c>
      <c r="M156" s="13">
        <f t="shared" si="63"/>
        <v>0.43296894444444445</v>
      </c>
      <c r="N156" s="13">
        <f t="shared" si="64"/>
        <v>2.0449579276273324</v>
      </c>
      <c r="O156" s="97">
        <f t="shared" si="65"/>
        <v>102065.59</v>
      </c>
      <c r="P156" s="106"/>
      <c r="Q156" s="39">
        <f>35000</f>
        <v>35000</v>
      </c>
      <c r="R156">
        <v>30752.13</v>
      </c>
      <c r="S156">
        <v>20333.32</v>
      </c>
      <c r="T156" s="42">
        <f t="shared" si="66"/>
        <v>0.87863228571428575</v>
      </c>
      <c r="U156" s="13">
        <f t="shared" si="58"/>
        <v>0.17084516666666666</v>
      </c>
      <c r="V156" s="13">
        <f t="shared" si="67"/>
        <v>1.5124008278038217</v>
      </c>
      <c r="W156" s="39">
        <f t="shared" si="59"/>
        <v>145000</v>
      </c>
    </row>
    <row r="157" spans="1:23" x14ac:dyDescent="0.25">
      <c r="A157" s="30" t="s">
        <v>276</v>
      </c>
      <c r="B157" t="s">
        <v>159</v>
      </c>
      <c r="C157" t="s">
        <v>161</v>
      </c>
      <c r="D157" t="s">
        <v>315</v>
      </c>
      <c r="E157" t="s">
        <v>543</v>
      </c>
      <c r="F157" t="s">
        <v>316</v>
      </c>
      <c r="G157" t="s">
        <v>495</v>
      </c>
      <c r="H157" s="47">
        <v>160000</v>
      </c>
      <c r="I157" s="98">
        <v>65000</v>
      </c>
      <c r="J157" s="98">
        <v>60135.35</v>
      </c>
      <c r="K157" s="12">
        <v>66287.17</v>
      </c>
      <c r="L157" s="42">
        <f t="shared" si="62"/>
        <v>0.92515923076923079</v>
      </c>
      <c r="M157" s="13">
        <f t="shared" si="63"/>
        <v>0.3758459375</v>
      </c>
      <c r="N157" s="13">
        <f t="shared" si="64"/>
        <v>0.9071944088124444</v>
      </c>
      <c r="O157" s="97">
        <f t="shared" si="65"/>
        <v>99864.65</v>
      </c>
      <c r="P157" s="106"/>
      <c r="Q157" s="39">
        <f>33000</f>
        <v>33000</v>
      </c>
      <c r="R157">
        <v>28816.29</v>
      </c>
      <c r="S157">
        <v>28164.48</v>
      </c>
      <c r="T157" s="42">
        <f t="shared" si="66"/>
        <v>0.8732209090909091</v>
      </c>
      <c r="U157" s="13">
        <f t="shared" si="58"/>
        <v>0.18010181250000001</v>
      </c>
      <c r="V157" s="13">
        <f t="shared" si="67"/>
        <v>1.0231429800940759</v>
      </c>
      <c r="W157" s="39">
        <f t="shared" si="59"/>
        <v>127000</v>
      </c>
    </row>
    <row r="158" spans="1:23" x14ac:dyDescent="0.25">
      <c r="A158" s="30" t="s">
        <v>276</v>
      </c>
      <c r="B158" t="s">
        <v>170</v>
      </c>
      <c r="C158" t="s">
        <v>172</v>
      </c>
      <c r="D158" t="s">
        <v>315</v>
      </c>
      <c r="E158" t="s">
        <v>543</v>
      </c>
      <c r="F158" t="s">
        <v>316</v>
      </c>
      <c r="G158" t="s">
        <v>496</v>
      </c>
      <c r="H158" s="47">
        <v>150000</v>
      </c>
      <c r="I158" s="98">
        <v>60000</v>
      </c>
      <c r="J158" s="98">
        <v>52963.55</v>
      </c>
      <c r="K158" s="12">
        <v>50174.76</v>
      </c>
      <c r="L158" s="42">
        <f t="shared" si="62"/>
        <v>0.88272583333333343</v>
      </c>
      <c r="M158" s="13">
        <f t="shared" si="63"/>
        <v>0.35309033333333334</v>
      </c>
      <c r="N158" s="13">
        <f t="shared" si="64"/>
        <v>1.0555815314313413</v>
      </c>
      <c r="O158" s="97">
        <f t="shared" si="65"/>
        <v>97036.45</v>
      </c>
      <c r="P158" s="106"/>
      <c r="Q158" s="39">
        <v>4000</v>
      </c>
      <c r="R158">
        <v>3751.7</v>
      </c>
      <c r="S158">
        <v>16959.86</v>
      </c>
      <c r="T158" s="42">
        <f t="shared" si="66"/>
        <v>0.93792500000000001</v>
      </c>
      <c r="U158" s="13">
        <f t="shared" ref="U158:U189" si="68">R158/H158</f>
        <v>2.5011333333333333E-2</v>
      </c>
      <c r="V158" s="13">
        <f t="shared" si="67"/>
        <v>0.22121055244559801</v>
      </c>
      <c r="W158" s="39">
        <f t="shared" ref="W158:W189" si="69">H158-Q158</f>
        <v>146000</v>
      </c>
    </row>
    <row r="159" spans="1:23" x14ac:dyDescent="0.25">
      <c r="A159" s="30" t="s">
        <v>276</v>
      </c>
      <c r="B159" t="s">
        <v>179</v>
      </c>
      <c r="C159" t="s">
        <v>181</v>
      </c>
      <c r="D159" t="s">
        <v>315</v>
      </c>
      <c r="E159" t="s">
        <v>543</v>
      </c>
      <c r="F159" t="s">
        <v>316</v>
      </c>
      <c r="G159" t="s">
        <v>497</v>
      </c>
      <c r="H159" s="47">
        <v>470000</v>
      </c>
      <c r="I159" s="98">
        <v>130000</v>
      </c>
      <c r="J159" s="98">
        <v>121581.59</v>
      </c>
      <c r="K159" s="12">
        <v>73679.210000000006</v>
      </c>
      <c r="L159" s="42">
        <f t="shared" si="62"/>
        <v>0.93524299999999994</v>
      </c>
      <c r="M159" s="13">
        <f t="shared" si="63"/>
        <v>0.2586842340425532</v>
      </c>
      <c r="N159" s="13">
        <f t="shared" si="64"/>
        <v>1.6501478503909039</v>
      </c>
      <c r="O159" s="97">
        <f t="shared" si="65"/>
        <v>348418.41000000003</v>
      </c>
      <c r="P159" s="106"/>
      <c r="Q159" s="39">
        <v>36000</v>
      </c>
      <c r="R159">
        <v>28980.400000000001</v>
      </c>
      <c r="S159">
        <v>28400.87</v>
      </c>
      <c r="T159" s="42">
        <f t="shared" si="66"/>
        <v>0.80501111111111112</v>
      </c>
      <c r="U159" s="13">
        <f t="shared" si="68"/>
        <v>6.1660425531914899E-2</v>
      </c>
      <c r="V159" s="13">
        <f t="shared" si="67"/>
        <v>1.0204053608216932</v>
      </c>
      <c r="W159" s="39">
        <f t="shared" si="69"/>
        <v>434000</v>
      </c>
    </row>
    <row r="160" spans="1:23" x14ac:dyDescent="0.25">
      <c r="A160" s="30" t="s">
        <v>276</v>
      </c>
      <c r="B160" t="s">
        <v>189</v>
      </c>
      <c r="C160" t="s">
        <v>191</v>
      </c>
      <c r="D160" t="s">
        <v>315</v>
      </c>
      <c r="E160" t="s">
        <v>543</v>
      </c>
      <c r="F160" t="s">
        <v>316</v>
      </c>
      <c r="G160" t="s">
        <v>498</v>
      </c>
      <c r="H160" s="47">
        <v>126000</v>
      </c>
      <c r="I160" s="98">
        <v>50000</v>
      </c>
      <c r="J160" s="98">
        <v>46643.7</v>
      </c>
      <c r="K160" s="12">
        <v>42520.95</v>
      </c>
      <c r="L160" s="42">
        <f t="shared" si="62"/>
        <v>0.93287399999999998</v>
      </c>
      <c r="M160" s="13">
        <f t="shared" si="63"/>
        <v>0.37018809523809521</v>
      </c>
      <c r="N160" s="13">
        <f t="shared" si="64"/>
        <v>1.0969580877191125</v>
      </c>
      <c r="O160" s="97">
        <f t="shared" si="65"/>
        <v>79356.3</v>
      </c>
      <c r="P160" s="106"/>
      <c r="Q160" s="39">
        <v>15000</v>
      </c>
      <c r="R160">
        <v>12923.6</v>
      </c>
      <c r="S160">
        <v>19786.23</v>
      </c>
      <c r="T160" s="42">
        <f t="shared" si="66"/>
        <v>0.8615733333333333</v>
      </c>
      <c r="U160" s="13">
        <f t="shared" si="68"/>
        <v>0.10256825396825398</v>
      </c>
      <c r="V160" s="13">
        <f t="shared" si="67"/>
        <v>0.65316131471230243</v>
      </c>
      <c r="W160" s="39">
        <f t="shared" si="69"/>
        <v>111000</v>
      </c>
    </row>
    <row r="161" spans="1:23" x14ac:dyDescent="0.25">
      <c r="A161" s="30" t="s">
        <v>276</v>
      </c>
      <c r="B161" t="s">
        <v>198</v>
      </c>
      <c r="C161" t="s">
        <v>200</v>
      </c>
      <c r="D161" t="s">
        <v>315</v>
      </c>
      <c r="E161" t="s">
        <v>543</v>
      </c>
      <c r="F161" t="s">
        <v>316</v>
      </c>
      <c r="G161" t="s">
        <v>499</v>
      </c>
      <c r="H161" s="47">
        <v>65000</v>
      </c>
      <c r="I161" s="98">
        <v>16000</v>
      </c>
      <c r="J161" s="98">
        <v>13760.95</v>
      </c>
      <c r="K161" s="12">
        <v>32986.78</v>
      </c>
      <c r="L161" s="42">
        <f t="shared" si="62"/>
        <v>0.86005937500000007</v>
      </c>
      <c r="M161" s="13">
        <f t="shared" si="63"/>
        <v>0.2117069230769231</v>
      </c>
      <c r="N161" s="13">
        <f t="shared" si="64"/>
        <v>0.4171656039176907</v>
      </c>
      <c r="O161" s="97">
        <f t="shared" si="65"/>
        <v>51239.05</v>
      </c>
      <c r="P161" s="106"/>
      <c r="Q161" s="39">
        <v>4400</v>
      </c>
      <c r="R161">
        <v>3586.2</v>
      </c>
      <c r="S161">
        <v>30479.13</v>
      </c>
      <c r="T161" s="42">
        <f t="shared" si="66"/>
        <v>0.81504545454545452</v>
      </c>
      <c r="U161" s="13">
        <f t="shared" si="68"/>
        <v>5.5172307692307687E-2</v>
      </c>
      <c r="V161" s="13">
        <f t="shared" si="67"/>
        <v>0.11766083874441297</v>
      </c>
      <c r="W161" s="39">
        <f t="shared" si="69"/>
        <v>60600</v>
      </c>
    </row>
    <row r="162" spans="1:23" x14ac:dyDescent="0.25">
      <c r="A162" s="30" t="s">
        <v>276</v>
      </c>
      <c r="B162" t="s">
        <v>206</v>
      </c>
      <c r="C162" t="s">
        <v>208</v>
      </c>
      <c r="D162" t="s">
        <v>315</v>
      </c>
      <c r="E162" t="s">
        <v>543</v>
      </c>
      <c r="F162" t="s">
        <v>316</v>
      </c>
      <c r="G162" t="s">
        <v>500</v>
      </c>
      <c r="H162" s="47">
        <v>80000</v>
      </c>
      <c r="I162" s="98">
        <v>22000</v>
      </c>
      <c r="J162" s="98">
        <v>18173.900000000001</v>
      </c>
      <c r="K162" s="12">
        <v>23999.73</v>
      </c>
      <c r="L162" s="42">
        <f t="shared" si="62"/>
        <v>0.82608636363636367</v>
      </c>
      <c r="M162" s="13">
        <f t="shared" si="63"/>
        <v>0.22717375000000001</v>
      </c>
      <c r="N162" s="13">
        <f t="shared" si="64"/>
        <v>0.75725435244479844</v>
      </c>
      <c r="O162" s="97">
        <f t="shared" si="65"/>
        <v>61826.1</v>
      </c>
      <c r="P162" s="106"/>
      <c r="Q162" s="39">
        <v>7300</v>
      </c>
      <c r="R162">
        <v>5914</v>
      </c>
      <c r="S162">
        <v>10183.280000000001</v>
      </c>
      <c r="T162" s="42">
        <f t="shared" si="66"/>
        <v>0.81013698630136988</v>
      </c>
      <c r="U162" s="13">
        <f t="shared" si="68"/>
        <v>7.3925000000000005E-2</v>
      </c>
      <c r="V162" s="13">
        <f t="shared" si="67"/>
        <v>0.58075590575924452</v>
      </c>
      <c r="W162" s="39">
        <f t="shared" si="69"/>
        <v>72700</v>
      </c>
    </row>
    <row r="163" spans="1:23" x14ac:dyDescent="0.25">
      <c r="A163" s="30" t="s">
        <v>276</v>
      </c>
      <c r="B163" t="s">
        <v>214</v>
      </c>
      <c r="C163" t="s">
        <v>216</v>
      </c>
      <c r="D163" t="s">
        <v>315</v>
      </c>
      <c r="E163" t="s">
        <v>543</v>
      </c>
      <c r="F163" t="s">
        <v>316</v>
      </c>
      <c r="G163" t="s">
        <v>501</v>
      </c>
      <c r="H163" s="47">
        <v>542000</v>
      </c>
      <c r="I163" s="98">
        <v>130000</v>
      </c>
      <c r="J163" s="98">
        <v>120762.73</v>
      </c>
      <c r="K163" s="12">
        <v>178755.9</v>
      </c>
      <c r="L163" s="42">
        <f t="shared" si="62"/>
        <v>0.9289440769230769</v>
      </c>
      <c r="M163" s="13">
        <f t="shared" si="63"/>
        <v>0.22280946494464943</v>
      </c>
      <c r="N163" s="13">
        <f t="shared" si="64"/>
        <v>0.675573393661412</v>
      </c>
      <c r="O163" s="97">
        <f t="shared" si="65"/>
        <v>421237.27</v>
      </c>
      <c r="P163" s="106"/>
      <c r="Q163" s="39">
        <v>55000</v>
      </c>
      <c r="R163">
        <v>44703.98</v>
      </c>
      <c r="S163">
        <v>90322.02</v>
      </c>
      <c r="T163" s="42">
        <f t="shared" si="66"/>
        <v>0.81279963636363639</v>
      </c>
      <c r="U163" s="13">
        <f t="shared" si="68"/>
        <v>8.2479667896678974E-2</v>
      </c>
      <c r="V163" s="13">
        <f t="shared" si="67"/>
        <v>0.4949399935918174</v>
      </c>
      <c r="W163" s="39">
        <f t="shared" si="69"/>
        <v>487000</v>
      </c>
    </row>
    <row r="164" spans="1:23" x14ac:dyDescent="0.25">
      <c r="A164" s="30" t="s">
        <v>276</v>
      </c>
      <c r="B164" t="s">
        <v>226</v>
      </c>
      <c r="C164" t="s">
        <v>228</v>
      </c>
      <c r="D164" t="s">
        <v>315</v>
      </c>
      <c r="E164" t="s">
        <v>543</v>
      </c>
      <c r="F164" t="s">
        <v>316</v>
      </c>
      <c r="G164" t="s">
        <v>502</v>
      </c>
      <c r="H164" s="47">
        <v>100000</v>
      </c>
      <c r="I164" s="98">
        <v>45000</v>
      </c>
      <c r="J164" s="98">
        <v>37262.5</v>
      </c>
      <c r="K164" s="12">
        <v>32191.79</v>
      </c>
      <c r="L164" s="42">
        <f t="shared" si="62"/>
        <v>0.82805555555555554</v>
      </c>
      <c r="M164" s="13">
        <f t="shared" si="63"/>
        <v>0.37262499999999998</v>
      </c>
      <c r="N164" s="13">
        <f t="shared" si="64"/>
        <v>1.1575156274317147</v>
      </c>
      <c r="O164" s="97">
        <f t="shared" si="65"/>
        <v>62737.5</v>
      </c>
      <c r="P164" s="106"/>
      <c r="Q164" s="39">
        <v>1000</v>
      </c>
      <c r="R164">
        <v>980</v>
      </c>
      <c r="S164">
        <v>1650.6</v>
      </c>
      <c r="T164" s="42">
        <f t="shared" si="66"/>
        <v>0.98</v>
      </c>
      <c r="U164" s="13">
        <f t="shared" si="68"/>
        <v>9.7999999999999997E-3</v>
      </c>
      <c r="V164" s="13">
        <f t="shared" si="67"/>
        <v>0.59372349448685324</v>
      </c>
      <c r="W164" s="39">
        <f t="shared" si="69"/>
        <v>99000</v>
      </c>
    </row>
    <row r="165" spans="1:23" x14ac:dyDescent="0.25">
      <c r="A165" s="30" t="s">
        <v>276</v>
      </c>
      <c r="B165" t="s">
        <v>234</v>
      </c>
      <c r="C165" t="s">
        <v>236</v>
      </c>
      <c r="D165" t="s">
        <v>315</v>
      </c>
      <c r="E165" t="s">
        <v>543</v>
      </c>
      <c r="F165" t="s">
        <v>316</v>
      </c>
      <c r="G165" t="s">
        <v>503</v>
      </c>
      <c r="H165" s="47">
        <v>100000</v>
      </c>
      <c r="I165" s="98">
        <v>20000</v>
      </c>
      <c r="J165" s="98">
        <v>16247.93</v>
      </c>
      <c r="K165" s="12">
        <v>26679.93</v>
      </c>
      <c r="L165" s="42">
        <f t="shared" si="62"/>
        <v>0.81239649999999997</v>
      </c>
      <c r="M165" s="13">
        <f t="shared" si="63"/>
        <v>0.16247929999999999</v>
      </c>
      <c r="N165" s="13">
        <f t="shared" si="64"/>
        <v>0.6089944763723143</v>
      </c>
      <c r="O165" s="97">
        <f t="shared" si="65"/>
        <v>83752.070000000007</v>
      </c>
      <c r="P165" s="106"/>
      <c r="Q165" s="39">
        <v>8700</v>
      </c>
      <c r="R165">
        <v>7026.1</v>
      </c>
      <c r="S165">
        <v>9788.98</v>
      </c>
      <c r="T165" s="42">
        <f t="shared" si="66"/>
        <v>0.80759770114942531</v>
      </c>
      <c r="U165" s="13">
        <f t="shared" si="68"/>
        <v>7.0261000000000004E-2</v>
      </c>
      <c r="V165" s="13">
        <f t="shared" si="67"/>
        <v>0.7177560889898642</v>
      </c>
      <c r="W165" s="39">
        <f t="shared" si="69"/>
        <v>91300</v>
      </c>
    </row>
    <row r="166" spans="1:23" x14ac:dyDescent="0.25">
      <c r="A166" s="30" t="s">
        <v>276</v>
      </c>
      <c r="B166" t="s">
        <v>241</v>
      </c>
      <c r="C166" t="s">
        <v>243</v>
      </c>
      <c r="D166" t="s">
        <v>315</v>
      </c>
      <c r="E166" t="s">
        <v>543</v>
      </c>
      <c r="F166" t="s">
        <v>316</v>
      </c>
      <c r="G166" t="s">
        <v>504</v>
      </c>
      <c r="H166" s="47">
        <v>80000</v>
      </c>
      <c r="I166" s="98">
        <v>30000</v>
      </c>
      <c r="J166" s="98">
        <v>26924.16</v>
      </c>
      <c r="K166" s="12">
        <v>23003.599999999999</v>
      </c>
      <c r="L166" s="42">
        <f t="shared" si="62"/>
        <v>0.89747200000000005</v>
      </c>
      <c r="M166" s="13">
        <f t="shared" si="63"/>
        <v>0.33655200000000002</v>
      </c>
      <c r="N166" s="13">
        <f t="shared" si="64"/>
        <v>1.1704324540506703</v>
      </c>
      <c r="O166" s="97">
        <f t="shared" si="65"/>
        <v>53075.839999999997</v>
      </c>
      <c r="P166" s="106"/>
      <c r="Q166" s="39">
        <f>20000-2000</f>
        <v>18000</v>
      </c>
      <c r="R166">
        <v>17588.23</v>
      </c>
      <c r="S166">
        <v>10225.719999999999</v>
      </c>
      <c r="T166" s="42">
        <f t="shared" si="66"/>
        <v>0.9771238888888889</v>
      </c>
      <c r="U166" s="13">
        <f t="shared" si="68"/>
        <v>0.219852875</v>
      </c>
      <c r="V166" s="13">
        <f t="shared" si="67"/>
        <v>1.7199991785419511</v>
      </c>
      <c r="W166" s="39">
        <f t="shared" si="69"/>
        <v>62000</v>
      </c>
    </row>
    <row r="167" spans="1:23" x14ac:dyDescent="0.25">
      <c r="A167" s="30" t="s">
        <v>276</v>
      </c>
      <c r="B167" t="s">
        <v>248</v>
      </c>
      <c r="C167" t="s">
        <v>250</v>
      </c>
      <c r="D167" t="s">
        <v>315</v>
      </c>
      <c r="E167" t="s">
        <v>543</v>
      </c>
      <c r="F167" t="s">
        <v>316</v>
      </c>
      <c r="G167" t="s">
        <v>505</v>
      </c>
      <c r="H167" s="47">
        <v>180000</v>
      </c>
      <c r="I167" s="98">
        <v>65000</v>
      </c>
      <c r="J167" s="98">
        <v>59713.1</v>
      </c>
      <c r="K167" s="12">
        <v>57973.43</v>
      </c>
      <c r="L167" s="42">
        <f t="shared" si="62"/>
        <v>0.91866307692307692</v>
      </c>
      <c r="M167" s="13">
        <f t="shared" si="63"/>
        <v>0.33173944444444442</v>
      </c>
      <c r="N167" s="13">
        <f t="shared" si="64"/>
        <v>1.0300080571392791</v>
      </c>
      <c r="O167" s="97">
        <f t="shared" si="65"/>
        <v>120286.9</v>
      </c>
      <c r="P167" s="106"/>
      <c r="Q167" s="39">
        <v>25000</v>
      </c>
      <c r="R167">
        <v>21394.400000000001</v>
      </c>
      <c r="S167">
        <v>27853.39</v>
      </c>
      <c r="T167" s="42">
        <f t="shared" si="66"/>
        <v>0.85577600000000009</v>
      </c>
      <c r="U167" s="13">
        <f t="shared" si="68"/>
        <v>0.11885777777777778</v>
      </c>
      <c r="V167" s="13">
        <f t="shared" si="67"/>
        <v>0.76810758044173444</v>
      </c>
      <c r="W167" s="39">
        <f t="shared" si="69"/>
        <v>155000</v>
      </c>
    </row>
    <row r="168" spans="1:23" x14ac:dyDescent="0.25">
      <c r="A168" s="30" t="s">
        <v>276</v>
      </c>
      <c r="B168" t="s">
        <v>259</v>
      </c>
      <c r="C168" t="s">
        <v>261</v>
      </c>
      <c r="D168" t="s">
        <v>315</v>
      </c>
      <c r="E168" t="s">
        <v>543</v>
      </c>
      <c r="F168" t="s">
        <v>316</v>
      </c>
      <c r="G168" t="s">
        <v>506</v>
      </c>
      <c r="H168" s="47">
        <v>68000</v>
      </c>
      <c r="I168" s="98">
        <v>17000</v>
      </c>
      <c r="J168" s="98">
        <v>14471.4</v>
      </c>
      <c r="K168" s="12">
        <v>12947.8</v>
      </c>
      <c r="L168" s="42">
        <f t="shared" si="62"/>
        <v>0.85125882352941173</v>
      </c>
      <c r="M168" s="13">
        <f t="shared" si="63"/>
        <v>0.21281470588235293</v>
      </c>
      <c r="N168" s="13">
        <f t="shared" si="64"/>
        <v>1.1176725003475494</v>
      </c>
      <c r="O168" s="97">
        <f t="shared" si="65"/>
        <v>53528.6</v>
      </c>
      <c r="P168" s="106"/>
      <c r="Q168" s="39">
        <f>8200-500</f>
        <v>7700</v>
      </c>
      <c r="R168">
        <v>7292</v>
      </c>
      <c r="S168">
        <v>3965.8</v>
      </c>
      <c r="T168" s="42">
        <f t="shared" si="66"/>
        <v>0.94701298701298697</v>
      </c>
      <c r="U168" s="13">
        <f t="shared" si="68"/>
        <v>0.10723529411764705</v>
      </c>
      <c r="V168" s="13">
        <f t="shared" si="67"/>
        <v>1.8387210651066619</v>
      </c>
      <c r="W168" s="39">
        <f t="shared" si="69"/>
        <v>60300</v>
      </c>
    </row>
    <row r="169" spans="1:23" x14ac:dyDescent="0.25">
      <c r="A169" s="30" t="s">
        <v>276</v>
      </c>
      <c r="B169" t="s">
        <v>268</v>
      </c>
      <c r="C169" t="s">
        <v>270</v>
      </c>
      <c r="D169" t="s">
        <v>315</v>
      </c>
      <c r="E169" t="s">
        <v>543</v>
      </c>
      <c r="F169" t="s">
        <v>316</v>
      </c>
      <c r="G169" t="s">
        <v>507</v>
      </c>
      <c r="H169" s="47">
        <v>85000</v>
      </c>
      <c r="I169" s="98">
        <v>26000</v>
      </c>
      <c r="J169" s="98">
        <v>21120.85</v>
      </c>
      <c r="K169" s="12">
        <v>32847.089999999997</v>
      </c>
      <c r="L169" s="42">
        <f t="shared" si="62"/>
        <v>0.8123403846153846</v>
      </c>
      <c r="M169" s="13">
        <f t="shared" si="63"/>
        <v>0.24848058823529409</v>
      </c>
      <c r="N169" s="13">
        <f t="shared" si="64"/>
        <v>0.64300520989835019</v>
      </c>
      <c r="O169" s="97">
        <f t="shared" si="65"/>
        <v>63879.15</v>
      </c>
      <c r="P169" s="106"/>
      <c r="Q169" s="39">
        <v>10100</v>
      </c>
      <c r="R169">
        <v>8090.5</v>
      </c>
      <c r="S169">
        <v>5233.43</v>
      </c>
      <c r="T169" s="42">
        <f t="shared" si="66"/>
        <v>0.80103960396039608</v>
      </c>
      <c r="U169" s="13">
        <f t="shared" si="68"/>
        <v>9.5182352941176468E-2</v>
      </c>
      <c r="V169" s="13">
        <f t="shared" si="67"/>
        <v>1.5459268586758588</v>
      </c>
      <c r="W169" s="39">
        <f t="shared" si="69"/>
        <v>74900</v>
      </c>
    </row>
    <row r="170" spans="1:23" x14ac:dyDescent="0.25">
      <c r="A170" s="30" t="s">
        <v>276</v>
      </c>
      <c r="B170" t="s">
        <v>277</v>
      </c>
      <c r="C170" t="s">
        <v>278</v>
      </c>
      <c r="D170" t="s">
        <v>285</v>
      </c>
      <c r="E170" t="s">
        <v>544</v>
      </c>
      <c r="F170" t="s">
        <v>286</v>
      </c>
      <c r="G170" t="s">
        <v>456</v>
      </c>
      <c r="H170" s="47">
        <v>50200</v>
      </c>
      <c r="I170" s="12">
        <v>1500</v>
      </c>
      <c r="J170" s="12">
        <v>1356.35</v>
      </c>
      <c r="K170" s="39">
        <v>12089.75</v>
      </c>
      <c r="L170" s="42">
        <f t="shared" ref="L170:L205" si="70">J170/I170</f>
        <v>0.90423333333333322</v>
      </c>
      <c r="M170" s="13">
        <f t="shared" ref="M170:M205" si="71">J170/H170</f>
        <v>2.7018924302788842E-2</v>
      </c>
      <c r="N170" s="13">
        <f t="shared" ref="N170:N205" si="72">J170/K170</f>
        <v>0.11219007837217476</v>
      </c>
      <c r="O170" s="97">
        <f t="shared" ref="O170:O205" si="73">H170-J170</f>
        <v>48843.65</v>
      </c>
      <c r="P170" s="106"/>
      <c r="Q170" s="39">
        <v>1500</v>
      </c>
      <c r="R170" s="12">
        <v>1203.3499999999999</v>
      </c>
      <c r="S170" s="12">
        <v>10615</v>
      </c>
      <c r="T170" s="42">
        <f t="shared" ref="T170:T183" si="74">R170/Q170</f>
        <v>0.80223333333333324</v>
      </c>
      <c r="U170" s="13">
        <f t="shared" si="68"/>
        <v>2.3971115537848604E-2</v>
      </c>
      <c r="V170" s="13">
        <f t="shared" ref="V170:V183" si="75">R170/S170</f>
        <v>0.11336316533207724</v>
      </c>
      <c r="W170" s="39">
        <f t="shared" si="69"/>
        <v>48700</v>
      </c>
    </row>
    <row r="171" spans="1:23" x14ac:dyDescent="0.25">
      <c r="A171" s="30" t="s">
        <v>276</v>
      </c>
      <c r="B171" t="s">
        <v>1</v>
      </c>
      <c r="C171" t="s">
        <v>4</v>
      </c>
      <c r="D171" t="s">
        <v>285</v>
      </c>
      <c r="E171" t="s">
        <v>544</v>
      </c>
      <c r="F171" t="s">
        <v>286</v>
      </c>
      <c r="G171" t="s">
        <v>458</v>
      </c>
      <c r="H171" s="47">
        <v>923200</v>
      </c>
      <c r="I171" s="12">
        <v>45000</v>
      </c>
      <c r="J171" s="12">
        <v>40164.14</v>
      </c>
      <c r="K171" s="39">
        <v>4988.8</v>
      </c>
      <c r="L171" s="42">
        <f t="shared" si="70"/>
        <v>0.89253644444444447</v>
      </c>
      <c r="M171" s="13">
        <f t="shared" si="71"/>
        <v>4.3505350953206241E-2</v>
      </c>
      <c r="N171" s="13">
        <f t="shared" si="72"/>
        <v>8.0508619307248228</v>
      </c>
      <c r="O171" s="97">
        <f t="shared" si="73"/>
        <v>883035.86</v>
      </c>
      <c r="P171" s="106"/>
      <c r="Q171" s="39">
        <v>4000</v>
      </c>
      <c r="R171" s="12">
        <v>3300</v>
      </c>
      <c r="S171" s="12">
        <v>2552.8000000000002</v>
      </c>
      <c r="T171" s="42">
        <f t="shared" si="74"/>
        <v>0.82499999999999996</v>
      </c>
      <c r="U171" s="13">
        <f t="shared" si="68"/>
        <v>3.5745233968804161E-3</v>
      </c>
      <c r="V171" s="13">
        <f t="shared" si="75"/>
        <v>1.2926982137261045</v>
      </c>
      <c r="W171" s="39">
        <f t="shared" si="69"/>
        <v>919200</v>
      </c>
    </row>
    <row r="172" spans="1:23" x14ac:dyDescent="0.25">
      <c r="A172" s="30" t="s">
        <v>276</v>
      </c>
      <c r="B172" t="s">
        <v>293</v>
      </c>
      <c r="C172" t="s">
        <v>294</v>
      </c>
      <c r="D172" t="s">
        <v>285</v>
      </c>
      <c r="E172" t="s">
        <v>544</v>
      </c>
      <c r="F172" t="s">
        <v>286</v>
      </c>
      <c r="G172" t="s">
        <v>459</v>
      </c>
      <c r="H172" s="47">
        <v>530300</v>
      </c>
      <c r="I172" s="12">
        <v>40000</v>
      </c>
      <c r="J172" s="12">
        <v>33001.800000000003</v>
      </c>
      <c r="K172" s="39">
        <v>28412</v>
      </c>
      <c r="L172" s="42">
        <f t="shared" si="70"/>
        <v>0.82504500000000003</v>
      </c>
      <c r="M172" s="13">
        <f t="shared" si="71"/>
        <v>6.2232321327550445E-2</v>
      </c>
      <c r="N172" s="13">
        <f t="shared" si="72"/>
        <v>1.1615444178516121</v>
      </c>
      <c r="O172" s="97">
        <f t="shared" si="73"/>
        <v>497298.2</v>
      </c>
      <c r="P172" s="106"/>
      <c r="Q172" s="39">
        <v>4000</v>
      </c>
      <c r="R172" s="12">
        <v>3250</v>
      </c>
      <c r="S172" s="12">
        <v>6350</v>
      </c>
      <c r="T172" s="42">
        <f t="shared" si="74"/>
        <v>0.8125</v>
      </c>
      <c r="U172" s="13">
        <f t="shared" si="68"/>
        <v>6.1286064491797099E-3</v>
      </c>
      <c r="V172" s="13">
        <f t="shared" si="75"/>
        <v>0.51181102362204722</v>
      </c>
      <c r="W172" s="39">
        <f t="shared" si="69"/>
        <v>526300</v>
      </c>
    </row>
    <row r="173" spans="1:23" x14ac:dyDescent="0.25">
      <c r="A173" s="30" t="s">
        <v>276</v>
      </c>
      <c r="B173" t="s">
        <v>295</v>
      </c>
      <c r="C173" t="s">
        <v>296</v>
      </c>
      <c r="D173" t="s">
        <v>285</v>
      </c>
      <c r="E173" t="s">
        <v>544</v>
      </c>
      <c r="F173" t="s">
        <v>286</v>
      </c>
      <c r="G173" t="s">
        <v>460</v>
      </c>
      <c r="H173" s="47">
        <v>9672800</v>
      </c>
      <c r="I173" s="12">
        <v>2700000</v>
      </c>
      <c r="J173" s="12">
        <v>2330045.2200000002</v>
      </c>
      <c r="K173" s="39">
        <v>1965489.65</v>
      </c>
      <c r="L173" s="42">
        <f t="shared" si="70"/>
        <v>0.86297971111111116</v>
      </c>
      <c r="M173" s="13">
        <f t="shared" si="71"/>
        <v>0.24088632247125963</v>
      </c>
      <c r="N173" s="13">
        <f t="shared" si="72"/>
        <v>1.1854782445687264</v>
      </c>
      <c r="O173" s="97">
        <f t="shared" si="73"/>
        <v>7342754.7799999993</v>
      </c>
      <c r="P173" s="106"/>
      <c r="Q173" s="39">
        <v>1400000</v>
      </c>
      <c r="R173" s="12">
        <v>1144261.52</v>
      </c>
      <c r="S173" s="12">
        <v>603305.85</v>
      </c>
      <c r="T173" s="42">
        <f t="shared" si="74"/>
        <v>0.8173296571428571</v>
      </c>
      <c r="U173" s="13">
        <f t="shared" si="68"/>
        <v>0.11829682408402944</v>
      </c>
      <c r="V173" s="13">
        <f t="shared" si="75"/>
        <v>1.8966524524832638</v>
      </c>
      <c r="W173" s="39">
        <f t="shared" si="69"/>
        <v>8272800</v>
      </c>
    </row>
    <row r="174" spans="1:23" x14ac:dyDescent="0.25">
      <c r="A174" s="30" t="s">
        <v>276</v>
      </c>
      <c r="B174" t="s">
        <v>329</v>
      </c>
      <c r="C174" t="s">
        <v>330</v>
      </c>
      <c r="D174" t="s">
        <v>285</v>
      </c>
      <c r="E174" t="s">
        <v>544</v>
      </c>
      <c r="F174" t="s">
        <v>286</v>
      </c>
      <c r="G174" t="s">
        <v>462</v>
      </c>
      <c r="H174" s="47">
        <v>1385000</v>
      </c>
      <c r="I174" s="12">
        <v>750000</v>
      </c>
      <c r="J174" s="12">
        <v>638098.75</v>
      </c>
      <c r="K174" s="39">
        <v>79409.899999999994</v>
      </c>
      <c r="L174" s="42">
        <f t="shared" si="70"/>
        <v>0.85079833333333332</v>
      </c>
      <c r="M174" s="13">
        <f t="shared" si="71"/>
        <v>0.460721119133574</v>
      </c>
      <c r="N174" s="13">
        <f t="shared" si="72"/>
        <v>8.0355062781844584</v>
      </c>
      <c r="O174" s="97">
        <f t="shared" si="73"/>
        <v>746901.25</v>
      </c>
      <c r="P174" s="106"/>
      <c r="Q174" s="39">
        <v>170000</v>
      </c>
      <c r="R174" s="12">
        <v>136589.29</v>
      </c>
      <c r="S174" s="12">
        <v>1649.9</v>
      </c>
      <c r="T174" s="42">
        <f t="shared" si="74"/>
        <v>0.8034664117647059</v>
      </c>
      <c r="U174" s="13">
        <f t="shared" si="68"/>
        <v>9.8620425992779787E-2</v>
      </c>
      <c r="V174" s="13">
        <f t="shared" si="75"/>
        <v>82.786405236681006</v>
      </c>
      <c r="W174" s="39">
        <f t="shared" si="69"/>
        <v>1215000</v>
      </c>
    </row>
    <row r="175" spans="1:23" x14ac:dyDescent="0.25">
      <c r="A175" s="30" t="s">
        <v>276</v>
      </c>
      <c r="B175" t="s">
        <v>333</v>
      </c>
      <c r="C175" t="s">
        <v>334</v>
      </c>
      <c r="D175" t="s">
        <v>285</v>
      </c>
      <c r="E175" t="s">
        <v>544</v>
      </c>
      <c r="F175" t="s">
        <v>286</v>
      </c>
      <c r="G175" t="s">
        <v>463</v>
      </c>
      <c r="H175" s="47">
        <v>3064000</v>
      </c>
      <c r="I175" s="12">
        <v>450000</v>
      </c>
      <c r="J175" s="12">
        <v>396447.44</v>
      </c>
      <c r="K175" s="39">
        <v>355859.51</v>
      </c>
      <c r="L175" s="42">
        <f t="shared" si="70"/>
        <v>0.88099431111111115</v>
      </c>
      <c r="M175" s="13">
        <f t="shared" si="71"/>
        <v>0.12938885117493473</v>
      </c>
      <c r="N175" s="13">
        <f t="shared" si="72"/>
        <v>1.1140560498158387</v>
      </c>
      <c r="O175" s="97">
        <f t="shared" si="73"/>
        <v>2667552.56</v>
      </c>
      <c r="P175" s="106"/>
      <c r="Q175" s="39">
        <v>215000</v>
      </c>
      <c r="R175" s="12">
        <v>172903.39</v>
      </c>
      <c r="S175" s="12">
        <v>172887.46</v>
      </c>
      <c r="T175" s="42">
        <f t="shared" si="74"/>
        <v>0.80420181395348844</v>
      </c>
      <c r="U175" s="13">
        <f t="shared" si="68"/>
        <v>5.6430610313315935E-2</v>
      </c>
      <c r="V175" s="13">
        <f t="shared" si="75"/>
        <v>1.0000921408643519</v>
      </c>
      <c r="W175" s="39">
        <f t="shared" si="69"/>
        <v>2849000</v>
      </c>
    </row>
    <row r="176" spans="1:23" x14ac:dyDescent="0.25">
      <c r="A176" s="30" t="s">
        <v>276</v>
      </c>
      <c r="B176" t="s">
        <v>341</v>
      </c>
      <c r="C176" t="s">
        <v>342</v>
      </c>
      <c r="D176" t="s">
        <v>285</v>
      </c>
      <c r="E176" t="s">
        <v>544</v>
      </c>
      <c r="F176" t="s">
        <v>286</v>
      </c>
      <c r="G176" t="s">
        <v>465</v>
      </c>
      <c r="H176" s="47">
        <v>894000</v>
      </c>
      <c r="I176" s="12">
        <v>460000</v>
      </c>
      <c r="J176" s="12">
        <v>438861.42</v>
      </c>
      <c r="K176" s="39">
        <v>420263.71</v>
      </c>
      <c r="L176" s="42">
        <f t="shared" si="70"/>
        <v>0.95404656521739128</v>
      </c>
      <c r="M176" s="13">
        <f t="shared" si="71"/>
        <v>0.4908964429530201</v>
      </c>
      <c r="N176" s="13">
        <f t="shared" si="72"/>
        <v>1.044252476617598</v>
      </c>
      <c r="O176" s="97">
        <f t="shared" si="73"/>
        <v>455138.58</v>
      </c>
      <c r="P176" s="106"/>
      <c r="Q176" s="39">
        <f>450500+50000</f>
        <v>500500</v>
      </c>
      <c r="R176" s="12">
        <v>430811.42</v>
      </c>
      <c r="S176" s="12">
        <v>377542.71</v>
      </c>
      <c r="T176" s="42">
        <f t="shared" si="74"/>
        <v>0.86076207792207793</v>
      </c>
      <c r="U176" s="13">
        <f t="shared" si="68"/>
        <v>0.48189196868008949</v>
      </c>
      <c r="V176" s="13">
        <f t="shared" si="75"/>
        <v>1.1410932024088081</v>
      </c>
      <c r="W176" s="39">
        <f t="shared" si="69"/>
        <v>393500</v>
      </c>
    </row>
    <row r="177" spans="1:23" x14ac:dyDescent="0.25">
      <c r="A177" s="30" t="s">
        <v>276</v>
      </c>
      <c r="B177" t="s">
        <v>9</v>
      </c>
      <c r="C177" t="s">
        <v>11</v>
      </c>
      <c r="D177" t="s">
        <v>285</v>
      </c>
      <c r="E177" t="s">
        <v>544</v>
      </c>
      <c r="F177" t="s">
        <v>286</v>
      </c>
      <c r="G177" t="s">
        <v>466</v>
      </c>
      <c r="H177" s="47">
        <v>48200</v>
      </c>
      <c r="I177" s="12">
        <v>40000</v>
      </c>
      <c r="J177" s="12">
        <v>38172.65</v>
      </c>
      <c r="K177" s="39">
        <v>36013</v>
      </c>
      <c r="L177" s="42">
        <f t="shared" si="70"/>
        <v>0.95431625000000009</v>
      </c>
      <c r="M177" s="13">
        <f t="shared" si="71"/>
        <v>0.79196369294605817</v>
      </c>
      <c r="N177" s="13">
        <f t="shared" si="72"/>
        <v>1.059968622441896</v>
      </c>
      <c r="O177" s="97">
        <f t="shared" si="73"/>
        <v>10027.349999999999</v>
      </c>
      <c r="P177" s="106"/>
      <c r="Q177" s="39">
        <v>300</v>
      </c>
      <c r="R177" s="12">
        <v>188.65</v>
      </c>
      <c r="S177" s="12">
        <v>11190</v>
      </c>
      <c r="T177" s="42">
        <f t="shared" si="74"/>
        <v>0.62883333333333336</v>
      </c>
      <c r="U177" s="13">
        <f t="shared" si="68"/>
        <v>3.9139004149377592E-3</v>
      </c>
      <c r="V177" s="13">
        <f t="shared" si="75"/>
        <v>1.6858802502234139E-2</v>
      </c>
      <c r="W177" s="39">
        <f t="shared" si="69"/>
        <v>47900</v>
      </c>
    </row>
    <row r="178" spans="1:23" x14ac:dyDescent="0.25">
      <c r="A178" s="30" t="s">
        <v>276</v>
      </c>
      <c r="B178" t="s">
        <v>13</v>
      </c>
      <c r="C178" t="s">
        <v>15</v>
      </c>
      <c r="D178" t="s">
        <v>285</v>
      </c>
      <c r="E178" t="s">
        <v>544</v>
      </c>
      <c r="F178" t="s">
        <v>286</v>
      </c>
      <c r="G178" t="s">
        <v>467</v>
      </c>
      <c r="H178" s="47">
        <v>22500</v>
      </c>
      <c r="I178" s="12">
        <v>10000</v>
      </c>
      <c r="J178" s="12">
        <v>9100</v>
      </c>
      <c r="K178" s="39">
        <v>4550</v>
      </c>
      <c r="L178" s="42">
        <f t="shared" si="70"/>
        <v>0.91</v>
      </c>
      <c r="M178" s="13">
        <f t="shared" si="71"/>
        <v>0.40444444444444444</v>
      </c>
      <c r="N178" s="13">
        <f t="shared" si="72"/>
        <v>2</v>
      </c>
      <c r="O178" s="97">
        <f t="shared" si="73"/>
        <v>13400</v>
      </c>
      <c r="P178" s="106"/>
      <c r="Q178" s="39">
        <f>4200+500</f>
        <v>4700</v>
      </c>
      <c r="R178" s="12">
        <v>3900</v>
      </c>
      <c r="S178" s="12">
        <v>2600</v>
      </c>
      <c r="T178" s="42">
        <f t="shared" si="74"/>
        <v>0.82978723404255317</v>
      </c>
      <c r="U178" s="13">
        <f t="shared" si="68"/>
        <v>0.17333333333333334</v>
      </c>
      <c r="V178" s="13">
        <f t="shared" si="75"/>
        <v>1.5</v>
      </c>
      <c r="W178" s="39">
        <f t="shared" si="69"/>
        <v>17800</v>
      </c>
    </row>
    <row r="179" spans="1:23" x14ac:dyDescent="0.25">
      <c r="A179" s="30" t="s">
        <v>276</v>
      </c>
      <c r="B179" t="s">
        <v>19</v>
      </c>
      <c r="C179" t="s">
        <v>21</v>
      </c>
      <c r="D179" t="s">
        <v>285</v>
      </c>
      <c r="E179" t="s">
        <v>544</v>
      </c>
      <c r="F179" t="s">
        <v>286</v>
      </c>
      <c r="G179" t="s">
        <v>469</v>
      </c>
      <c r="H179" s="47">
        <v>8400</v>
      </c>
      <c r="I179" s="12">
        <v>8000</v>
      </c>
      <c r="J179" s="12">
        <v>7150</v>
      </c>
      <c r="K179" s="39">
        <v>0</v>
      </c>
      <c r="L179" s="42">
        <f t="shared" si="70"/>
        <v>0.89375000000000004</v>
      </c>
      <c r="M179" s="13">
        <f t="shared" si="71"/>
        <v>0.85119047619047616</v>
      </c>
      <c r="N179" s="13" t="e">
        <f t="shared" si="72"/>
        <v>#DIV/0!</v>
      </c>
      <c r="O179" s="97">
        <f t="shared" si="73"/>
        <v>1250</v>
      </c>
      <c r="P179" s="106"/>
      <c r="Q179" s="39">
        <v>0</v>
      </c>
      <c r="R179" s="12">
        <v>0</v>
      </c>
      <c r="S179" s="12">
        <v>0</v>
      </c>
      <c r="T179" s="42" t="e">
        <f t="shared" si="74"/>
        <v>#DIV/0!</v>
      </c>
      <c r="U179" s="13">
        <f t="shared" si="68"/>
        <v>0</v>
      </c>
      <c r="V179" s="13" t="e">
        <f t="shared" si="75"/>
        <v>#DIV/0!</v>
      </c>
      <c r="W179" s="39">
        <f t="shared" si="69"/>
        <v>8400</v>
      </c>
    </row>
    <row r="180" spans="1:23" x14ac:dyDescent="0.25">
      <c r="A180" s="30" t="s">
        <v>276</v>
      </c>
      <c r="B180" t="s">
        <v>31</v>
      </c>
      <c r="C180" t="s">
        <v>33</v>
      </c>
      <c r="D180" t="s">
        <v>285</v>
      </c>
      <c r="E180" t="s">
        <v>544</v>
      </c>
      <c r="F180" t="s">
        <v>286</v>
      </c>
      <c r="G180" t="s">
        <v>471</v>
      </c>
      <c r="H180" s="47">
        <v>23200</v>
      </c>
      <c r="I180" s="12">
        <v>22000</v>
      </c>
      <c r="J180" s="12">
        <v>19075.68</v>
      </c>
      <c r="K180" s="39">
        <v>2450</v>
      </c>
      <c r="L180" s="42">
        <f t="shared" si="70"/>
        <v>0.86707636363636365</v>
      </c>
      <c r="M180" s="13">
        <f t="shared" si="71"/>
        <v>0.82222758620689651</v>
      </c>
      <c r="N180" s="13">
        <f t="shared" si="72"/>
        <v>7.7859918367346941</v>
      </c>
      <c r="O180" s="97">
        <f t="shared" si="73"/>
        <v>4124.32</v>
      </c>
      <c r="P180" s="106"/>
      <c r="Q180" s="39">
        <v>900</v>
      </c>
      <c r="R180" s="12">
        <v>650</v>
      </c>
      <c r="S180" s="12">
        <v>250</v>
      </c>
      <c r="T180" s="42">
        <f t="shared" si="74"/>
        <v>0.72222222222222221</v>
      </c>
      <c r="U180" s="13">
        <f t="shared" si="68"/>
        <v>2.8017241379310345E-2</v>
      </c>
      <c r="V180" s="13">
        <f t="shared" si="75"/>
        <v>2.6</v>
      </c>
      <c r="W180" s="39">
        <f t="shared" si="69"/>
        <v>22300</v>
      </c>
    </row>
    <row r="181" spans="1:23" x14ac:dyDescent="0.25">
      <c r="A181" s="30" t="s">
        <v>276</v>
      </c>
      <c r="B181" t="s">
        <v>50</v>
      </c>
      <c r="C181" t="s">
        <v>52</v>
      </c>
      <c r="D181" t="s">
        <v>285</v>
      </c>
      <c r="E181" t="s">
        <v>544</v>
      </c>
      <c r="F181" t="s">
        <v>286</v>
      </c>
      <c r="G181" t="s">
        <v>475</v>
      </c>
      <c r="H181" s="47">
        <v>75600</v>
      </c>
      <c r="I181" s="12">
        <v>38000</v>
      </c>
      <c r="J181" s="12">
        <v>31250.2</v>
      </c>
      <c r="K181" s="39">
        <v>19098</v>
      </c>
      <c r="L181" s="42">
        <f t="shared" si="70"/>
        <v>0.82237368421052637</v>
      </c>
      <c r="M181" s="13">
        <f t="shared" si="71"/>
        <v>0.41336243386243388</v>
      </c>
      <c r="N181" s="13">
        <f t="shared" si="72"/>
        <v>1.6363074667504451</v>
      </c>
      <c r="O181" s="97">
        <f t="shared" si="73"/>
        <v>44349.8</v>
      </c>
      <c r="P181" s="106"/>
      <c r="Q181" s="39">
        <f>32000+6000</f>
        <v>38000</v>
      </c>
      <c r="R181" s="12">
        <v>30550.2</v>
      </c>
      <c r="S181" s="12">
        <v>18098</v>
      </c>
      <c r="T181" s="42">
        <f t="shared" si="74"/>
        <v>0.80395263157894736</v>
      </c>
      <c r="U181" s="13">
        <f t="shared" si="68"/>
        <v>0.40410317460317463</v>
      </c>
      <c r="V181" s="13">
        <f t="shared" si="75"/>
        <v>1.6880428776660406</v>
      </c>
      <c r="W181" s="39">
        <f t="shared" si="69"/>
        <v>37600</v>
      </c>
    </row>
    <row r="182" spans="1:23" x14ac:dyDescent="0.25">
      <c r="A182" s="30" t="s">
        <v>276</v>
      </c>
      <c r="B182" t="s">
        <v>58</v>
      </c>
      <c r="C182" t="s">
        <v>60</v>
      </c>
      <c r="D182" t="s">
        <v>285</v>
      </c>
      <c r="E182" t="s">
        <v>544</v>
      </c>
      <c r="F182" t="s">
        <v>286</v>
      </c>
      <c r="G182" t="s">
        <v>477</v>
      </c>
      <c r="H182" s="47">
        <v>40000</v>
      </c>
      <c r="I182" s="12">
        <v>13000</v>
      </c>
      <c r="J182" s="12">
        <v>10894</v>
      </c>
      <c r="K182" s="39">
        <v>3500</v>
      </c>
      <c r="L182" s="42">
        <f t="shared" si="70"/>
        <v>0.83799999999999997</v>
      </c>
      <c r="M182" s="13">
        <f t="shared" si="71"/>
        <v>0.27234999999999998</v>
      </c>
      <c r="N182" s="13">
        <f t="shared" si="72"/>
        <v>3.1125714285714285</v>
      </c>
      <c r="O182" s="97">
        <f t="shared" si="73"/>
        <v>29106</v>
      </c>
      <c r="P182" s="106"/>
      <c r="Q182" s="39">
        <v>5000</v>
      </c>
      <c r="R182" s="12">
        <v>4050</v>
      </c>
      <c r="S182" s="12">
        <v>650</v>
      </c>
      <c r="T182" s="42">
        <f t="shared" si="74"/>
        <v>0.81</v>
      </c>
      <c r="U182" s="13">
        <f t="shared" si="68"/>
        <v>0.10125000000000001</v>
      </c>
      <c r="V182" s="13">
        <f t="shared" si="75"/>
        <v>6.2307692307692308</v>
      </c>
      <c r="W182" s="39">
        <f t="shared" si="69"/>
        <v>35000</v>
      </c>
    </row>
    <row r="183" spans="1:23" x14ac:dyDescent="0.25">
      <c r="A183" s="30" t="s">
        <v>276</v>
      </c>
      <c r="B183" t="s">
        <v>77</v>
      </c>
      <c r="C183" t="s">
        <v>79</v>
      </c>
      <c r="D183" t="s">
        <v>285</v>
      </c>
      <c r="E183" t="s">
        <v>544</v>
      </c>
      <c r="F183" t="s">
        <v>286</v>
      </c>
      <c r="G183" t="s">
        <v>480</v>
      </c>
      <c r="H183" s="47">
        <v>597000</v>
      </c>
      <c r="I183" s="12">
        <v>40000</v>
      </c>
      <c r="J183" s="12">
        <v>32479.52</v>
      </c>
      <c r="K183" s="39">
        <v>87822.75</v>
      </c>
      <c r="L183" s="42">
        <f t="shared" si="70"/>
        <v>0.81198800000000004</v>
      </c>
      <c r="M183" s="13">
        <f t="shared" si="71"/>
        <v>5.4404556113902845E-2</v>
      </c>
      <c r="N183" s="13">
        <f t="shared" si="72"/>
        <v>0.36983036855484486</v>
      </c>
      <c r="O183" s="97">
        <f t="shared" si="73"/>
        <v>564520.48</v>
      </c>
      <c r="P183" s="106"/>
      <c r="Q183" s="39">
        <v>14500</v>
      </c>
      <c r="R183" s="12">
        <v>11862.72</v>
      </c>
      <c r="S183" s="12">
        <v>44105.9</v>
      </c>
      <c r="T183" s="42">
        <f t="shared" si="74"/>
        <v>0.81811862068965513</v>
      </c>
      <c r="U183" s="13">
        <f t="shared" si="68"/>
        <v>1.9870552763819094E-2</v>
      </c>
      <c r="V183" s="13">
        <f t="shared" si="75"/>
        <v>0.26895993506537674</v>
      </c>
      <c r="W183" s="39">
        <f t="shared" si="69"/>
        <v>582500</v>
      </c>
    </row>
    <row r="184" spans="1:23" x14ac:dyDescent="0.25">
      <c r="A184" s="30" t="s">
        <v>276</v>
      </c>
      <c r="B184" t="s">
        <v>83</v>
      </c>
      <c r="C184" t="s">
        <v>85</v>
      </c>
      <c r="D184" t="s">
        <v>285</v>
      </c>
      <c r="E184" t="s">
        <v>544</v>
      </c>
      <c r="F184" t="s">
        <v>286</v>
      </c>
      <c r="G184" t="s">
        <v>482</v>
      </c>
      <c r="H184" s="47">
        <v>0</v>
      </c>
      <c r="I184" s="12">
        <v>0</v>
      </c>
      <c r="J184" s="12">
        <v>0</v>
      </c>
      <c r="K184" s="39">
        <v>4025</v>
      </c>
      <c r="L184" s="42" t="e">
        <f t="shared" si="70"/>
        <v>#DIV/0!</v>
      </c>
      <c r="M184" s="13" t="e">
        <f t="shared" si="71"/>
        <v>#DIV/0!</v>
      </c>
      <c r="N184" s="13">
        <f t="shared" si="72"/>
        <v>0</v>
      </c>
      <c r="O184" s="97">
        <f t="shared" si="73"/>
        <v>0</v>
      </c>
      <c r="P184" s="106"/>
      <c r="Q184" s="39">
        <v>0</v>
      </c>
      <c r="R184" s="12">
        <v>0</v>
      </c>
      <c r="S184" s="12">
        <v>4025</v>
      </c>
      <c r="T184" s="42" t="e">
        <f t="shared" ref="T184:T205" si="76">R184/Q184</f>
        <v>#DIV/0!</v>
      </c>
      <c r="U184" s="13" t="e">
        <f t="shared" si="68"/>
        <v>#DIV/0!</v>
      </c>
      <c r="V184" s="13">
        <f t="shared" ref="V184:V205" si="77">R184/S184</f>
        <v>0</v>
      </c>
      <c r="W184" s="39">
        <f t="shared" si="69"/>
        <v>0</v>
      </c>
    </row>
    <row r="185" spans="1:23" x14ac:dyDescent="0.25">
      <c r="A185" s="30" t="s">
        <v>276</v>
      </c>
      <c r="B185" t="s">
        <v>94</v>
      </c>
      <c r="C185" t="s">
        <v>96</v>
      </c>
      <c r="D185" t="s">
        <v>285</v>
      </c>
      <c r="E185" t="s">
        <v>544</v>
      </c>
      <c r="F185" t="s">
        <v>286</v>
      </c>
      <c r="G185" t="s">
        <v>484</v>
      </c>
      <c r="H185" s="47">
        <v>60000</v>
      </c>
      <c r="I185" s="12">
        <v>23000</v>
      </c>
      <c r="J185" s="12">
        <v>19738</v>
      </c>
      <c r="K185" s="39">
        <v>2650</v>
      </c>
      <c r="L185" s="42">
        <f t="shared" si="70"/>
        <v>0.85817391304347823</v>
      </c>
      <c r="M185" s="13">
        <f t="shared" si="71"/>
        <v>0.32896666666666668</v>
      </c>
      <c r="N185" s="13">
        <f t="shared" si="72"/>
        <v>7.4483018867924526</v>
      </c>
      <c r="O185" s="97">
        <f t="shared" si="73"/>
        <v>40262</v>
      </c>
      <c r="P185" s="106"/>
      <c r="Q185" s="39">
        <v>3300</v>
      </c>
      <c r="R185" s="12">
        <v>2704</v>
      </c>
      <c r="S185" s="12">
        <v>1450</v>
      </c>
      <c r="T185" s="42">
        <f t="shared" si="76"/>
        <v>0.81939393939393934</v>
      </c>
      <c r="U185" s="13">
        <f t="shared" si="68"/>
        <v>4.5066666666666665E-2</v>
      </c>
      <c r="V185" s="13">
        <f t="shared" si="77"/>
        <v>1.8648275862068966</v>
      </c>
      <c r="W185" s="39">
        <f t="shared" si="69"/>
        <v>56700</v>
      </c>
    </row>
    <row r="186" spans="1:23" x14ac:dyDescent="0.25">
      <c r="A186" s="30" t="s">
        <v>276</v>
      </c>
      <c r="B186" t="s">
        <v>101</v>
      </c>
      <c r="C186" t="s">
        <v>103</v>
      </c>
      <c r="D186" t="s">
        <v>285</v>
      </c>
      <c r="E186" t="s">
        <v>544</v>
      </c>
      <c r="F186" t="s">
        <v>286</v>
      </c>
      <c r="G186" t="s">
        <v>486</v>
      </c>
      <c r="H186" s="47">
        <v>17000</v>
      </c>
      <c r="I186" s="12">
        <v>0</v>
      </c>
      <c r="J186" s="12">
        <v>0</v>
      </c>
      <c r="K186" s="39">
        <v>0</v>
      </c>
      <c r="L186" s="42" t="e">
        <f t="shared" si="70"/>
        <v>#DIV/0!</v>
      </c>
      <c r="M186" s="13">
        <f t="shared" si="71"/>
        <v>0</v>
      </c>
      <c r="N186" s="13" t="e">
        <f t="shared" si="72"/>
        <v>#DIV/0!</v>
      </c>
      <c r="O186" s="97">
        <f t="shared" si="73"/>
        <v>17000</v>
      </c>
      <c r="P186" s="106"/>
      <c r="Q186" s="39">
        <v>0</v>
      </c>
      <c r="R186" s="12">
        <v>0</v>
      </c>
      <c r="S186" s="12">
        <v>0</v>
      </c>
      <c r="T186" s="42" t="e">
        <f t="shared" si="76"/>
        <v>#DIV/0!</v>
      </c>
      <c r="U186" s="13">
        <f t="shared" si="68"/>
        <v>0</v>
      </c>
      <c r="V186" s="13" t="e">
        <f t="shared" si="77"/>
        <v>#DIV/0!</v>
      </c>
      <c r="W186" s="39">
        <f t="shared" si="69"/>
        <v>17000</v>
      </c>
    </row>
    <row r="187" spans="1:23" x14ac:dyDescent="0.25">
      <c r="A187" s="30" t="s">
        <v>276</v>
      </c>
      <c r="B187" t="s">
        <v>110</v>
      </c>
      <c r="C187" t="s">
        <v>112</v>
      </c>
      <c r="D187" t="s">
        <v>285</v>
      </c>
      <c r="E187" t="s">
        <v>544</v>
      </c>
      <c r="F187" t="s">
        <v>286</v>
      </c>
      <c r="G187" t="s">
        <v>487</v>
      </c>
      <c r="H187" s="47">
        <v>191900</v>
      </c>
      <c r="I187" s="12">
        <v>82000</v>
      </c>
      <c r="J187" s="12">
        <v>72317.5</v>
      </c>
      <c r="K187" s="39">
        <v>65311.14</v>
      </c>
      <c r="L187" s="42">
        <f t="shared" si="70"/>
        <v>0.88192073170731711</v>
      </c>
      <c r="M187" s="13">
        <f t="shared" si="71"/>
        <v>0.37684992183428867</v>
      </c>
      <c r="N187" s="13">
        <f t="shared" si="72"/>
        <v>1.1072766453012457</v>
      </c>
      <c r="O187" s="97">
        <f t="shared" si="73"/>
        <v>119582.5</v>
      </c>
      <c r="P187" s="106"/>
      <c r="Q187" s="39">
        <v>35500</v>
      </c>
      <c r="R187" s="12">
        <v>28703.61</v>
      </c>
      <c r="S187" s="12">
        <v>26234.53</v>
      </c>
      <c r="T187" s="42">
        <f t="shared" si="76"/>
        <v>0.80855239436619719</v>
      </c>
      <c r="U187" s="13">
        <f t="shared" si="68"/>
        <v>0.14957587285044294</v>
      </c>
      <c r="V187" s="13">
        <f t="shared" si="77"/>
        <v>1.0941156559694418</v>
      </c>
      <c r="W187" s="39">
        <f t="shared" si="69"/>
        <v>156400</v>
      </c>
    </row>
    <row r="188" spans="1:23" x14ac:dyDescent="0.25">
      <c r="A188" s="30" t="s">
        <v>276</v>
      </c>
      <c r="B188" t="s">
        <v>119</v>
      </c>
      <c r="C188" t="s">
        <v>121</v>
      </c>
      <c r="D188" t="s">
        <v>285</v>
      </c>
      <c r="E188" t="s">
        <v>544</v>
      </c>
      <c r="F188" t="s">
        <v>286</v>
      </c>
      <c r="G188" t="s">
        <v>488</v>
      </c>
      <c r="H188" s="47">
        <v>556600</v>
      </c>
      <c r="I188" s="12">
        <v>442500</v>
      </c>
      <c r="J188" s="12">
        <v>379709.82</v>
      </c>
      <c r="K188" s="39">
        <v>342165.87</v>
      </c>
      <c r="L188" s="42">
        <f t="shared" si="70"/>
        <v>0.85810128813559328</v>
      </c>
      <c r="M188" s="13">
        <f t="shared" si="71"/>
        <v>0.68219514911965506</v>
      </c>
      <c r="N188" s="13">
        <f t="shared" si="72"/>
        <v>1.1097244152375572</v>
      </c>
      <c r="O188" s="97">
        <f t="shared" si="73"/>
        <v>176890.18</v>
      </c>
      <c r="P188" s="106"/>
      <c r="Q188" s="39">
        <f>305000+45000</f>
        <v>350000</v>
      </c>
      <c r="R188" s="12">
        <v>293088.12</v>
      </c>
      <c r="S188" s="12">
        <v>278733.53000000003</v>
      </c>
      <c r="T188" s="42">
        <f t="shared" si="76"/>
        <v>0.83739462857142855</v>
      </c>
      <c r="U188" s="13">
        <f t="shared" si="68"/>
        <v>0.52656866690621629</v>
      </c>
      <c r="V188" s="13">
        <f t="shared" si="77"/>
        <v>1.0514993298438116</v>
      </c>
      <c r="W188" s="39">
        <f t="shared" si="69"/>
        <v>206600</v>
      </c>
    </row>
    <row r="189" spans="1:23" x14ac:dyDescent="0.25">
      <c r="A189" s="30" t="s">
        <v>276</v>
      </c>
      <c r="B189" t="s">
        <v>127</v>
      </c>
      <c r="C189" t="s">
        <v>128</v>
      </c>
      <c r="D189" t="s">
        <v>285</v>
      </c>
      <c r="E189" t="s">
        <v>544</v>
      </c>
      <c r="F189" t="s">
        <v>286</v>
      </c>
      <c r="G189" t="s">
        <v>489</v>
      </c>
      <c r="H189" s="47">
        <v>293100</v>
      </c>
      <c r="I189" s="12">
        <v>150000</v>
      </c>
      <c r="J189" s="12">
        <v>128707</v>
      </c>
      <c r="K189" s="39">
        <v>110387.79</v>
      </c>
      <c r="L189" s="42">
        <f t="shared" si="70"/>
        <v>0.85804666666666662</v>
      </c>
      <c r="M189" s="13">
        <f t="shared" si="71"/>
        <v>0.43912316615489594</v>
      </c>
      <c r="N189" s="13">
        <f t="shared" si="72"/>
        <v>1.1659532272545723</v>
      </c>
      <c r="O189" s="97">
        <f t="shared" si="73"/>
        <v>164393</v>
      </c>
      <c r="P189" s="106"/>
      <c r="Q189" s="39">
        <f>57000+7000</f>
        <v>64000</v>
      </c>
      <c r="R189" s="12">
        <v>54965.919999999998</v>
      </c>
      <c r="S189" s="12">
        <v>33688.35</v>
      </c>
      <c r="T189" s="42">
        <f t="shared" si="76"/>
        <v>0.85884249999999995</v>
      </c>
      <c r="U189" s="13">
        <f t="shared" si="68"/>
        <v>0.18753299215284885</v>
      </c>
      <c r="V189" s="13">
        <f t="shared" si="77"/>
        <v>1.6316002416265565</v>
      </c>
      <c r="W189" s="39">
        <f t="shared" si="69"/>
        <v>229100</v>
      </c>
    </row>
    <row r="190" spans="1:23" x14ac:dyDescent="0.25">
      <c r="A190" s="30" t="s">
        <v>276</v>
      </c>
      <c r="B190" t="s">
        <v>135</v>
      </c>
      <c r="C190" t="s">
        <v>137</v>
      </c>
      <c r="D190" t="s">
        <v>285</v>
      </c>
      <c r="E190" t="s">
        <v>544</v>
      </c>
      <c r="F190" t="s">
        <v>286</v>
      </c>
      <c r="G190" t="s">
        <v>490</v>
      </c>
      <c r="H190" s="47">
        <v>217200</v>
      </c>
      <c r="I190" s="12">
        <v>100000</v>
      </c>
      <c r="J190" s="12">
        <v>92642.9</v>
      </c>
      <c r="K190" s="39">
        <v>87699.27</v>
      </c>
      <c r="L190" s="42">
        <f t="shared" si="70"/>
        <v>0.92642899999999995</v>
      </c>
      <c r="M190" s="13">
        <f t="shared" si="71"/>
        <v>0.42653268876611417</v>
      </c>
      <c r="N190" s="13">
        <f t="shared" si="72"/>
        <v>1.0563702525688068</v>
      </c>
      <c r="O190" s="97">
        <f t="shared" si="73"/>
        <v>124557.1</v>
      </c>
      <c r="P190" s="106"/>
      <c r="Q190" s="39">
        <f>43000+5000-500</f>
        <v>47500</v>
      </c>
      <c r="R190" s="12">
        <v>41067.879999999997</v>
      </c>
      <c r="S190" s="12">
        <v>35985.78</v>
      </c>
      <c r="T190" s="42">
        <f t="shared" si="76"/>
        <v>0.86458694736842101</v>
      </c>
      <c r="U190" s="13">
        <f t="shared" ref="U190:U219" si="78">R190/H190</f>
        <v>0.18907863720073664</v>
      </c>
      <c r="V190" s="13">
        <f t="shared" si="77"/>
        <v>1.1412252284096662</v>
      </c>
      <c r="W190" s="39">
        <f t="shared" ref="W190:W219" si="79">H190-Q190</f>
        <v>169700</v>
      </c>
    </row>
    <row r="191" spans="1:23" x14ac:dyDescent="0.25">
      <c r="A191" s="30" t="s">
        <v>276</v>
      </c>
      <c r="B191" t="s">
        <v>143</v>
      </c>
      <c r="C191" t="s">
        <v>145</v>
      </c>
      <c r="D191" t="s">
        <v>285</v>
      </c>
      <c r="E191" t="s">
        <v>544</v>
      </c>
      <c r="F191" t="s">
        <v>286</v>
      </c>
      <c r="G191" t="s">
        <v>491</v>
      </c>
      <c r="H191" s="47">
        <v>304300</v>
      </c>
      <c r="I191" s="12">
        <v>140000</v>
      </c>
      <c r="J191" s="12">
        <v>130838.54</v>
      </c>
      <c r="K191" s="39">
        <v>130665.93</v>
      </c>
      <c r="L191" s="42">
        <f t="shared" si="70"/>
        <v>0.93456099999999998</v>
      </c>
      <c r="M191" s="13">
        <f t="shared" si="71"/>
        <v>0.42996562602694705</v>
      </c>
      <c r="N191" s="13">
        <f t="shared" si="72"/>
        <v>1.0013210023454469</v>
      </c>
      <c r="O191" s="97">
        <f t="shared" si="73"/>
        <v>173461.46000000002</v>
      </c>
      <c r="P191" s="106"/>
      <c r="Q191" s="39">
        <f>63000+11000</f>
        <v>74000</v>
      </c>
      <c r="R191" s="12">
        <v>60376.66</v>
      </c>
      <c r="S191" s="12">
        <v>45117.05</v>
      </c>
      <c r="T191" s="42">
        <f t="shared" si="76"/>
        <v>0.81590081081081089</v>
      </c>
      <c r="U191" s="13">
        <f t="shared" si="78"/>
        <v>0.19841163325665462</v>
      </c>
      <c r="V191" s="13">
        <f t="shared" si="77"/>
        <v>1.3382226896483702</v>
      </c>
      <c r="W191" s="39">
        <f t="shared" si="79"/>
        <v>230300</v>
      </c>
    </row>
    <row r="192" spans="1:23" x14ac:dyDescent="0.25">
      <c r="A192" s="30" t="s">
        <v>276</v>
      </c>
      <c r="B192" t="s">
        <v>151</v>
      </c>
      <c r="C192" t="s">
        <v>153</v>
      </c>
      <c r="D192" t="s">
        <v>285</v>
      </c>
      <c r="E192" t="s">
        <v>544</v>
      </c>
      <c r="F192" t="s">
        <v>286</v>
      </c>
      <c r="G192" t="s">
        <v>493</v>
      </c>
      <c r="H192" s="47">
        <v>346100</v>
      </c>
      <c r="I192" s="12">
        <v>140000</v>
      </c>
      <c r="J192" s="12">
        <v>126481.97</v>
      </c>
      <c r="K192" s="39">
        <v>144975.19</v>
      </c>
      <c r="L192" s="42">
        <f t="shared" si="70"/>
        <v>0.90344264285714282</v>
      </c>
      <c r="M192" s="13">
        <f t="shared" si="71"/>
        <v>0.36544920543195608</v>
      </c>
      <c r="N192" s="13">
        <f t="shared" si="72"/>
        <v>0.87243872555021307</v>
      </c>
      <c r="O192" s="97">
        <f t="shared" si="73"/>
        <v>219618.03</v>
      </c>
      <c r="P192" s="106"/>
      <c r="Q192" s="39">
        <f>63800+9000</f>
        <v>72800</v>
      </c>
      <c r="R192" s="12">
        <v>59250.57</v>
      </c>
      <c r="S192" s="12">
        <v>45075.88</v>
      </c>
      <c r="T192" s="42">
        <f t="shared" si="76"/>
        <v>0.81388145604395601</v>
      </c>
      <c r="U192" s="13">
        <f t="shared" si="78"/>
        <v>0.17119494365790233</v>
      </c>
      <c r="V192" s="13">
        <f t="shared" si="77"/>
        <v>1.3144628568538208</v>
      </c>
      <c r="W192" s="39">
        <f t="shared" si="79"/>
        <v>273300</v>
      </c>
    </row>
    <row r="193" spans="1:23" x14ac:dyDescent="0.25">
      <c r="A193" s="30" t="s">
        <v>276</v>
      </c>
      <c r="B193" t="s">
        <v>159</v>
      </c>
      <c r="C193" t="s">
        <v>161</v>
      </c>
      <c r="D193" t="s">
        <v>285</v>
      </c>
      <c r="E193" t="s">
        <v>544</v>
      </c>
      <c r="F193" t="s">
        <v>286</v>
      </c>
      <c r="G193" t="s">
        <v>495</v>
      </c>
      <c r="H193" s="47">
        <v>317000</v>
      </c>
      <c r="I193" s="12">
        <v>140000</v>
      </c>
      <c r="J193" s="12">
        <v>131451.87</v>
      </c>
      <c r="K193" s="39">
        <v>110568.87</v>
      </c>
      <c r="L193" s="42">
        <f t="shared" si="70"/>
        <v>0.93894192857142855</v>
      </c>
      <c r="M193" s="13">
        <f t="shared" si="71"/>
        <v>0.41467466876971609</v>
      </c>
      <c r="N193" s="13">
        <f t="shared" si="72"/>
        <v>1.1888687114194076</v>
      </c>
      <c r="O193" s="97">
        <f t="shared" si="73"/>
        <v>185548.13</v>
      </c>
      <c r="P193" s="106"/>
      <c r="Q193" s="39">
        <v>60200</v>
      </c>
      <c r="R193" s="12">
        <v>49046.61</v>
      </c>
      <c r="S193" s="12">
        <v>48436.74</v>
      </c>
      <c r="T193" s="42">
        <f t="shared" si="76"/>
        <v>0.81472774086378741</v>
      </c>
      <c r="U193" s="13">
        <f t="shared" si="78"/>
        <v>0.15472116719242904</v>
      </c>
      <c r="V193" s="13">
        <f t="shared" si="77"/>
        <v>1.0125910620739547</v>
      </c>
      <c r="W193" s="39">
        <f t="shared" si="79"/>
        <v>256800</v>
      </c>
    </row>
    <row r="194" spans="1:23" x14ac:dyDescent="0.25">
      <c r="A194" s="30" t="s">
        <v>276</v>
      </c>
      <c r="B194" t="s">
        <v>170</v>
      </c>
      <c r="C194" t="s">
        <v>172</v>
      </c>
      <c r="D194" t="s">
        <v>285</v>
      </c>
      <c r="E194" t="s">
        <v>544</v>
      </c>
      <c r="F194" t="s">
        <v>286</v>
      </c>
      <c r="G194" t="s">
        <v>496</v>
      </c>
      <c r="H194" s="47">
        <v>359700</v>
      </c>
      <c r="I194" s="12">
        <v>130000</v>
      </c>
      <c r="J194" s="12">
        <v>124983.61</v>
      </c>
      <c r="K194" s="39">
        <v>118957.57</v>
      </c>
      <c r="L194" s="42">
        <f t="shared" si="70"/>
        <v>0.96141238461538459</v>
      </c>
      <c r="M194" s="13">
        <f t="shared" si="71"/>
        <v>0.34746624965248818</v>
      </c>
      <c r="N194" s="13">
        <f t="shared" si="72"/>
        <v>1.05065705360323</v>
      </c>
      <c r="O194" s="97">
        <f t="shared" si="73"/>
        <v>234716.39</v>
      </c>
      <c r="P194" s="106"/>
      <c r="Q194" s="39">
        <f>67500+8000</f>
        <v>75500</v>
      </c>
      <c r="R194" s="12">
        <v>64898.879999999997</v>
      </c>
      <c r="S194" s="12">
        <v>48649.8</v>
      </c>
      <c r="T194" s="42">
        <f t="shared" si="76"/>
        <v>0.85958781456953637</v>
      </c>
      <c r="U194" s="13">
        <f t="shared" si="78"/>
        <v>0.18042502085070891</v>
      </c>
      <c r="V194" s="13">
        <f t="shared" si="77"/>
        <v>1.3340009619772331</v>
      </c>
      <c r="W194" s="39">
        <f t="shared" si="79"/>
        <v>284200</v>
      </c>
    </row>
    <row r="195" spans="1:23" x14ac:dyDescent="0.25">
      <c r="A195" s="30" t="s">
        <v>276</v>
      </c>
      <c r="B195" t="s">
        <v>179</v>
      </c>
      <c r="C195" t="s">
        <v>181</v>
      </c>
      <c r="D195" t="s">
        <v>285</v>
      </c>
      <c r="E195" t="s">
        <v>544</v>
      </c>
      <c r="F195" t="s">
        <v>286</v>
      </c>
      <c r="G195" t="s">
        <v>497</v>
      </c>
      <c r="H195" s="47">
        <v>860500</v>
      </c>
      <c r="I195" s="12">
        <v>420000</v>
      </c>
      <c r="J195" s="12">
        <v>408359.66</v>
      </c>
      <c r="K195" s="39">
        <v>353625.09</v>
      </c>
      <c r="L195" s="42">
        <f t="shared" si="70"/>
        <v>0.97228490476190466</v>
      </c>
      <c r="M195" s="13">
        <f t="shared" si="71"/>
        <v>0.47456090644973847</v>
      </c>
      <c r="N195" s="13">
        <f t="shared" si="72"/>
        <v>1.1547813533253535</v>
      </c>
      <c r="O195" s="97">
        <f t="shared" si="73"/>
        <v>452140.34</v>
      </c>
      <c r="P195" s="106"/>
      <c r="Q195" s="39">
        <f>290000+40000-500</f>
        <v>329500</v>
      </c>
      <c r="R195" s="12">
        <v>280708.96999999997</v>
      </c>
      <c r="S195" s="12">
        <v>219428.28</v>
      </c>
      <c r="T195" s="42">
        <f t="shared" si="76"/>
        <v>0.85192403641881631</v>
      </c>
      <c r="U195" s="13">
        <f t="shared" si="78"/>
        <v>0.32621611853573501</v>
      </c>
      <c r="V195" s="13">
        <f t="shared" si="77"/>
        <v>1.2792743487758276</v>
      </c>
      <c r="W195" s="39">
        <f t="shared" si="79"/>
        <v>531000</v>
      </c>
    </row>
    <row r="196" spans="1:23" x14ac:dyDescent="0.25">
      <c r="A196" s="30" t="s">
        <v>276</v>
      </c>
      <c r="B196" t="s">
        <v>189</v>
      </c>
      <c r="C196" t="s">
        <v>191</v>
      </c>
      <c r="D196" t="s">
        <v>285</v>
      </c>
      <c r="E196" t="s">
        <v>544</v>
      </c>
      <c r="F196" t="s">
        <v>286</v>
      </c>
      <c r="G196" t="s">
        <v>498</v>
      </c>
      <c r="H196" s="47">
        <v>397200</v>
      </c>
      <c r="I196" s="12">
        <v>165000</v>
      </c>
      <c r="J196" s="12">
        <v>159110.09</v>
      </c>
      <c r="K196" s="39">
        <v>143048.04999999999</v>
      </c>
      <c r="L196" s="42">
        <f t="shared" si="70"/>
        <v>0.96430357575757575</v>
      </c>
      <c r="M196" s="13">
        <f t="shared" si="71"/>
        <v>0.40057927995971804</v>
      </c>
      <c r="N196" s="13">
        <f t="shared" si="72"/>
        <v>1.1122842289706152</v>
      </c>
      <c r="O196" s="97">
        <f t="shared" si="73"/>
        <v>238089.91</v>
      </c>
      <c r="P196" s="106"/>
      <c r="Q196" s="39">
        <f>83000+10000</f>
        <v>93000</v>
      </c>
      <c r="R196" s="12">
        <v>80139.77</v>
      </c>
      <c r="S196" s="12">
        <v>47752.35</v>
      </c>
      <c r="T196" s="42">
        <f t="shared" si="76"/>
        <v>0.86171795698924736</v>
      </c>
      <c r="U196" s="13">
        <f t="shared" si="78"/>
        <v>0.20176175730110776</v>
      </c>
      <c r="V196" s="13">
        <f t="shared" si="77"/>
        <v>1.6782371967034084</v>
      </c>
      <c r="W196" s="39">
        <f t="shared" si="79"/>
        <v>304200</v>
      </c>
    </row>
    <row r="197" spans="1:23" x14ac:dyDescent="0.25">
      <c r="A197" s="30" t="s">
        <v>276</v>
      </c>
      <c r="B197" t="s">
        <v>198</v>
      </c>
      <c r="C197" t="s">
        <v>200</v>
      </c>
      <c r="D197" t="s">
        <v>285</v>
      </c>
      <c r="E197" t="s">
        <v>544</v>
      </c>
      <c r="F197" t="s">
        <v>286</v>
      </c>
      <c r="G197" t="s">
        <v>499</v>
      </c>
      <c r="H197" s="47">
        <v>529400</v>
      </c>
      <c r="I197" s="12">
        <v>260000</v>
      </c>
      <c r="J197" s="12">
        <v>244739.56</v>
      </c>
      <c r="K197" s="39">
        <v>261395.46</v>
      </c>
      <c r="L197" s="42">
        <f t="shared" si="70"/>
        <v>0.94130599999999998</v>
      </c>
      <c r="M197" s="13">
        <f t="shared" si="71"/>
        <v>0.46229610880241784</v>
      </c>
      <c r="N197" s="13">
        <f t="shared" si="72"/>
        <v>0.93628083670619222</v>
      </c>
      <c r="O197" s="97">
        <f t="shared" si="73"/>
        <v>284660.44</v>
      </c>
      <c r="P197" s="106"/>
      <c r="Q197" s="39">
        <f>205000+23000-500</f>
        <v>227500</v>
      </c>
      <c r="R197" s="12">
        <v>195063.64</v>
      </c>
      <c r="S197" s="12">
        <v>185071.86</v>
      </c>
      <c r="T197" s="42">
        <f t="shared" si="76"/>
        <v>0.85742259340659344</v>
      </c>
      <c r="U197" s="13">
        <f t="shared" si="78"/>
        <v>0.36846173026067247</v>
      </c>
      <c r="V197" s="13">
        <f t="shared" si="77"/>
        <v>1.0539886506787148</v>
      </c>
      <c r="W197" s="39">
        <f t="shared" si="79"/>
        <v>301900</v>
      </c>
    </row>
    <row r="198" spans="1:23" x14ac:dyDescent="0.25">
      <c r="A198" s="30" t="s">
        <v>276</v>
      </c>
      <c r="B198" t="s">
        <v>206</v>
      </c>
      <c r="C198" t="s">
        <v>208</v>
      </c>
      <c r="D198" t="s">
        <v>285</v>
      </c>
      <c r="E198" t="s">
        <v>544</v>
      </c>
      <c r="F198" t="s">
        <v>286</v>
      </c>
      <c r="G198" t="s">
        <v>500</v>
      </c>
      <c r="H198" s="47">
        <v>303600</v>
      </c>
      <c r="I198" s="12">
        <v>135000</v>
      </c>
      <c r="J198" s="12">
        <v>132742.84</v>
      </c>
      <c r="K198" s="39">
        <v>117808.97</v>
      </c>
      <c r="L198" s="42">
        <f t="shared" si="70"/>
        <v>0.98328029629629632</v>
      </c>
      <c r="M198" s="13">
        <f t="shared" si="71"/>
        <v>0.43722938076416334</v>
      </c>
      <c r="N198" s="13">
        <f t="shared" si="72"/>
        <v>1.1267634374530224</v>
      </c>
      <c r="O198" s="97">
        <f t="shared" si="73"/>
        <v>170857.16</v>
      </c>
      <c r="P198" s="106"/>
      <c r="Q198" s="39">
        <f>72000+14000</f>
        <v>86000</v>
      </c>
      <c r="R198" s="12">
        <v>69069.06</v>
      </c>
      <c r="S198" s="12">
        <v>46444.06</v>
      </c>
      <c r="T198" s="42">
        <f t="shared" si="76"/>
        <v>0.80312860465116276</v>
      </c>
      <c r="U198" s="13">
        <f t="shared" si="78"/>
        <v>0.22750019762845849</v>
      </c>
      <c r="V198" s="13">
        <f t="shared" si="77"/>
        <v>1.487145180675419</v>
      </c>
      <c r="W198" s="39">
        <f t="shared" si="79"/>
        <v>217600</v>
      </c>
    </row>
    <row r="199" spans="1:23" x14ac:dyDescent="0.25">
      <c r="A199" s="30" t="s">
        <v>276</v>
      </c>
      <c r="B199" t="s">
        <v>214</v>
      </c>
      <c r="C199" t="s">
        <v>216</v>
      </c>
      <c r="D199" t="s">
        <v>285</v>
      </c>
      <c r="E199" t="s">
        <v>544</v>
      </c>
      <c r="F199" t="s">
        <v>286</v>
      </c>
      <c r="G199" t="s">
        <v>501</v>
      </c>
      <c r="H199" s="47">
        <v>823600</v>
      </c>
      <c r="I199" s="12">
        <v>322000</v>
      </c>
      <c r="J199" s="12">
        <v>320410.88</v>
      </c>
      <c r="K199" s="39">
        <v>335878.46</v>
      </c>
      <c r="L199" s="42">
        <f t="shared" si="70"/>
        <v>0.99506484472049694</v>
      </c>
      <c r="M199" s="13">
        <f t="shared" si="71"/>
        <v>0.38903700825643517</v>
      </c>
      <c r="N199" s="13">
        <f t="shared" si="72"/>
        <v>0.95394887781729132</v>
      </c>
      <c r="O199" s="97">
        <f t="shared" si="73"/>
        <v>503189.12</v>
      </c>
      <c r="P199" s="106"/>
      <c r="Q199" s="39">
        <f>205000+38000</f>
        <v>243000</v>
      </c>
      <c r="R199" s="12">
        <v>195825.09</v>
      </c>
      <c r="S199" s="12">
        <v>220084.81</v>
      </c>
      <c r="T199" s="42">
        <f t="shared" si="76"/>
        <v>0.80586456790123451</v>
      </c>
      <c r="U199" s="13">
        <f t="shared" si="78"/>
        <v>0.23776722923749394</v>
      </c>
      <c r="V199" s="13">
        <f t="shared" si="77"/>
        <v>0.88977103871911922</v>
      </c>
      <c r="W199" s="39">
        <f t="shared" si="79"/>
        <v>580600</v>
      </c>
    </row>
    <row r="200" spans="1:23" x14ac:dyDescent="0.25">
      <c r="A200" s="30" t="s">
        <v>276</v>
      </c>
      <c r="B200" t="s">
        <v>226</v>
      </c>
      <c r="C200" t="s">
        <v>228</v>
      </c>
      <c r="D200" t="s">
        <v>285</v>
      </c>
      <c r="E200" t="s">
        <v>544</v>
      </c>
      <c r="F200" t="s">
        <v>286</v>
      </c>
      <c r="G200" t="s">
        <v>502</v>
      </c>
      <c r="H200" s="47">
        <v>189600</v>
      </c>
      <c r="I200" s="12">
        <v>80000</v>
      </c>
      <c r="J200" s="12">
        <v>77180.12</v>
      </c>
      <c r="K200" s="39">
        <v>60016.97</v>
      </c>
      <c r="L200" s="42">
        <f t="shared" si="70"/>
        <v>0.96475149999999998</v>
      </c>
      <c r="M200" s="13">
        <f t="shared" si="71"/>
        <v>0.4070681434599156</v>
      </c>
      <c r="N200" s="13">
        <f t="shared" si="72"/>
        <v>1.2859716176941287</v>
      </c>
      <c r="O200" s="97">
        <f t="shared" si="73"/>
        <v>112419.88</v>
      </c>
      <c r="P200" s="106"/>
      <c r="Q200" s="39">
        <v>28000</v>
      </c>
      <c r="R200" s="12">
        <v>22753.02</v>
      </c>
      <c r="S200" s="12">
        <v>20337.97</v>
      </c>
      <c r="T200" s="42">
        <f t="shared" si="76"/>
        <v>0.8126078571428571</v>
      </c>
      <c r="U200" s="13">
        <f t="shared" si="78"/>
        <v>0.12000537974683545</v>
      </c>
      <c r="V200" s="13">
        <f t="shared" si="77"/>
        <v>1.1187458728673509</v>
      </c>
      <c r="W200" s="39">
        <f t="shared" si="79"/>
        <v>161600</v>
      </c>
    </row>
    <row r="201" spans="1:23" x14ac:dyDescent="0.25">
      <c r="A201" s="30" t="s">
        <v>276</v>
      </c>
      <c r="B201" t="s">
        <v>234</v>
      </c>
      <c r="C201" t="s">
        <v>236</v>
      </c>
      <c r="D201" t="s">
        <v>285</v>
      </c>
      <c r="E201" t="s">
        <v>544</v>
      </c>
      <c r="F201" t="s">
        <v>286</v>
      </c>
      <c r="G201" t="s">
        <v>503</v>
      </c>
      <c r="H201" s="47">
        <v>180900</v>
      </c>
      <c r="I201" s="12">
        <v>80000</v>
      </c>
      <c r="J201" s="12">
        <v>71918.84</v>
      </c>
      <c r="K201" s="39">
        <v>58780.67</v>
      </c>
      <c r="L201" s="42">
        <f t="shared" si="70"/>
        <v>0.89898549999999999</v>
      </c>
      <c r="M201" s="13">
        <f t="shared" si="71"/>
        <v>0.39756130458817024</v>
      </c>
      <c r="N201" s="13">
        <f t="shared" si="72"/>
        <v>1.2235117428909879</v>
      </c>
      <c r="O201" s="97">
        <f t="shared" si="73"/>
        <v>108981.16</v>
      </c>
      <c r="P201" s="106"/>
      <c r="Q201" s="39">
        <v>34400</v>
      </c>
      <c r="R201" s="12">
        <v>28979.8</v>
      </c>
      <c r="S201" s="12">
        <v>24897.46</v>
      </c>
      <c r="T201" s="42">
        <f t="shared" si="76"/>
        <v>0.84243604651162785</v>
      </c>
      <c r="U201" s="13">
        <f t="shared" si="78"/>
        <v>0.16019789939192924</v>
      </c>
      <c r="V201" s="13">
        <f t="shared" si="77"/>
        <v>1.1639661234519505</v>
      </c>
      <c r="W201" s="39">
        <f t="shared" si="79"/>
        <v>146500</v>
      </c>
    </row>
    <row r="202" spans="1:23" x14ac:dyDescent="0.25">
      <c r="A202" s="30" t="s">
        <v>276</v>
      </c>
      <c r="B202" t="s">
        <v>241</v>
      </c>
      <c r="C202" t="s">
        <v>243</v>
      </c>
      <c r="D202" t="s">
        <v>285</v>
      </c>
      <c r="E202" t="s">
        <v>544</v>
      </c>
      <c r="F202" t="s">
        <v>286</v>
      </c>
      <c r="G202" t="s">
        <v>504</v>
      </c>
      <c r="H202" s="47">
        <v>177100</v>
      </c>
      <c r="I202" s="12">
        <v>60000</v>
      </c>
      <c r="J202" s="12">
        <v>58344.04</v>
      </c>
      <c r="K202" s="39">
        <v>51553.43</v>
      </c>
      <c r="L202" s="42">
        <f t="shared" si="70"/>
        <v>0.97240066666666669</v>
      </c>
      <c r="M202" s="13">
        <f t="shared" si="71"/>
        <v>0.3294412196499153</v>
      </c>
      <c r="N202" s="13">
        <f t="shared" si="72"/>
        <v>1.1317198487084177</v>
      </c>
      <c r="O202" s="97">
        <f t="shared" si="73"/>
        <v>118755.95999999999</v>
      </c>
      <c r="P202" s="106"/>
      <c r="Q202" s="39">
        <v>31000</v>
      </c>
      <c r="R202" s="12">
        <v>25031.42</v>
      </c>
      <c r="S202" s="12">
        <v>22114.6</v>
      </c>
      <c r="T202" s="42">
        <f t="shared" si="76"/>
        <v>0.80746516129032253</v>
      </c>
      <c r="U202" s="13">
        <f t="shared" si="78"/>
        <v>0.14134059853190287</v>
      </c>
      <c r="V202" s="13">
        <f t="shared" si="77"/>
        <v>1.1318956707333616</v>
      </c>
      <c r="W202" s="39">
        <f t="shared" si="79"/>
        <v>146100</v>
      </c>
    </row>
    <row r="203" spans="1:23" x14ac:dyDescent="0.25">
      <c r="A203" s="30" t="s">
        <v>276</v>
      </c>
      <c r="B203" t="s">
        <v>248</v>
      </c>
      <c r="C203" t="s">
        <v>250</v>
      </c>
      <c r="D203" t="s">
        <v>285</v>
      </c>
      <c r="E203" t="s">
        <v>544</v>
      </c>
      <c r="F203" t="s">
        <v>286</v>
      </c>
      <c r="G203" t="s">
        <v>505</v>
      </c>
      <c r="H203" s="47">
        <v>648300</v>
      </c>
      <c r="I203" s="12">
        <v>355000</v>
      </c>
      <c r="J203" s="12">
        <v>351374.32</v>
      </c>
      <c r="K203" s="39">
        <v>324121.15999999997</v>
      </c>
      <c r="L203" s="42">
        <f t="shared" si="70"/>
        <v>0.98978681690140846</v>
      </c>
      <c r="M203" s="13">
        <f t="shared" si="71"/>
        <v>0.54199339811815517</v>
      </c>
      <c r="N203" s="13">
        <f t="shared" si="72"/>
        <v>1.0840832483753915</v>
      </c>
      <c r="O203" s="97">
        <f t="shared" si="73"/>
        <v>296925.68</v>
      </c>
      <c r="P203" s="106"/>
      <c r="Q203" s="39">
        <f>245000+45000</f>
        <v>290000</v>
      </c>
      <c r="R203" s="12">
        <v>234759.58</v>
      </c>
      <c r="S203" s="12">
        <v>226410.38</v>
      </c>
      <c r="T203" s="42">
        <f t="shared" si="76"/>
        <v>0.80951579310344823</v>
      </c>
      <c r="U203" s="13">
        <f t="shared" si="78"/>
        <v>0.36211565633194509</v>
      </c>
      <c r="V203" s="13">
        <f t="shared" si="77"/>
        <v>1.0368764011614662</v>
      </c>
      <c r="W203" s="39">
        <f t="shared" si="79"/>
        <v>358300</v>
      </c>
    </row>
    <row r="204" spans="1:23" x14ac:dyDescent="0.25">
      <c r="A204" s="30" t="s">
        <v>276</v>
      </c>
      <c r="B204" t="s">
        <v>259</v>
      </c>
      <c r="C204" t="s">
        <v>261</v>
      </c>
      <c r="D204" t="s">
        <v>285</v>
      </c>
      <c r="E204" t="s">
        <v>544</v>
      </c>
      <c r="F204" t="s">
        <v>286</v>
      </c>
      <c r="G204" t="s">
        <v>506</v>
      </c>
      <c r="H204" s="47">
        <v>198500</v>
      </c>
      <c r="I204" s="12">
        <v>78000</v>
      </c>
      <c r="J204" s="12">
        <v>77569.69</v>
      </c>
      <c r="K204" s="39">
        <v>60589.84</v>
      </c>
      <c r="L204" s="42">
        <f t="shared" si="70"/>
        <v>0.99448320512820521</v>
      </c>
      <c r="M204" s="13">
        <f t="shared" si="71"/>
        <v>0.39077929471032746</v>
      </c>
      <c r="N204" s="13">
        <f t="shared" si="72"/>
        <v>1.2802425291104913</v>
      </c>
      <c r="O204" s="97">
        <f t="shared" si="73"/>
        <v>120930.31</v>
      </c>
      <c r="P204" s="106"/>
      <c r="Q204" s="39">
        <f>37600+3500</f>
        <v>41100</v>
      </c>
      <c r="R204" s="12">
        <v>35420.379999999997</v>
      </c>
      <c r="S204" s="12">
        <v>26117.01</v>
      </c>
      <c r="T204" s="42">
        <f t="shared" si="76"/>
        <v>0.86180973236009728</v>
      </c>
      <c r="U204" s="13">
        <f t="shared" si="78"/>
        <v>0.17844020151133499</v>
      </c>
      <c r="V204" s="13">
        <f t="shared" si="77"/>
        <v>1.3562188014631078</v>
      </c>
      <c r="W204" s="39">
        <f t="shared" si="79"/>
        <v>157400</v>
      </c>
    </row>
    <row r="205" spans="1:23" x14ac:dyDescent="0.25">
      <c r="A205" s="30" t="s">
        <v>276</v>
      </c>
      <c r="B205" t="s">
        <v>268</v>
      </c>
      <c r="C205" t="s">
        <v>270</v>
      </c>
      <c r="D205" t="s">
        <v>285</v>
      </c>
      <c r="E205" t="s">
        <v>544</v>
      </c>
      <c r="F205" t="s">
        <v>286</v>
      </c>
      <c r="G205" t="s">
        <v>507</v>
      </c>
      <c r="H205" s="47">
        <v>194000</v>
      </c>
      <c r="I205" s="12">
        <v>80000</v>
      </c>
      <c r="J205" s="12">
        <v>78678.55</v>
      </c>
      <c r="K205" s="39">
        <v>69756.820000000007</v>
      </c>
      <c r="L205" s="42">
        <f t="shared" si="70"/>
        <v>0.98348187500000006</v>
      </c>
      <c r="M205" s="13">
        <f t="shared" si="71"/>
        <v>0.40555953608247425</v>
      </c>
      <c r="N205" s="13">
        <f t="shared" si="72"/>
        <v>1.1278976019835767</v>
      </c>
      <c r="O205" s="97">
        <f t="shared" si="73"/>
        <v>115321.45</v>
      </c>
      <c r="P205" s="106"/>
      <c r="Q205" s="39">
        <f>36800+7000</f>
        <v>43800</v>
      </c>
      <c r="R205" s="12">
        <v>35182.620000000003</v>
      </c>
      <c r="S205" s="12">
        <v>22128.47</v>
      </c>
      <c r="T205" s="42">
        <f t="shared" si="76"/>
        <v>0.80325616438356173</v>
      </c>
      <c r="U205" s="13">
        <f t="shared" si="78"/>
        <v>0.1813537113402062</v>
      </c>
      <c r="V205" s="13">
        <f t="shared" si="77"/>
        <v>1.5899255574379973</v>
      </c>
      <c r="W205" s="39">
        <f t="shared" si="79"/>
        <v>150200</v>
      </c>
    </row>
    <row r="206" spans="1:23" x14ac:dyDescent="0.25">
      <c r="A206" s="30" t="s">
        <v>276</v>
      </c>
      <c r="B206" t="s">
        <v>277</v>
      </c>
      <c r="C206" t="s">
        <v>278</v>
      </c>
      <c r="D206" t="s">
        <v>287</v>
      </c>
      <c r="E206" s="30" t="s">
        <v>552</v>
      </c>
      <c r="F206" t="s">
        <v>288</v>
      </c>
      <c r="G206" t="s">
        <v>456</v>
      </c>
      <c r="H206" s="47">
        <v>631000</v>
      </c>
      <c r="I206" s="12">
        <v>220000</v>
      </c>
      <c r="J206" s="47">
        <v>205928.31</v>
      </c>
      <c r="K206" s="39">
        <v>291752.49</v>
      </c>
      <c r="L206" s="42">
        <f t="shared" ref="L206" si="80">J206/I206</f>
        <v>0.93603777272727273</v>
      </c>
      <c r="M206" s="13">
        <f t="shared" ref="M206" si="81">J206/H206</f>
        <v>0.32635231378763868</v>
      </c>
      <c r="N206" s="13">
        <f t="shared" ref="N206" si="82">J206/K206</f>
        <v>0.70583222785862088</v>
      </c>
      <c r="O206" s="97">
        <f t="shared" ref="O206" si="83">H206-J206</f>
        <v>425071.69</v>
      </c>
      <c r="P206" s="106"/>
      <c r="Q206" s="51">
        <v>131000</v>
      </c>
      <c r="R206">
        <v>107279.15</v>
      </c>
      <c r="S206">
        <v>154664.1</v>
      </c>
      <c r="T206" s="42">
        <f t="shared" ref="T206:T243" si="84">R206/Q206</f>
        <v>0.8189248091603053</v>
      </c>
      <c r="U206" s="13">
        <f t="shared" si="78"/>
        <v>0.17001450079239303</v>
      </c>
      <c r="V206" s="13">
        <f t="shared" ref="V206:V243" si="85">R206/S206</f>
        <v>0.69362670458108888</v>
      </c>
      <c r="W206" s="39">
        <f t="shared" si="79"/>
        <v>500000</v>
      </c>
    </row>
    <row r="207" spans="1:23" x14ac:dyDescent="0.25">
      <c r="A207" s="30" t="s">
        <v>276</v>
      </c>
      <c r="B207" t="s">
        <v>1</v>
      </c>
      <c r="C207" t="s">
        <v>4</v>
      </c>
      <c r="D207" t="s">
        <v>287</v>
      </c>
      <c r="E207" s="30" t="s">
        <v>552</v>
      </c>
      <c r="F207" t="s">
        <v>288</v>
      </c>
      <c r="G207" t="s">
        <v>458</v>
      </c>
      <c r="H207" s="47">
        <v>502000</v>
      </c>
      <c r="I207" s="12">
        <v>220000</v>
      </c>
      <c r="J207" s="47">
        <v>211148.74</v>
      </c>
      <c r="K207" s="39">
        <v>211978.99</v>
      </c>
      <c r="L207" s="42">
        <f t="shared" ref="L207:L243" si="86">J207/I207</f>
        <v>0.95976699999999993</v>
      </c>
      <c r="M207" s="13">
        <f t="shared" ref="M207:M243" si="87">J207/H207</f>
        <v>0.42061501992031869</v>
      </c>
      <c r="N207" s="13">
        <f t="shared" ref="N207:N243" si="88">J207/K207</f>
        <v>0.99608333825913598</v>
      </c>
      <c r="O207" s="97">
        <f t="shared" ref="O207:O243" si="89">H207-J207</f>
        <v>290851.26</v>
      </c>
      <c r="P207" s="106"/>
      <c r="Q207" s="51">
        <v>115400</v>
      </c>
      <c r="R207">
        <v>106211.62</v>
      </c>
      <c r="S207">
        <v>113360.43</v>
      </c>
      <c r="T207" s="42">
        <f t="shared" si="84"/>
        <v>0.92037798960138639</v>
      </c>
      <c r="U207" s="13">
        <f t="shared" si="78"/>
        <v>0.21157693227091631</v>
      </c>
      <c r="V207" s="13">
        <f t="shared" si="85"/>
        <v>0.9369373422454379</v>
      </c>
      <c r="W207" s="39">
        <f t="shared" si="79"/>
        <v>386600</v>
      </c>
    </row>
    <row r="208" spans="1:23" x14ac:dyDescent="0.25">
      <c r="A208" s="30" t="s">
        <v>276</v>
      </c>
      <c r="B208" t="s">
        <v>293</v>
      </c>
      <c r="C208" t="s">
        <v>294</v>
      </c>
      <c r="D208" t="s">
        <v>287</v>
      </c>
      <c r="E208" s="30" t="s">
        <v>552</v>
      </c>
      <c r="F208" t="s">
        <v>288</v>
      </c>
      <c r="G208" t="s">
        <v>459</v>
      </c>
      <c r="H208" s="47">
        <v>1294000</v>
      </c>
      <c r="I208" s="12">
        <v>600000</v>
      </c>
      <c r="J208" s="47">
        <v>569617.80000000005</v>
      </c>
      <c r="K208" s="39">
        <v>550502.86</v>
      </c>
      <c r="L208" s="42">
        <f t="shared" si="86"/>
        <v>0.94936300000000007</v>
      </c>
      <c r="M208" s="13">
        <f t="shared" si="87"/>
        <v>0.44019922720247301</v>
      </c>
      <c r="N208" s="13">
        <f t="shared" si="88"/>
        <v>1.0347226897240827</v>
      </c>
      <c r="O208" s="97">
        <f t="shared" si="89"/>
        <v>724382.2</v>
      </c>
      <c r="P208" s="106"/>
      <c r="Q208" s="51">
        <v>297600</v>
      </c>
      <c r="R208">
        <v>285607.95</v>
      </c>
      <c r="S208">
        <v>292800.58</v>
      </c>
      <c r="T208" s="42">
        <f t="shared" si="84"/>
        <v>0.95970413306451618</v>
      </c>
      <c r="U208" s="13">
        <f t="shared" si="78"/>
        <v>0.22071711746522413</v>
      </c>
      <c r="V208" s="13">
        <f t="shared" si="85"/>
        <v>0.97543505549066878</v>
      </c>
      <c r="W208" s="39">
        <f t="shared" si="79"/>
        <v>996400</v>
      </c>
    </row>
    <row r="209" spans="1:23" x14ac:dyDescent="0.25">
      <c r="A209" s="30" t="s">
        <v>276</v>
      </c>
      <c r="B209" t="s">
        <v>295</v>
      </c>
      <c r="C209" t="s">
        <v>296</v>
      </c>
      <c r="D209" t="s">
        <v>287</v>
      </c>
      <c r="E209" s="30" t="s">
        <v>552</v>
      </c>
      <c r="F209" t="s">
        <v>288</v>
      </c>
      <c r="G209" t="s">
        <v>460</v>
      </c>
      <c r="H209" s="47">
        <v>4199000</v>
      </c>
      <c r="I209" s="12">
        <v>1370000</v>
      </c>
      <c r="J209" s="47">
        <v>1320101.04</v>
      </c>
      <c r="K209" s="39">
        <v>2619293.13</v>
      </c>
      <c r="L209" s="42">
        <f t="shared" si="86"/>
        <v>0.96357740145985404</v>
      </c>
      <c r="M209" s="13">
        <f t="shared" si="87"/>
        <v>0.31438462491069302</v>
      </c>
      <c r="N209" s="13">
        <f t="shared" si="88"/>
        <v>0.5039913344864918</v>
      </c>
      <c r="O209" s="97">
        <f t="shared" si="89"/>
        <v>2878898.96</v>
      </c>
      <c r="P209" s="106"/>
      <c r="Q209" s="51">
        <f>800000+80000</f>
        <v>880000</v>
      </c>
      <c r="R209">
        <v>705618.41</v>
      </c>
      <c r="S209">
        <v>1308666.8999999999</v>
      </c>
      <c r="T209" s="42">
        <f t="shared" si="84"/>
        <v>0.80183910227272726</v>
      </c>
      <c r="U209" s="13">
        <f t="shared" si="78"/>
        <v>0.16804439390331033</v>
      </c>
      <c r="V209" s="13">
        <f t="shared" si="85"/>
        <v>0.53918870416910525</v>
      </c>
      <c r="W209" s="39">
        <f t="shared" si="79"/>
        <v>3319000</v>
      </c>
    </row>
    <row r="210" spans="1:23" x14ac:dyDescent="0.25">
      <c r="A210" s="30" t="s">
        <v>276</v>
      </c>
      <c r="B210" t="s">
        <v>329</v>
      </c>
      <c r="C210" t="s">
        <v>330</v>
      </c>
      <c r="D210" t="s">
        <v>287</v>
      </c>
      <c r="E210" s="30" t="s">
        <v>552</v>
      </c>
      <c r="F210" t="s">
        <v>288</v>
      </c>
      <c r="G210" t="s">
        <v>462</v>
      </c>
      <c r="H210" s="47">
        <v>994000</v>
      </c>
      <c r="I210" s="12">
        <v>450000</v>
      </c>
      <c r="J210" s="47">
        <v>399917.97</v>
      </c>
      <c r="K210" s="39">
        <v>420470.56</v>
      </c>
      <c r="L210" s="42">
        <f t="shared" si="86"/>
        <v>0.8887065999999999</v>
      </c>
      <c r="M210" s="13">
        <f t="shared" si="87"/>
        <v>0.40233196177062369</v>
      </c>
      <c r="N210" s="13">
        <f t="shared" si="88"/>
        <v>0.95112002609647628</v>
      </c>
      <c r="O210" s="97">
        <f t="shared" si="89"/>
        <v>594082.03</v>
      </c>
      <c r="P210" s="106"/>
      <c r="Q210" s="51">
        <v>228600</v>
      </c>
      <c r="R210">
        <v>200687.27</v>
      </c>
      <c r="S210">
        <v>227810.17</v>
      </c>
      <c r="T210" s="42">
        <f t="shared" si="84"/>
        <v>0.87789706911636045</v>
      </c>
      <c r="U210" s="13">
        <f t="shared" si="78"/>
        <v>0.20189866197183098</v>
      </c>
      <c r="V210" s="13">
        <f t="shared" si="85"/>
        <v>0.88094078504045703</v>
      </c>
      <c r="W210" s="39">
        <f t="shared" si="79"/>
        <v>765400</v>
      </c>
    </row>
    <row r="211" spans="1:23" x14ac:dyDescent="0.25">
      <c r="A211" s="30" t="s">
        <v>276</v>
      </c>
      <c r="B211" t="s">
        <v>333</v>
      </c>
      <c r="C211" t="s">
        <v>334</v>
      </c>
      <c r="D211" t="s">
        <v>287</v>
      </c>
      <c r="E211" s="30" t="s">
        <v>552</v>
      </c>
      <c r="F211" t="s">
        <v>288</v>
      </c>
      <c r="G211" t="s">
        <v>463</v>
      </c>
      <c r="H211" s="47">
        <v>1507000</v>
      </c>
      <c r="I211" s="12">
        <v>640000</v>
      </c>
      <c r="J211" s="47">
        <v>613853.87</v>
      </c>
      <c r="K211" s="39">
        <v>608999.89</v>
      </c>
      <c r="L211" s="42">
        <f t="shared" si="86"/>
        <v>0.95914667187500002</v>
      </c>
      <c r="M211" s="13">
        <f t="shared" si="87"/>
        <v>0.40733501658925014</v>
      </c>
      <c r="N211" s="13">
        <f t="shared" si="88"/>
        <v>1.0079704119486788</v>
      </c>
      <c r="O211" s="97">
        <f t="shared" si="89"/>
        <v>893146.13</v>
      </c>
      <c r="P211" s="106"/>
      <c r="Q211" s="51">
        <v>346600</v>
      </c>
      <c r="R211">
        <v>324654.82</v>
      </c>
      <c r="S211">
        <v>314968.28999999998</v>
      </c>
      <c r="T211" s="42">
        <f t="shared" si="84"/>
        <v>0.93668442008078479</v>
      </c>
      <c r="U211" s="13">
        <f t="shared" si="78"/>
        <v>0.21543120106171201</v>
      </c>
      <c r="V211" s="13">
        <f t="shared" si="85"/>
        <v>1.0307539847900244</v>
      </c>
      <c r="W211" s="39">
        <f t="shared" si="79"/>
        <v>1160400</v>
      </c>
    </row>
    <row r="212" spans="1:23" x14ac:dyDescent="0.25">
      <c r="A212" s="30" t="s">
        <v>276</v>
      </c>
      <c r="B212" t="s">
        <v>341</v>
      </c>
      <c r="C212" t="s">
        <v>342</v>
      </c>
      <c r="D212" t="s">
        <v>287</v>
      </c>
      <c r="E212" s="30" t="s">
        <v>552</v>
      </c>
      <c r="F212" t="s">
        <v>288</v>
      </c>
      <c r="G212" t="s">
        <v>465</v>
      </c>
      <c r="H212" s="47">
        <v>1033000</v>
      </c>
      <c r="I212" s="12">
        <v>500000</v>
      </c>
      <c r="J212" s="47">
        <v>441486.34</v>
      </c>
      <c r="K212" s="39">
        <v>420645.24</v>
      </c>
      <c r="L212" s="42">
        <f t="shared" si="86"/>
        <v>0.88297268000000007</v>
      </c>
      <c r="M212" s="13">
        <f t="shared" si="87"/>
        <v>0.42738271055179095</v>
      </c>
      <c r="N212" s="13">
        <f t="shared" si="88"/>
        <v>1.0495455505451579</v>
      </c>
      <c r="O212" s="97">
        <f t="shared" si="89"/>
        <v>591513.65999999992</v>
      </c>
      <c r="P212" s="106"/>
      <c r="Q212" s="51">
        <v>237500</v>
      </c>
      <c r="R212">
        <v>222249.88</v>
      </c>
      <c r="S212">
        <v>218279.38</v>
      </c>
      <c r="T212" s="42">
        <f t="shared" si="84"/>
        <v>0.93578896842105264</v>
      </c>
      <c r="U212" s="13">
        <f t="shared" si="78"/>
        <v>0.21514993223620524</v>
      </c>
      <c r="V212" s="13">
        <f t="shared" si="85"/>
        <v>1.0181899911938543</v>
      </c>
      <c r="W212" s="39">
        <f t="shared" si="79"/>
        <v>795500</v>
      </c>
    </row>
    <row r="213" spans="1:23" x14ac:dyDescent="0.25">
      <c r="A213" s="30" t="s">
        <v>276</v>
      </c>
      <c r="B213" t="s">
        <v>9</v>
      </c>
      <c r="C213" t="s">
        <v>11</v>
      </c>
      <c r="D213" t="s">
        <v>287</v>
      </c>
      <c r="E213" s="30" t="s">
        <v>552</v>
      </c>
      <c r="F213" t="s">
        <v>288</v>
      </c>
      <c r="G213" t="s">
        <v>466</v>
      </c>
      <c r="H213" s="47">
        <v>1325000</v>
      </c>
      <c r="I213" s="12">
        <v>600000</v>
      </c>
      <c r="J213" s="47">
        <v>546453</v>
      </c>
      <c r="K213" s="39">
        <v>546442.78</v>
      </c>
      <c r="L213" s="42">
        <f t="shared" si="86"/>
        <v>0.91075499999999998</v>
      </c>
      <c r="M213" s="13">
        <f t="shared" si="87"/>
        <v>0.41241735849056604</v>
      </c>
      <c r="N213" s="13">
        <f t="shared" si="88"/>
        <v>1.0000187027816525</v>
      </c>
      <c r="O213" s="97">
        <f t="shared" si="89"/>
        <v>778547</v>
      </c>
      <c r="P213" s="106"/>
      <c r="Q213" s="51">
        <v>304700</v>
      </c>
      <c r="R213">
        <v>263954.17</v>
      </c>
      <c r="S213">
        <v>280289.32</v>
      </c>
      <c r="T213" s="42">
        <f t="shared" si="84"/>
        <v>0.86627558254020343</v>
      </c>
      <c r="U213" s="13">
        <f t="shared" si="78"/>
        <v>0.19921069433962263</v>
      </c>
      <c r="V213" s="13">
        <f t="shared" si="85"/>
        <v>0.94172039805155605</v>
      </c>
      <c r="W213" s="39">
        <f t="shared" si="79"/>
        <v>1020300</v>
      </c>
    </row>
    <row r="214" spans="1:23" x14ac:dyDescent="0.25">
      <c r="A214" s="30" t="s">
        <v>276</v>
      </c>
      <c r="B214" t="s">
        <v>13</v>
      </c>
      <c r="C214" t="s">
        <v>15</v>
      </c>
      <c r="D214" t="s">
        <v>287</v>
      </c>
      <c r="E214" s="30" t="s">
        <v>552</v>
      </c>
      <c r="F214" t="s">
        <v>288</v>
      </c>
      <c r="G214" t="s">
        <v>467</v>
      </c>
      <c r="H214" s="47">
        <v>1007000</v>
      </c>
      <c r="I214" s="12">
        <v>500000</v>
      </c>
      <c r="J214" s="47">
        <v>420179.7</v>
      </c>
      <c r="K214" s="39">
        <v>400952.06</v>
      </c>
      <c r="L214" s="42">
        <f t="shared" si="86"/>
        <v>0.84035939999999998</v>
      </c>
      <c r="M214" s="13">
        <f t="shared" si="87"/>
        <v>0.41725888778550152</v>
      </c>
      <c r="N214" s="13">
        <f t="shared" si="88"/>
        <v>1.0479549600019513</v>
      </c>
      <c r="O214" s="97">
        <f t="shared" si="89"/>
        <v>586820.30000000005</v>
      </c>
      <c r="P214" s="106"/>
      <c r="Q214" s="51">
        <f>231600+22000</f>
        <v>253600</v>
      </c>
      <c r="R214">
        <v>210321.53</v>
      </c>
      <c r="S214">
        <v>210442.81</v>
      </c>
      <c r="T214" s="42">
        <f t="shared" si="84"/>
        <v>0.82934357255520508</v>
      </c>
      <c r="U214" s="13">
        <f t="shared" si="78"/>
        <v>0.20885951340615691</v>
      </c>
      <c r="V214" s="13">
        <f t="shared" si="85"/>
        <v>0.99942369140575538</v>
      </c>
      <c r="W214" s="39">
        <f t="shared" si="79"/>
        <v>753400</v>
      </c>
    </row>
    <row r="215" spans="1:23" x14ac:dyDescent="0.25">
      <c r="A215" s="30" t="s">
        <v>276</v>
      </c>
      <c r="B215" t="s">
        <v>19</v>
      </c>
      <c r="C215" t="s">
        <v>21</v>
      </c>
      <c r="D215" t="s">
        <v>287</v>
      </c>
      <c r="E215" s="30" t="s">
        <v>552</v>
      </c>
      <c r="F215" t="s">
        <v>288</v>
      </c>
      <c r="G215" t="s">
        <v>469</v>
      </c>
      <c r="H215" s="47">
        <v>913000</v>
      </c>
      <c r="I215" s="12">
        <v>500000</v>
      </c>
      <c r="J215" s="47">
        <v>417241.48</v>
      </c>
      <c r="K215" s="39">
        <v>364654.92</v>
      </c>
      <c r="L215" s="42">
        <f t="shared" si="86"/>
        <v>0.83448296</v>
      </c>
      <c r="M215" s="13">
        <f t="shared" si="87"/>
        <v>0.45700052573932087</v>
      </c>
      <c r="N215" s="13">
        <f t="shared" si="88"/>
        <v>1.1442091059679107</v>
      </c>
      <c r="O215" s="97">
        <f t="shared" si="89"/>
        <v>495758.52</v>
      </c>
      <c r="P215" s="106"/>
      <c r="Q215" s="51">
        <f>209900+10000</f>
        <v>219900</v>
      </c>
      <c r="R215">
        <v>212697.76</v>
      </c>
      <c r="S215">
        <v>184546.35</v>
      </c>
      <c r="T215" s="42">
        <f t="shared" si="84"/>
        <v>0.96724765802637569</v>
      </c>
      <c r="U215" s="13">
        <f t="shared" si="78"/>
        <v>0.23296578313253014</v>
      </c>
      <c r="V215" s="13">
        <f t="shared" si="85"/>
        <v>1.1525438460310919</v>
      </c>
      <c r="W215" s="39">
        <f t="shared" si="79"/>
        <v>693100</v>
      </c>
    </row>
    <row r="216" spans="1:23" x14ac:dyDescent="0.25">
      <c r="A216" s="30" t="s">
        <v>276</v>
      </c>
      <c r="B216" t="s">
        <v>31</v>
      </c>
      <c r="C216" t="s">
        <v>33</v>
      </c>
      <c r="D216" t="s">
        <v>287</v>
      </c>
      <c r="E216" s="30" t="s">
        <v>552</v>
      </c>
      <c r="F216" t="s">
        <v>288</v>
      </c>
      <c r="G216" t="s">
        <v>471</v>
      </c>
      <c r="H216" s="47">
        <v>833000</v>
      </c>
      <c r="I216" s="12">
        <v>500000</v>
      </c>
      <c r="J216" s="47">
        <v>463699.62</v>
      </c>
      <c r="K216" s="39">
        <v>365587.72</v>
      </c>
      <c r="L216" s="42">
        <f t="shared" si="86"/>
        <v>0.92739923999999996</v>
      </c>
      <c r="M216" s="13">
        <f t="shared" si="87"/>
        <v>0.55666220888355344</v>
      </c>
      <c r="N216" s="13">
        <f t="shared" si="88"/>
        <v>1.2683676027192599</v>
      </c>
      <c r="O216" s="97">
        <f t="shared" si="89"/>
        <v>369300.38</v>
      </c>
      <c r="P216" s="106"/>
      <c r="Q216" s="51">
        <f>191500+50000</f>
        <v>241500</v>
      </c>
      <c r="R216">
        <v>232326.65</v>
      </c>
      <c r="S216">
        <v>192001.75</v>
      </c>
      <c r="T216" s="42">
        <f t="shared" si="84"/>
        <v>0.96201511387163563</v>
      </c>
      <c r="U216" s="13">
        <f t="shared" si="78"/>
        <v>0.27890354141656665</v>
      </c>
      <c r="V216" s="13">
        <f t="shared" si="85"/>
        <v>1.2100236065556693</v>
      </c>
      <c r="W216" s="39">
        <f t="shared" si="79"/>
        <v>591500</v>
      </c>
    </row>
    <row r="217" spans="1:23" x14ac:dyDescent="0.25">
      <c r="A217" s="30" t="s">
        <v>276</v>
      </c>
      <c r="B217" t="s">
        <v>41</v>
      </c>
      <c r="C217" t="s">
        <v>43</v>
      </c>
      <c r="D217" t="s">
        <v>287</v>
      </c>
      <c r="E217" s="30" t="s">
        <v>552</v>
      </c>
      <c r="F217" t="s">
        <v>288</v>
      </c>
      <c r="G217" t="s">
        <v>473</v>
      </c>
      <c r="H217" s="47">
        <v>1145000</v>
      </c>
      <c r="I217" s="12">
        <v>500000</v>
      </c>
      <c r="J217" s="47">
        <v>476780.26</v>
      </c>
      <c r="K217" s="39">
        <v>478365.87</v>
      </c>
      <c r="L217" s="42">
        <f t="shared" si="86"/>
        <v>0.95356052000000002</v>
      </c>
      <c r="M217" s="13">
        <f t="shared" si="87"/>
        <v>0.41640197379912663</v>
      </c>
      <c r="N217" s="13">
        <f t="shared" si="88"/>
        <v>0.99668536135322539</v>
      </c>
      <c r="O217" s="97">
        <f t="shared" si="89"/>
        <v>668219.74</v>
      </c>
      <c r="P217" s="106"/>
      <c r="Q217" s="51">
        <f>263300+30000</f>
        <v>293300</v>
      </c>
      <c r="R217">
        <v>239386.13</v>
      </c>
      <c r="S217">
        <v>257767.9</v>
      </c>
      <c r="T217" s="42">
        <f t="shared" si="84"/>
        <v>0.81618182748039547</v>
      </c>
      <c r="U217" s="13">
        <f t="shared" si="78"/>
        <v>0.2090708558951965</v>
      </c>
      <c r="V217" s="13">
        <f t="shared" si="85"/>
        <v>0.92868867690662804</v>
      </c>
      <c r="W217" s="39">
        <f t="shared" si="79"/>
        <v>851700</v>
      </c>
    </row>
    <row r="218" spans="1:23" x14ac:dyDescent="0.25">
      <c r="A218" s="30" t="s">
        <v>276</v>
      </c>
      <c r="B218" t="s">
        <v>50</v>
      </c>
      <c r="C218" t="s">
        <v>52</v>
      </c>
      <c r="D218" t="s">
        <v>287</v>
      </c>
      <c r="E218" s="30" t="s">
        <v>552</v>
      </c>
      <c r="F218" t="s">
        <v>288</v>
      </c>
      <c r="G218" t="s">
        <v>475</v>
      </c>
      <c r="H218" s="47">
        <v>2088000</v>
      </c>
      <c r="I218" s="12">
        <v>900000</v>
      </c>
      <c r="J218" s="47">
        <v>886139.16</v>
      </c>
      <c r="K218" s="39">
        <v>832068.55</v>
      </c>
      <c r="L218" s="42">
        <f t="shared" si="86"/>
        <v>0.98459906666666674</v>
      </c>
      <c r="M218" s="13">
        <f t="shared" si="87"/>
        <v>0.42439614942528736</v>
      </c>
      <c r="N218" s="13">
        <f t="shared" si="88"/>
        <v>1.0649833598445704</v>
      </c>
      <c r="O218" s="97">
        <f t="shared" si="89"/>
        <v>1201860.8399999999</v>
      </c>
      <c r="P218" s="106"/>
      <c r="Q218" s="51">
        <v>480200</v>
      </c>
      <c r="R218">
        <v>439550.17</v>
      </c>
      <c r="S218">
        <v>426849.13</v>
      </c>
      <c r="T218" s="42">
        <f t="shared" si="84"/>
        <v>0.91534812578092462</v>
      </c>
      <c r="U218" s="13">
        <f t="shared" si="78"/>
        <v>0.21051253352490421</v>
      </c>
      <c r="V218" s="13">
        <f t="shared" si="85"/>
        <v>1.0297553376763353</v>
      </c>
      <c r="W218" s="39">
        <f t="shared" si="79"/>
        <v>1607800</v>
      </c>
    </row>
    <row r="219" spans="1:23" x14ac:dyDescent="0.25">
      <c r="A219" s="30" t="s">
        <v>276</v>
      </c>
      <c r="B219" t="s">
        <v>58</v>
      </c>
      <c r="C219" t="s">
        <v>60</v>
      </c>
      <c r="D219" t="s">
        <v>287</v>
      </c>
      <c r="E219" s="30" t="s">
        <v>552</v>
      </c>
      <c r="F219" t="s">
        <v>288</v>
      </c>
      <c r="G219" t="s">
        <v>477</v>
      </c>
      <c r="H219" s="47">
        <v>1484000</v>
      </c>
      <c r="I219" s="12">
        <v>600000</v>
      </c>
      <c r="J219" s="47">
        <v>577632.25</v>
      </c>
      <c r="K219" s="39">
        <v>552528.97</v>
      </c>
      <c r="L219" s="42">
        <f t="shared" si="86"/>
        <v>0.96272041666666663</v>
      </c>
      <c r="M219" s="13">
        <f t="shared" si="87"/>
        <v>0.38924006064690025</v>
      </c>
      <c r="N219" s="13">
        <f t="shared" si="88"/>
        <v>1.0454334186314249</v>
      </c>
      <c r="O219" s="97">
        <f t="shared" si="89"/>
        <v>906367.75</v>
      </c>
      <c r="P219" s="106"/>
      <c r="Q219" s="51">
        <v>341300</v>
      </c>
      <c r="R219">
        <v>291098.58</v>
      </c>
      <c r="S219">
        <f>295352.83+106567.2</f>
        <v>401920.03</v>
      </c>
      <c r="T219" s="42">
        <f t="shared" si="84"/>
        <v>0.8529111631995312</v>
      </c>
      <c r="U219" s="13">
        <f t="shared" si="78"/>
        <v>0.19615807277628033</v>
      </c>
      <c r="V219" s="13">
        <f t="shared" si="85"/>
        <v>0.72426990015899428</v>
      </c>
      <c r="W219" s="39">
        <f t="shared" si="79"/>
        <v>1142700</v>
      </c>
    </row>
    <row r="220" spans="1:23" x14ac:dyDescent="0.25">
      <c r="A220" s="30" t="s">
        <v>276</v>
      </c>
      <c r="B220" t="s">
        <v>363</v>
      </c>
      <c r="C220" s="96" t="s">
        <v>478</v>
      </c>
      <c r="D220" t="s">
        <v>287</v>
      </c>
      <c r="E220" s="30" t="s">
        <v>552</v>
      </c>
      <c r="F220" t="s">
        <v>288</v>
      </c>
      <c r="G220" s="30" t="s">
        <v>867</v>
      </c>
      <c r="H220" s="47">
        <v>0</v>
      </c>
      <c r="I220" s="12">
        <v>0</v>
      </c>
      <c r="J220" s="47">
        <v>0</v>
      </c>
      <c r="K220" s="39">
        <v>106567.2</v>
      </c>
      <c r="L220" s="42" t="e">
        <f t="shared" si="86"/>
        <v>#DIV/0!</v>
      </c>
      <c r="M220" s="13" t="e">
        <f t="shared" si="87"/>
        <v>#DIV/0!</v>
      </c>
      <c r="N220" s="13">
        <f t="shared" si="88"/>
        <v>0</v>
      </c>
      <c r="O220" s="97">
        <f t="shared" si="89"/>
        <v>0</v>
      </c>
      <c r="P220" s="106"/>
      <c r="Q220" s="51"/>
      <c r="T220" s="42"/>
      <c r="U220" s="13"/>
      <c r="V220" s="13"/>
      <c r="W220" s="39"/>
    </row>
    <row r="221" spans="1:23" x14ac:dyDescent="0.25">
      <c r="A221" s="30" t="s">
        <v>276</v>
      </c>
      <c r="B221" t="s">
        <v>77</v>
      </c>
      <c r="C221" t="s">
        <v>79</v>
      </c>
      <c r="D221" t="s">
        <v>287</v>
      </c>
      <c r="E221" s="30" t="s">
        <v>552</v>
      </c>
      <c r="F221" t="s">
        <v>288</v>
      </c>
      <c r="G221" t="s">
        <v>480</v>
      </c>
      <c r="H221" s="47">
        <v>497000</v>
      </c>
      <c r="I221" s="12">
        <v>200000</v>
      </c>
      <c r="J221" s="47">
        <v>197218.39</v>
      </c>
      <c r="K221" s="39">
        <v>211715.76</v>
      </c>
      <c r="L221" s="42">
        <f t="shared" si="86"/>
        <v>0.98609195000000005</v>
      </c>
      <c r="M221" s="13">
        <f t="shared" si="87"/>
        <v>0.39681768611670021</v>
      </c>
      <c r="N221" s="13">
        <f t="shared" si="88"/>
        <v>0.93152437022165946</v>
      </c>
      <c r="O221" s="97">
        <f t="shared" si="89"/>
        <v>299781.61</v>
      </c>
      <c r="P221" s="106"/>
      <c r="Q221" s="51">
        <v>114300</v>
      </c>
      <c r="R221">
        <v>99830.51</v>
      </c>
      <c r="S221">
        <v>110762.89</v>
      </c>
      <c r="T221" s="42">
        <f t="shared" si="84"/>
        <v>0.87340778652668416</v>
      </c>
      <c r="U221" s="13">
        <f t="shared" ref="U221:U264" si="90">R221/H221</f>
        <v>0.20086621730382292</v>
      </c>
      <c r="V221" s="13">
        <f t="shared" si="85"/>
        <v>0.901299252845425</v>
      </c>
      <c r="W221" s="39">
        <f t="shared" ref="W221:W264" si="91">H221-Q221</f>
        <v>382700</v>
      </c>
    </row>
    <row r="222" spans="1:23" x14ac:dyDescent="0.25">
      <c r="A222" s="30" t="s">
        <v>276</v>
      </c>
      <c r="B222" t="s">
        <v>83</v>
      </c>
      <c r="C222" t="s">
        <v>85</v>
      </c>
      <c r="D222" t="s">
        <v>287</v>
      </c>
      <c r="E222" s="30" t="s">
        <v>552</v>
      </c>
      <c r="F222" t="s">
        <v>288</v>
      </c>
      <c r="G222" t="s">
        <v>482</v>
      </c>
      <c r="H222" s="47">
        <v>1343000</v>
      </c>
      <c r="I222" s="12">
        <v>600000</v>
      </c>
      <c r="J222" s="47">
        <v>563582.75</v>
      </c>
      <c r="K222" s="39">
        <v>549384.28</v>
      </c>
      <c r="L222" s="42">
        <f t="shared" si="86"/>
        <v>0.93930458333333333</v>
      </c>
      <c r="M222" s="13">
        <f t="shared" si="87"/>
        <v>0.41964463886820552</v>
      </c>
      <c r="N222" s="13">
        <f t="shared" si="88"/>
        <v>1.02584433249528</v>
      </c>
      <c r="O222" s="97">
        <f t="shared" si="89"/>
        <v>779417.25</v>
      </c>
      <c r="P222" s="106"/>
      <c r="Q222" s="51">
        <f>308800+35000</f>
        <v>343800</v>
      </c>
      <c r="R222">
        <v>282623.88</v>
      </c>
      <c r="S222">
        <v>288092.03999999998</v>
      </c>
      <c r="T222" s="42">
        <f t="shared" si="84"/>
        <v>0.8220589877835951</v>
      </c>
      <c r="U222" s="13">
        <f t="shared" si="90"/>
        <v>0.21044220402084884</v>
      </c>
      <c r="V222" s="13">
        <f t="shared" si="85"/>
        <v>0.98101939921700032</v>
      </c>
      <c r="W222" s="39">
        <f t="shared" si="91"/>
        <v>999200</v>
      </c>
    </row>
    <row r="223" spans="1:23" x14ac:dyDescent="0.25">
      <c r="A223" s="30" t="s">
        <v>276</v>
      </c>
      <c r="B223" t="s">
        <v>94</v>
      </c>
      <c r="C223" t="s">
        <v>96</v>
      </c>
      <c r="D223" t="s">
        <v>287</v>
      </c>
      <c r="E223" s="30" t="s">
        <v>552</v>
      </c>
      <c r="F223" t="s">
        <v>288</v>
      </c>
      <c r="G223" t="s">
        <v>484</v>
      </c>
      <c r="H223" s="47">
        <v>541000</v>
      </c>
      <c r="I223" s="12">
        <v>240000</v>
      </c>
      <c r="J223" s="47">
        <v>201798.64</v>
      </c>
      <c r="K223" s="39">
        <v>245222.12</v>
      </c>
      <c r="L223" s="42">
        <f t="shared" si="86"/>
        <v>0.84082766666666675</v>
      </c>
      <c r="M223" s="13">
        <f t="shared" si="87"/>
        <v>0.3730104251386322</v>
      </c>
      <c r="N223" s="13">
        <f t="shared" si="88"/>
        <v>0.82292184734395091</v>
      </c>
      <c r="O223" s="97">
        <f t="shared" si="89"/>
        <v>339201.36</v>
      </c>
      <c r="P223" s="106"/>
      <c r="Q223" s="51">
        <v>124400</v>
      </c>
      <c r="R223">
        <v>101252.14</v>
      </c>
      <c r="S223">
        <v>136488.82999999999</v>
      </c>
      <c r="T223" s="42">
        <f t="shared" si="84"/>
        <v>0.81392395498392278</v>
      </c>
      <c r="U223" s="13">
        <f t="shared" si="90"/>
        <v>0.18715737523105361</v>
      </c>
      <c r="V223" s="13">
        <f t="shared" si="85"/>
        <v>0.74183462485538199</v>
      </c>
      <c r="W223" s="39">
        <f t="shared" si="91"/>
        <v>416600</v>
      </c>
    </row>
    <row r="224" spans="1:23" x14ac:dyDescent="0.25">
      <c r="A224" s="30" t="s">
        <v>276</v>
      </c>
      <c r="B224" t="s">
        <v>101</v>
      </c>
      <c r="C224" t="s">
        <v>103</v>
      </c>
      <c r="D224" t="s">
        <v>287</v>
      </c>
      <c r="E224" s="30" t="s">
        <v>552</v>
      </c>
      <c r="F224" t="s">
        <v>288</v>
      </c>
      <c r="G224" t="s">
        <v>486</v>
      </c>
      <c r="H224" s="47">
        <v>1018000</v>
      </c>
      <c r="I224" s="12">
        <v>400000</v>
      </c>
      <c r="J224" s="47">
        <v>389420.73</v>
      </c>
      <c r="K224" s="39">
        <v>391751.56</v>
      </c>
      <c r="L224" s="42">
        <f t="shared" si="86"/>
        <v>0.97355182499999993</v>
      </c>
      <c r="M224" s="13">
        <f t="shared" si="87"/>
        <v>0.38253509823182708</v>
      </c>
      <c r="N224" s="13">
        <f t="shared" si="88"/>
        <v>0.99405023428623995</v>
      </c>
      <c r="O224" s="97">
        <f t="shared" si="89"/>
        <v>628579.27</v>
      </c>
      <c r="P224" s="106"/>
      <c r="Q224" s="51">
        <v>234100</v>
      </c>
      <c r="R224">
        <v>195992.61</v>
      </c>
      <c r="S224">
        <v>182332.01</v>
      </c>
      <c r="T224" s="42">
        <f t="shared" si="84"/>
        <v>0.83721747116616829</v>
      </c>
      <c r="U224" s="13">
        <f t="shared" si="90"/>
        <v>0.19252712180746562</v>
      </c>
      <c r="V224" s="13">
        <f t="shared" si="85"/>
        <v>1.0749215675294754</v>
      </c>
      <c r="W224" s="39">
        <f t="shared" si="91"/>
        <v>783900</v>
      </c>
    </row>
    <row r="225" spans="1:23" x14ac:dyDescent="0.25">
      <c r="A225" s="30" t="s">
        <v>276</v>
      </c>
      <c r="B225" t="s">
        <v>110</v>
      </c>
      <c r="C225" t="s">
        <v>112</v>
      </c>
      <c r="D225" t="s">
        <v>287</v>
      </c>
      <c r="E225" s="30" t="s">
        <v>552</v>
      </c>
      <c r="F225" t="s">
        <v>288</v>
      </c>
      <c r="G225" t="s">
        <v>487</v>
      </c>
      <c r="H225" s="47">
        <v>969000</v>
      </c>
      <c r="I225" s="12">
        <v>280000</v>
      </c>
      <c r="J225" s="47">
        <v>257868.44</v>
      </c>
      <c r="K225" s="39">
        <v>274659.09999999998</v>
      </c>
      <c r="L225" s="42">
        <f t="shared" si="86"/>
        <v>0.9209587142857143</v>
      </c>
      <c r="M225" s="13">
        <f t="shared" si="87"/>
        <v>0.26611810113519091</v>
      </c>
      <c r="N225" s="13">
        <f t="shared" si="88"/>
        <v>0.93886727219305688</v>
      </c>
      <c r="O225" s="97">
        <f t="shared" si="89"/>
        <v>711131.56</v>
      </c>
      <c r="P225" s="106"/>
      <c r="Q225" s="12">
        <v>160000</v>
      </c>
      <c r="R225">
        <v>128691.39</v>
      </c>
      <c r="S225">
        <v>144238.04999999999</v>
      </c>
      <c r="T225" s="42">
        <f t="shared" si="84"/>
        <v>0.80432118750000003</v>
      </c>
      <c r="U225" s="13">
        <f t="shared" si="90"/>
        <v>0.13280845201238389</v>
      </c>
      <c r="V225" s="13">
        <f t="shared" si="85"/>
        <v>0.89221526497342418</v>
      </c>
      <c r="W225" s="39">
        <f t="shared" si="91"/>
        <v>809000</v>
      </c>
    </row>
    <row r="226" spans="1:23" x14ac:dyDescent="0.25">
      <c r="A226" s="30" t="s">
        <v>276</v>
      </c>
      <c r="B226" t="s">
        <v>119</v>
      </c>
      <c r="C226" t="s">
        <v>121</v>
      </c>
      <c r="D226" t="s">
        <v>287</v>
      </c>
      <c r="E226" s="30" t="s">
        <v>552</v>
      </c>
      <c r="F226" t="s">
        <v>288</v>
      </c>
      <c r="G226" t="s">
        <v>488</v>
      </c>
      <c r="H226" s="47">
        <v>1573000</v>
      </c>
      <c r="I226" s="12">
        <v>700000</v>
      </c>
      <c r="J226" s="47">
        <v>662689.65</v>
      </c>
      <c r="K226" s="39">
        <v>660668.22</v>
      </c>
      <c r="L226" s="42">
        <f t="shared" si="86"/>
        <v>0.94669950000000003</v>
      </c>
      <c r="M226" s="13">
        <f t="shared" si="87"/>
        <v>0.42129030514939608</v>
      </c>
      <c r="N226" s="13">
        <f t="shared" si="88"/>
        <v>1.0030596749454666</v>
      </c>
      <c r="O226" s="97">
        <f t="shared" si="89"/>
        <v>910310.35</v>
      </c>
      <c r="P226" s="106"/>
      <c r="Q226" s="51">
        <v>361700</v>
      </c>
      <c r="R226">
        <v>333741.14</v>
      </c>
      <c r="S226">
        <v>352714.74</v>
      </c>
      <c r="T226" s="42">
        <f t="shared" si="84"/>
        <v>0.92270152059718002</v>
      </c>
      <c r="U226" s="13">
        <f t="shared" si="90"/>
        <v>0.21216855689764783</v>
      </c>
      <c r="V226" s="13">
        <f t="shared" si="85"/>
        <v>0.94620695466256954</v>
      </c>
      <c r="W226" s="39">
        <f t="shared" si="91"/>
        <v>1211300</v>
      </c>
    </row>
    <row r="227" spans="1:23" x14ac:dyDescent="0.25">
      <c r="A227" s="30" t="s">
        <v>276</v>
      </c>
      <c r="B227" t="s">
        <v>127</v>
      </c>
      <c r="C227" t="s">
        <v>128</v>
      </c>
      <c r="D227" t="s">
        <v>287</v>
      </c>
      <c r="E227" s="30" t="s">
        <v>552</v>
      </c>
      <c r="F227" t="s">
        <v>288</v>
      </c>
      <c r="G227" t="s">
        <v>489</v>
      </c>
      <c r="H227" s="47">
        <v>1449000</v>
      </c>
      <c r="I227" s="12">
        <v>700000</v>
      </c>
      <c r="J227" s="47">
        <v>631253.27</v>
      </c>
      <c r="K227" s="39">
        <v>614769.57999999996</v>
      </c>
      <c r="L227" s="42">
        <f t="shared" si="86"/>
        <v>0.90179038571428571</v>
      </c>
      <c r="M227" s="13">
        <f t="shared" si="87"/>
        <v>0.43564752933057282</v>
      </c>
      <c r="N227" s="13">
        <f t="shared" si="88"/>
        <v>1.0268127938275671</v>
      </c>
      <c r="O227" s="97">
        <f t="shared" si="89"/>
        <v>817746.73</v>
      </c>
      <c r="P227" s="106"/>
      <c r="Q227" s="51">
        <f>333200+28000</f>
        <v>361200</v>
      </c>
      <c r="R227">
        <v>312294.34999999998</v>
      </c>
      <c r="S227">
        <v>322071.99</v>
      </c>
      <c r="T227" s="42">
        <f t="shared" si="84"/>
        <v>0.86460229789590248</v>
      </c>
      <c r="U227" s="13">
        <f t="shared" si="90"/>
        <v>0.21552405106970324</v>
      </c>
      <c r="V227" s="13">
        <f t="shared" si="85"/>
        <v>0.96964144569044952</v>
      </c>
      <c r="W227" s="39">
        <f t="shared" si="91"/>
        <v>1087800</v>
      </c>
    </row>
    <row r="228" spans="1:23" x14ac:dyDescent="0.25">
      <c r="A228" s="30" t="s">
        <v>276</v>
      </c>
      <c r="B228" t="s">
        <v>135</v>
      </c>
      <c r="C228" t="s">
        <v>137</v>
      </c>
      <c r="D228" t="s">
        <v>287</v>
      </c>
      <c r="E228" s="30" t="s">
        <v>552</v>
      </c>
      <c r="F228" t="s">
        <v>288</v>
      </c>
      <c r="G228" t="s">
        <v>490</v>
      </c>
      <c r="H228" s="47">
        <v>1712000</v>
      </c>
      <c r="I228" s="12">
        <v>750000</v>
      </c>
      <c r="J228" s="47">
        <v>701565.15</v>
      </c>
      <c r="K228" s="39">
        <v>745576.61</v>
      </c>
      <c r="L228" s="42">
        <f t="shared" si="86"/>
        <v>0.93542020000000003</v>
      </c>
      <c r="M228" s="13">
        <f t="shared" si="87"/>
        <v>0.40979272780373832</v>
      </c>
      <c r="N228" s="13">
        <f t="shared" si="88"/>
        <v>0.94096990247588375</v>
      </c>
      <c r="O228" s="97">
        <f t="shared" si="89"/>
        <v>1010434.85</v>
      </c>
      <c r="P228" s="106"/>
      <c r="Q228" s="51">
        <v>393700</v>
      </c>
      <c r="R228">
        <v>350347.74</v>
      </c>
      <c r="S228">
        <v>397920.29</v>
      </c>
      <c r="T228" s="42">
        <f t="shared" si="84"/>
        <v>0.88988503937007868</v>
      </c>
      <c r="U228" s="13">
        <f t="shared" si="90"/>
        <v>0.2046423714953271</v>
      </c>
      <c r="V228" s="13">
        <f t="shared" si="85"/>
        <v>0.88044703626447396</v>
      </c>
      <c r="W228" s="39">
        <f t="shared" si="91"/>
        <v>1318300</v>
      </c>
    </row>
    <row r="229" spans="1:23" x14ac:dyDescent="0.25">
      <c r="A229" s="30" t="s">
        <v>276</v>
      </c>
      <c r="B229" t="s">
        <v>143</v>
      </c>
      <c r="C229" t="s">
        <v>145</v>
      </c>
      <c r="D229" t="s">
        <v>287</v>
      </c>
      <c r="E229" s="30" t="s">
        <v>552</v>
      </c>
      <c r="F229" t="s">
        <v>288</v>
      </c>
      <c r="G229" t="s">
        <v>491</v>
      </c>
      <c r="H229" s="47">
        <v>2975000</v>
      </c>
      <c r="I229" s="12">
        <v>1400000</v>
      </c>
      <c r="J229" s="47">
        <v>1293422.32</v>
      </c>
      <c r="K229" s="39">
        <v>1263180.28</v>
      </c>
      <c r="L229" s="42">
        <f t="shared" si="86"/>
        <v>0.92387308571428572</v>
      </c>
      <c r="M229" s="13">
        <f t="shared" si="87"/>
        <v>0.43476380504201684</v>
      </c>
      <c r="N229" s="13">
        <f t="shared" si="88"/>
        <v>1.0239411907221985</v>
      </c>
      <c r="O229" s="97">
        <f t="shared" si="89"/>
        <v>1681577.68</v>
      </c>
      <c r="P229" s="106"/>
      <c r="Q229" s="51">
        <f>684200+52000</f>
        <v>736200</v>
      </c>
      <c r="R229">
        <v>638039.88</v>
      </c>
      <c r="S229">
        <v>658626.81999999995</v>
      </c>
      <c r="T229" s="42">
        <f t="shared" si="84"/>
        <v>0.86666650366748166</v>
      </c>
      <c r="U229" s="13">
        <f t="shared" si="90"/>
        <v>0.21446718655462185</v>
      </c>
      <c r="V229" s="13">
        <f t="shared" si="85"/>
        <v>0.96874263334736366</v>
      </c>
      <c r="W229" s="39">
        <f t="shared" si="91"/>
        <v>2238800</v>
      </c>
    </row>
    <row r="230" spans="1:23" x14ac:dyDescent="0.25">
      <c r="A230" s="30" t="s">
        <v>276</v>
      </c>
      <c r="B230" t="s">
        <v>151</v>
      </c>
      <c r="C230" t="s">
        <v>153</v>
      </c>
      <c r="D230" t="s">
        <v>287</v>
      </c>
      <c r="E230" s="30" t="s">
        <v>552</v>
      </c>
      <c r="F230" t="s">
        <v>288</v>
      </c>
      <c r="G230" t="s">
        <v>493</v>
      </c>
      <c r="H230" s="47">
        <v>2866000</v>
      </c>
      <c r="I230" s="12">
        <v>1300000</v>
      </c>
      <c r="J230" s="47">
        <v>1251725.02</v>
      </c>
      <c r="K230" s="39">
        <v>1215092.3600000001</v>
      </c>
      <c r="L230" s="42">
        <f t="shared" si="86"/>
        <v>0.96286539999999998</v>
      </c>
      <c r="M230" s="13">
        <f t="shared" si="87"/>
        <v>0.43674983251919053</v>
      </c>
      <c r="N230" s="13">
        <f t="shared" si="88"/>
        <v>1.0301480457008223</v>
      </c>
      <c r="O230" s="97">
        <f t="shared" si="89"/>
        <v>1614274.98</v>
      </c>
      <c r="P230" s="106"/>
      <c r="Q230" s="51">
        <f>659100+55000</f>
        <v>714100</v>
      </c>
      <c r="R230">
        <v>621007.81000000006</v>
      </c>
      <c r="S230">
        <v>635720.02</v>
      </c>
      <c r="T230" s="42">
        <f t="shared" si="84"/>
        <v>0.86963703963030392</v>
      </c>
      <c r="U230" s="13">
        <f t="shared" si="90"/>
        <v>0.21668102233077463</v>
      </c>
      <c r="V230" s="13">
        <f t="shared" si="85"/>
        <v>0.97685740650420294</v>
      </c>
      <c r="W230" s="39">
        <f t="shared" si="91"/>
        <v>2151900</v>
      </c>
    </row>
    <row r="231" spans="1:23" x14ac:dyDescent="0.25">
      <c r="A231" s="30" t="s">
        <v>276</v>
      </c>
      <c r="B231" t="s">
        <v>159</v>
      </c>
      <c r="C231" t="s">
        <v>161</v>
      </c>
      <c r="D231" t="s">
        <v>287</v>
      </c>
      <c r="E231" s="30" t="s">
        <v>552</v>
      </c>
      <c r="F231" t="s">
        <v>288</v>
      </c>
      <c r="G231" t="s">
        <v>495</v>
      </c>
      <c r="H231" s="47">
        <v>1372000</v>
      </c>
      <c r="I231" s="12">
        <v>600000</v>
      </c>
      <c r="J231" s="47">
        <v>583178.62</v>
      </c>
      <c r="K231" s="39">
        <v>566231.89</v>
      </c>
      <c r="L231" s="42">
        <f t="shared" si="86"/>
        <v>0.97196436666666663</v>
      </c>
      <c r="M231" s="13">
        <f t="shared" si="87"/>
        <v>0.42505730320699708</v>
      </c>
      <c r="N231" s="13">
        <f t="shared" si="88"/>
        <v>1.0299289571980836</v>
      </c>
      <c r="O231" s="97">
        <f t="shared" si="89"/>
        <v>788821.38</v>
      </c>
      <c r="P231" s="106"/>
      <c r="Q231" s="51">
        <f>315500+26000</f>
        <v>341500</v>
      </c>
      <c r="R231">
        <v>291395.25</v>
      </c>
      <c r="S231">
        <v>295094.42</v>
      </c>
      <c r="T231" s="42">
        <f t="shared" si="84"/>
        <v>0.85328038067349932</v>
      </c>
      <c r="U231" s="13">
        <f t="shared" si="90"/>
        <v>0.21238720845481049</v>
      </c>
      <c r="V231" s="13">
        <f t="shared" si="85"/>
        <v>0.98746445290290485</v>
      </c>
      <c r="W231" s="39">
        <f t="shared" si="91"/>
        <v>1030500</v>
      </c>
    </row>
    <row r="232" spans="1:23" x14ac:dyDescent="0.25">
      <c r="A232" s="30" t="s">
        <v>276</v>
      </c>
      <c r="B232" t="s">
        <v>170</v>
      </c>
      <c r="C232" t="s">
        <v>172</v>
      </c>
      <c r="D232" t="s">
        <v>287</v>
      </c>
      <c r="E232" s="30" t="s">
        <v>552</v>
      </c>
      <c r="F232" t="s">
        <v>288</v>
      </c>
      <c r="G232" t="s">
        <v>496</v>
      </c>
      <c r="H232" s="47">
        <v>1482000</v>
      </c>
      <c r="I232" s="12">
        <v>650000</v>
      </c>
      <c r="J232" s="47">
        <v>624379.68000000005</v>
      </c>
      <c r="K232" s="39">
        <v>631192.68000000005</v>
      </c>
      <c r="L232" s="42">
        <f t="shared" si="86"/>
        <v>0.9605841230769232</v>
      </c>
      <c r="M232" s="13">
        <f t="shared" si="87"/>
        <v>0.42130882591093122</v>
      </c>
      <c r="N232" s="13">
        <f t="shared" si="88"/>
        <v>0.98920614858841516</v>
      </c>
      <c r="O232" s="97">
        <f t="shared" si="89"/>
        <v>857620.32</v>
      </c>
      <c r="P232" s="106"/>
      <c r="Q232" s="51">
        <f>340800+25000</f>
        <v>365800</v>
      </c>
      <c r="R232">
        <v>315606.95</v>
      </c>
      <c r="S232">
        <v>344216.81</v>
      </c>
      <c r="T232" s="42">
        <f t="shared" si="84"/>
        <v>0.86278553854565343</v>
      </c>
      <c r="U232" s="13">
        <f t="shared" si="90"/>
        <v>0.21296015519568151</v>
      </c>
      <c r="V232" s="13">
        <f t="shared" si="85"/>
        <v>0.91688418703316676</v>
      </c>
      <c r="W232" s="39">
        <f t="shared" si="91"/>
        <v>1116200</v>
      </c>
    </row>
    <row r="233" spans="1:23" x14ac:dyDescent="0.25">
      <c r="A233" s="30" t="s">
        <v>276</v>
      </c>
      <c r="B233" t="s">
        <v>179</v>
      </c>
      <c r="C233" t="s">
        <v>181</v>
      </c>
      <c r="D233" t="s">
        <v>287</v>
      </c>
      <c r="E233" s="30" t="s">
        <v>552</v>
      </c>
      <c r="F233" t="s">
        <v>288</v>
      </c>
      <c r="G233" t="s">
        <v>497</v>
      </c>
      <c r="H233" s="47">
        <v>2390000</v>
      </c>
      <c r="I233" s="12">
        <v>1000000</v>
      </c>
      <c r="J233" s="47">
        <v>993686.16</v>
      </c>
      <c r="K233" s="39">
        <v>987364.31</v>
      </c>
      <c r="L233" s="42">
        <f t="shared" si="86"/>
        <v>0.99368615999999999</v>
      </c>
      <c r="M233" s="13">
        <f t="shared" si="87"/>
        <v>0.41576826778242681</v>
      </c>
      <c r="N233" s="13">
        <f t="shared" si="88"/>
        <v>1.0064027532046402</v>
      </c>
      <c r="O233" s="97">
        <f t="shared" si="89"/>
        <v>1396313.8399999999</v>
      </c>
      <c r="P233" s="106"/>
      <c r="Q233" s="51">
        <f>549700+60000</f>
        <v>609700</v>
      </c>
      <c r="R233">
        <v>498048.76</v>
      </c>
      <c r="S233">
        <v>517329.3</v>
      </c>
      <c r="T233" s="42">
        <f t="shared" si="84"/>
        <v>0.81687511891093978</v>
      </c>
      <c r="U233" s="13">
        <f t="shared" si="90"/>
        <v>0.20838860251046026</v>
      </c>
      <c r="V233" s="13">
        <f t="shared" si="85"/>
        <v>0.9627306243818009</v>
      </c>
      <c r="W233" s="39">
        <f t="shared" si="91"/>
        <v>1780300</v>
      </c>
    </row>
    <row r="234" spans="1:23" x14ac:dyDescent="0.25">
      <c r="A234" s="30" t="s">
        <v>276</v>
      </c>
      <c r="B234" t="s">
        <v>189</v>
      </c>
      <c r="C234" t="s">
        <v>191</v>
      </c>
      <c r="D234" t="s">
        <v>287</v>
      </c>
      <c r="E234" s="30" t="s">
        <v>552</v>
      </c>
      <c r="F234" t="s">
        <v>288</v>
      </c>
      <c r="G234" t="s">
        <v>498</v>
      </c>
      <c r="H234" s="47">
        <v>1766000</v>
      </c>
      <c r="I234" s="12">
        <v>800000</v>
      </c>
      <c r="J234" s="47">
        <v>741148.26</v>
      </c>
      <c r="K234" s="39">
        <v>738773.88</v>
      </c>
      <c r="L234" s="42">
        <f t="shared" si="86"/>
        <v>0.92643532500000003</v>
      </c>
      <c r="M234" s="13">
        <f t="shared" si="87"/>
        <v>0.41967625141562853</v>
      </c>
      <c r="N234" s="13">
        <f t="shared" si="88"/>
        <v>1.0032139468709966</v>
      </c>
      <c r="O234" s="97">
        <f t="shared" si="89"/>
        <v>1024851.74</v>
      </c>
      <c r="P234" s="106"/>
      <c r="Q234" s="51">
        <f>406100+30000</f>
        <v>436100</v>
      </c>
      <c r="R234">
        <v>378242.57</v>
      </c>
      <c r="S234">
        <v>393482.68</v>
      </c>
      <c r="T234" s="42">
        <f t="shared" si="84"/>
        <v>0.86732990139876176</v>
      </c>
      <c r="U234" s="13">
        <f t="shared" si="90"/>
        <v>0.21418039071347678</v>
      </c>
      <c r="V234" s="13">
        <f t="shared" si="85"/>
        <v>0.96126866371856579</v>
      </c>
      <c r="W234" s="39">
        <f t="shared" si="91"/>
        <v>1329900</v>
      </c>
    </row>
    <row r="235" spans="1:23" x14ac:dyDescent="0.25">
      <c r="A235" s="30" t="s">
        <v>276</v>
      </c>
      <c r="B235" t="s">
        <v>198</v>
      </c>
      <c r="C235" t="s">
        <v>200</v>
      </c>
      <c r="D235" t="s">
        <v>287</v>
      </c>
      <c r="E235" s="30" t="s">
        <v>552</v>
      </c>
      <c r="F235" t="s">
        <v>288</v>
      </c>
      <c r="G235" t="s">
        <v>499</v>
      </c>
      <c r="H235" s="47">
        <v>1596000</v>
      </c>
      <c r="I235" s="12">
        <v>700000</v>
      </c>
      <c r="J235" s="47">
        <v>672286.3</v>
      </c>
      <c r="K235" s="39">
        <v>666905.46</v>
      </c>
      <c r="L235" s="42">
        <f t="shared" si="86"/>
        <v>0.96040900000000007</v>
      </c>
      <c r="M235" s="13">
        <f t="shared" si="87"/>
        <v>0.42123201754385969</v>
      </c>
      <c r="N235" s="13">
        <f t="shared" si="88"/>
        <v>1.0080683699905533</v>
      </c>
      <c r="O235" s="97">
        <f t="shared" si="89"/>
        <v>923713.7</v>
      </c>
      <c r="P235" s="106"/>
      <c r="Q235" s="51">
        <v>367000</v>
      </c>
      <c r="R235">
        <v>337661.65</v>
      </c>
      <c r="S235">
        <v>353783.38</v>
      </c>
      <c r="T235" s="42">
        <f t="shared" si="84"/>
        <v>0.92005899182561313</v>
      </c>
      <c r="U235" s="13">
        <f t="shared" si="90"/>
        <v>0.21156744987468673</v>
      </c>
      <c r="V235" s="13">
        <f t="shared" si="85"/>
        <v>0.9544305049038766</v>
      </c>
      <c r="W235" s="39">
        <f t="shared" si="91"/>
        <v>1229000</v>
      </c>
    </row>
    <row r="236" spans="1:23" x14ac:dyDescent="0.25">
      <c r="A236" s="30" t="s">
        <v>276</v>
      </c>
      <c r="B236" t="s">
        <v>206</v>
      </c>
      <c r="C236" t="s">
        <v>208</v>
      </c>
      <c r="D236" t="s">
        <v>287</v>
      </c>
      <c r="E236" s="30" t="s">
        <v>552</v>
      </c>
      <c r="F236" t="s">
        <v>288</v>
      </c>
      <c r="G236" t="s">
        <v>500</v>
      </c>
      <c r="H236" s="47">
        <v>1336000</v>
      </c>
      <c r="I236" s="12">
        <v>600000</v>
      </c>
      <c r="J236" s="47">
        <v>575897.02</v>
      </c>
      <c r="K236" s="39">
        <v>547434.94999999995</v>
      </c>
      <c r="L236" s="42">
        <f t="shared" si="86"/>
        <v>0.95982836666666671</v>
      </c>
      <c r="M236" s="13">
        <f t="shared" si="87"/>
        <v>0.43106064371257485</v>
      </c>
      <c r="N236" s="13">
        <f t="shared" si="88"/>
        <v>1.0519916932596285</v>
      </c>
      <c r="O236" s="97">
        <f t="shared" si="89"/>
        <v>760102.98</v>
      </c>
      <c r="P236" s="106"/>
      <c r="Q236" s="51">
        <f>307200+30000-19400</f>
        <v>317800</v>
      </c>
      <c r="R236">
        <v>289477.55</v>
      </c>
      <c r="S236">
        <v>284846.83</v>
      </c>
      <c r="T236" s="42">
        <f t="shared" si="84"/>
        <v>0.91087964128382626</v>
      </c>
      <c r="U236" s="13">
        <f t="shared" si="90"/>
        <v>0.2166748128742515</v>
      </c>
      <c r="V236" s="13">
        <f t="shared" si="85"/>
        <v>1.0162568774242633</v>
      </c>
      <c r="W236" s="39">
        <f t="shared" si="91"/>
        <v>1018200</v>
      </c>
    </row>
    <row r="237" spans="1:23" x14ac:dyDescent="0.25">
      <c r="A237" s="30" t="s">
        <v>276</v>
      </c>
      <c r="B237" t="s">
        <v>214</v>
      </c>
      <c r="C237" t="s">
        <v>216</v>
      </c>
      <c r="D237" t="s">
        <v>287</v>
      </c>
      <c r="E237" s="30" t="s">
        <v>552</v>
      </c>
      <c r="F237" t="s">
        <v>288</v>
      </c>
      <c r="G237" t="s">
        <v>501</v>
      </c>
      <c r="H237" s="47">
        <v>1483000</v>
      </c>
      <c r="I237" s="12">
        <v>700000</v>
      </c>
      <c r="J237" s="47">
        <v>622908.31999999995</v>
      </c>
      <c r="K237" s="39">
        <v>619599.18999999994</v>
      </c>
      <c r="L237" s="42">
        <f t="shared" si="86"/>
        <v>0.88986902857142847</v>
      </c>
      <c r="M237" s="13">
        <f t="shared" si="87"/>
        <v>0.42003258260283205</v>
      </c>
      <c r="N237" s="13">
        <f t="shared" si="88"/>
        <v>1.0053407590800756</v>
      </c>
      <c r="O237" s="97">
        <f t="shared" si="89"/>
        <v>860091.68</v>
      </c>
      <c r="P237" s="106"/>
      <c r="Q237" s="51">
        <v>341000</v>
      </c>
      <c r="R237">
        <v>312447.05</v>
      </c>
      <c r="S237">
        <v>319631.52</v>
      </c>
      <c r="T237" s="42">
        <f t="shared" si="84"/>
        <v>0.91626700879765388</v>
      </c>
      <c r="U237" s="13">
        <f t="shared" si="90"/>
        <v>0.21068580579905596</v>
      </c>
      <c r="V237" s="13">
        <f t="shared" si="85"/>
        <v>0.97752264857983961</v>
      </c>
      <c r="W237" s="39">
        <f t="shared" si="91"/>
        <v>1142000</v>
      </c>
    </row>
    <row r="238" spans="1:23" x14ac:dyDescent="0.25">
      <c r="A238" s="30" t="s">
        <v>276</v>
      </c>
      <c r="B238" t="s">
        <v>226</v>
      </c>
      <c r="C238" t="s">
        <v>228</v>
      </c>
      <c r="D238" t="s">
        <v>287</v>
      </c>
      <c r="E238" s="30" t="s">
        <v>552</v>
      </c>
      <c r="F238" t="s">
        <v>288</v>
      </c>
      <c r="G238" t="s">
        <v>502</v>
      </c>
      <c r="H238" s="47">
        <v>921000</v>
      </c>
      <c r="I238" s="12">
        <v>400000</v>
      </c>
      <c r="J238" s="47">
        <v>366214.48</v>
      </c>
      <c r="K238" s="39">
        <v>378168.33</v>
      </c>
      <c r="L238" s="42">
        <f t="shared" si="86"/>
        <v>0.91553619999999991</v>
      </c>
      <c r="M238" s="13">
        <f t="shared" si="87"/>
        <v>0.39762701411509227</v>
      </c>
      <c r="N238" s="13">
        <f t="shared" si="88"/>
        <v>0.96839013462602741</v>
      </c>
      <c r="O238" s="97">
        <f t="shared" si="89"/>
        <v>554785.52</v>
      </c>
      <c r="P238" s="106"/>
      <c r="Q238" s="51">
        <f>211800+25000</f>
        <v>236800</v>
      </c>
      <c r="R238">
        <v>192690.01</v>
      </c>
      <c r="S238">
        <v>193609.07</v>
      </c>
      <c r="T238" s="42">
        <f t="shared" si="84"/>
        <v>0.81372470439189193</v>
      </c>
      <c r="U238" s="13">
        <f t="shared" si="90"/>
        <v>0.20921825190010859</v>
      </c>
      <c r="V238" s="13">
        <f t="shared" si="85"/>
        <v>0.99525301164867952</v>
      </c>
      <c r="W238" s="39">
        <f t="shared" si="91"/>
        <v>684200</v>
      </c>
    </row>
    <row r="239" spans="1:23" x14ac:dyDescent="0.25">
      <c r="A239" s="30" t="s">
        <v>276</v>
      </c>
      <c r="B239" t="s">
        <v>234</v>
      </c>
      <c r="C239" t="s">
        <v>236</v>
      </c>
      <c r="D239" t="s">
        <v>287</v>
      </c>
      <c r="E239" s="30" t="s">
        <v>552</v>
      </c>
      <c r="F239" t="s">
        <v>288</v>
      </c>
      <c r="G239" t="s">
        <v>503</v>
      </c>
      <c r="H239" s="47">
        <v>764000</v>
      </c>
      <c r="I239" s="12">
        <v>400000</v>
      </c>
      <c r="J239" s="47">
        <v>338252.47</v>
      </c>
      <c r="K239" s="39">
        <v>320847.76</v>
      </c>
      <c r="L239" s="42">
        <f t="shared" si="86"/>
        <v>0.84563117499999996</v>
      </c>
      <c r="M239" s="13">
        <f t="shared" si="87"/>
        <v>0.44273883507853401</v>
      </c>
      <c r="N239" s="13">
        <f t="shared" si="88"/>
        <v>1.0542460075145919</v>
      </c>
      <c r="O239" s="97">
        <f t="shared" si="89"/>
        <v>425747.53</v>
      </c>
      <c r="P239" s="106"/>
      <c r="Q239" s="51">
        <f>175700+15000</f>
        <v>190700</v>
      </c>
      <c r="R239">
        <v>162776.9</v>
      </c>
      <c r="S239">
        <v>165588.29999999999</v>
      </c>
      <c r="T239" s="42">
        <f t="shared" si="84"/>
        <v>0.85357577346617719</v>
      </c>
      <c r="U239" s="13">
        <f t="shared" si="90"/>
        <v>0.21305876963350784</v>
      </c>
      <c r="V239" s="13">
        <f t="shared" si="85"/>
        <v>0.98302174730944158</v>
      </c>
      <c r="W239" s="39">
        <f t="shared" si="91"/>
        <v>573300</v>
      </c>
    </row>
    <row r="240" spans="1:23" x14ac:dyDescent="0.25">
      <c r="A240" s="30" t="s">
        <v>276</v>
      </c>
      <c r="B240" t="s">
        <v>241</v>
      </c>
      <c r="C240" t="s">
        <v>243</v>
      </c>
      <c r="D240" t="s">
        <v>287</v>
      </c>
      <c r="E240" s="30" t="s">
        <v>552</v>
      </c>
      <c r="F240" t="s">
        <v>288</v>
      </c>
      <c r="G240" t="s">
        <v>504</v>
      </c>
      <c r="H240" s="47">
        <v>635000</v>
      </c>
      <c r="I240" s="12">
        <v>300000</v>
      </c>
      <c r="J240" s="47">
        <v>268904.65999999997</v>
      </c>
      <c r="K240" s="39">
        <v>264271.90000000002</v>
      </c>
      <c r="L240" s="42">
        <f t="shared" si="86"/>
        <v>0.89634886666666658</v>
      </c>
      <c r="M240" s="13">
        <f t="shared" si="87"/>
        <v>0.42347190551181096</v>
      </c>
      <c r="N240" s="13">
        <f t="shared" si="88"/>
        <v>1.0175302784745557</v>
      </c>
      <c r="O240" s="97">
        <f t="shared" si="89"/>
        <v>366095.34</v>
      </c>
      <c r="P240" s="106"/>
      <c r="Q240" s="51">
        <v>146000</v>
      </c>
      <c r="R240">
        <v>133928.56</v>
      </c>
      <c r="S240">
        <v>145649.96</v>
      </c>
      <c r="T240" s="42">
        <f t="shared" si="84"/>
        <v>0.91731890410958905</v>
      </c>
      <c r="U240" s="13">
        <f t="shared" si="90"/>
        <v>0.21091111811023622</v>
      </c>
      <c r="V240" s="13">
        <f t="shared" si="85"/>
        <v>0.9195234931750067</v>
      </c>
      <c r="W240" s="39">
        <f t="shared" si="91"/>
        <v>489000</v>
      </c>
    </row>
    <row r="241" spans="1:23" x14ac:dyDescent="0.25">
      <c r="A241" s="30" t="s">
        <v>276</v>
      </c>
      <c r="B241" t="s">
        <v>248</v>
      </c>
      <c r="C241" t="s">
        <v>250</v>
      </c>
      <c r="D241" t="s">
        <v>287</v>
      </c>
      <c r="E241" s="30" t="s">
        <v>552</v>
      </c>
      <c r="F241" t="s">
        <v>288</v>
      </c>
      <c r="G241" t="s">
        <v>505</v>
      </c>
      <c r="H241" s="47">
        <v>1299000</v>
      </c>
      <c r="I241" s="12">
        <v>560000</v>
      </c>
      <c r="J241" s="47">
        <v>551757.43999999994</v>
      </c>
      <c r="K241" s="39">
        <v>544814.14</v>
      </c>
      <c r="L241" s="42">
        <f t="shared" si="86"/>
        <v>0.98528114285714274</v>
      </c>
      <c r="M241" s="13">
        <f t="shared" si="87"/>
        <v>0.42475553502694374</v>
      </c>
      <c r="N241" s="13">
        <f t="shared" si="88"/>
        <v>1.0127443461728065</v>
      </c>
      <c r="O241" s="97">
        <f t="shared" si="89"/>
        <v>747242.56</v>
      </c>
      <c r="P241" s="106"/>
      <c r="Q241" s="51">
        <v>298700</v>
      </c>
      <c r="R241">
        <v>274484.18</v>
      </c>
      <c r="S241">
        <v>281991.65999999997</v>
      </c>
      <c r="T241" s="42">
        <f t="shared" si="84"/>
        <v>0.91892929360562436</v>
      </c>
      <c r="U241" s="13">
        <f t="shared" si="90"/>
        <v>0.21130421862971516</v>
      </c>
      <c r="V241" s="13">
        <f t="shared" si="85"/>
        <v>0.97337694313370837</v>
      </c>
      <c r="W241" s="39">
        <f t="shared" si="91"/>
        <v>1000300</v>
      </c>
    </row>
    <row r="242" spans="1:23" x14ac:dyDescent="0.25">
      <c r="A242" s="30" t="s">
        <v>276</v>
      </c>
      <c r="B242" t="s">
        <v>259</v>
      </c>
      <c r="C242" t="s">
        <v>261</v>
      </c>
      <c r="D242" t="s">
        <v>287</v>
      </c>
      <c r="E242" s="30" t="s">
        <v>552</v>
      </c>
      <c r="F242" t="s">
        <v>288</v>
      </c>
      <c r="G242" t="s">
        <v>506</v>
      </c>
      <c r="H242" s="47">
        <v>733000</v>
      </c>
      <c r="I242" s="12">
        <v>320000</v>
      </c>
      <c r="J242" s="47">
        <v>308053.14</v>
      </c>
      <c r="K242" s="39">
        <v>309825.98</v>
      </c>
      <c r="L242" s="42">
        <f t="shared" si="86"/>
        <v>0.96266606250000009</v>
      </c>
      <c r="M242" s="13">
        <f t="shared" si="87"/>
        <v>0.4202634924965894</v>
      </c>
      <c r="N242" s="13">
        <f t="shared" si="88"/>
        <v>0.99427794918941281</v>
      </c>
      <c r="O242" s="97">
        <f t="shared" si="89"/>
        <v>424946.86</v>
      </c>
      <c r="P242" s="106"/>
      <c r="Q242" s="51">
        <v>168500</v>
      </c>
      <c r="R242">
        <v>154527.17000000001</v>
      </c>
      <c r="S242">
        <v>169680.24</v>
      </c>
      <c r="T242" s="42">
        <f t="shared" si="84"/>
        <v>0.91707519287833839</v>
      </c>
      <c r="U242" s="13">
        <f t="shared" si="90"/>
        <v>0.21081469304229197</v>
      </c>
      <c r="V242" s="13">
        <f t="shared" si="85"/>
        <v>0.91069631914712057</v>
      </c>
      <c r="W242" s="39">
        <f t="shared" si="91"/>
        <v>564500</v>
      </c>
    </row>
    <row r="243" spans="1:23" x14ac:dyDescent="0.25">
      <c r="A243" s="30" t="s">
        <v>276</v>
      </c>
      <c r="B243" t="s">
        <v>268</v>
      </c>
      <c r="C243" t="s">
        <v>270</v>
      </c>
      <c r="D243" t="s">
        <v>287</v>
      </c>
      <c r="E243" s="30" t="s">
        <v>552</v>
      </c>
      <c r="F243" t="s">
        <v>288</v>
      </c>
      <c r="G243" t="s">
        <v>507</v>
      </c>
      <c r="H243" s="47">
        <v>675000</v>
      </c>
      <c r="I243" s="12">
        <v>300000</v>
      </c>
      <c r="J243" s="47">
        <v>289300.05</v>
      </c>
      <c r="K243" s="39">
        <v>278247.45</v>
      </c>
      <c r="L243" s="42">
        <f t="shared" si="86"/>
        <v>0.96433349999999995</v>
      </c>
      <c r="M243" s="13">
        <f t="shared" si="87"/>
        <v>0.42859266666666662</v>
      </c>
      <c r="N243" s="13">
        <f t="shared" si="88"/>
        <v>1.0397221969150121</v>
      </c>
      <c r="O243" s="97">
        <f t="shared" si="89"/>
        <v>385699.95</v>
      </c>
      <c r="P243" s="106"/>
      <c r="Q243" s="51">
        <f>155200+13000</f>
        <v>168200</v>
      </c>
      <c r="R243">
        <v>144042.82999999999</v>
      </c>
      <c r="S243">
        <v>147763.26999999999</v>
      </c>
      <c r="T243" s="42">
        <f t="shared" si="84"/>
        <v>0.85637829964328172</v>
      </c>
      <c r="U243" s="13">
        <f t="shared" si="90"/>
        <v>0.21339678518518518</v>
      </c>
      <c r="V243" s="13">
        <f t="shared" si="85"/>
        <v>0.97482161839000991</v>
      </c>
      <c r="W243" s="39">
        <f t="shared" si="91"/>
        <v>506800</v>
      </c>
    </row>
    <row r="244" spans="1:23" x14ac:dyDescent="0.25">
      <c r="A244" s="30" t="s">
        <v>276</v>
      </c>
      <c r="B244" t="s">
        <v>295</v>
      </c>
      <c r="C244" t="s">
        <v>296</v>
      </c>
      <c r="D244" t="s">
        <v>323</v>
      </c>
      <c r="E244" t="s">
        <v>545</v>
      </c>
      <c r="F244" t="s">
        <v>324</v>
      </c>
      <c r="G244" t="s">
        <v>460</v>
      </c>
      <c r="H244" s="47">
        <v>2303000</v>
      </c>
      <c r="I244" s="98">
        <v>1200000</v>
      </c>
      <c r="J244" s="98">
        <v>1117988.8899999999</v>
      </c>
      <c r="K244" s="51">
        <v>1058136.98</v>
      </c>
      <c r="L244" s="42">
        <f t="shared" ref="L244:L263" si="92">J244/I244</f>
        <v>0.93165740833333321</v>
      </c>
      <c r="M244" s="13">
        <f t="shared" ref="M244:M263" si="93">J244/H244</f>
        <v>0.48544893182805032</v>
      </c>
      <c r="N244" s="13">
        <f t="shared" ref="N244:N263" si="94">J244/K244</f>
        <v>1.0565634800893169</v>
      </c>
      <c r="O244" s="97">
        <f t="shared" ref="O244:O263" si="95">H244-J244</f>
        <v>1185011.1100000001</v>
      </c>
      <c r="P244" s="106"/>
      <c r="Q244" s="51">
        <f>339900-40000</f>
        <v>299900</v>
      </c>
      <c r="R244">
        <v>247442.94</v>
      </c>
      <c r="S244">
        <v>376488.2</v>
      </c>
      <c r="T244" s="42">
        <f t="shared" ref="T244:T259" si="96">R244/Q244</f>
        <v>0.82508482827609209</v>
      </c>
      <c r="U244" s="13">
        <f t="shared" si="90"/>
        <v>0.10744374294398611</v>
      </c>
      <c r="V244" s="13">
        <f t="shared" ref="V244:V259" si="97">R244/S244</f>
        <v>0.65723956288669871</v>
      </c>
      <c r="W244" s="39">
        <f t="shared" si="91"/>
        <v>2003100</v>
      </c>
    </row>
    <row r="245" spans="1:23" x14ac:dyDescent="0.25">
      <c r="A245" s="30" t="s">
        <v>276</v>
      </c>
      <c r="B245" t="s">
        <v>110</v>
      </c>
      <c r="C245" t="s">
        <v>112</v>
      </c>
      <c r="D245" t="s">
        <v>323</v>
      </c>
      <c r="E245" t="s">
        <v>545</v>
      </c>
      <c r="F245" t="s">
        <v>324</v>
      </c>
      <c r="G245" t="s">
        <v>487</v>
      </c>
      <c r="H245" s="47">
        <v>37700</v>
      </c>
      <c r="I245" s="98">
        <v>15000</v>
      </c>
      <c r="J245" s="98">
        <v>12394.83</v>
      </c>
      <c r="K245" s="51">
        <v>752.25</v>
      </c>
      <c r="L245" s="42">
        <f t="shared" si="92"/>
        <v>0.826322</v>
      </c>
      <c r="M245" s="13">
        <f t="shared" si="93"/>
        <v>0.32877533156498673</v>
      </c>
      <c r="N245" s="13">
        <f t="shared" si="94"/>
        <v>16.477008973080757</v>
      </c>
      <c r="O245" s="97">
        <f t="shared" si="95"/>
        <v>25305.17</v>
      </c>
      <c r="P245" s="106"/>
      <c r="Q245" s="51">
        <f>4500+900+1000</f>
        <v>6400</v>
      </c>
      <c r="R245">
        <v>5170.6899999999996</v>
      </c>
      <c r="S245">
        <v>159.93</v>
      </c>
      <c r="T245" s="42">
        <f t="shared" si="96"/>
        <v>0.80792031249999996</v>
      </c>
      <c r="U245" s="13">
        <f t="shared" si="90"/>
        <v>0.13715358090185675</v>
      </c>
      <c r="V245" s="13">
        <f t="shared" si="97"/>
        <v>32.330957293816041</v>
      </c>
      <c r="W245" s="39">
        <f t="shared" si="91"/>
        <v>31300</v>
      </c>
    </row>
    <row r="246" spans="1:23" x14ac:dyDescent="0.25">
      <c r="A246" s="30" t="s">
        <v>276</v>
      </c>
      <c r="B246" t="s">
        <v>119</v>
      </c>
      <c r="C246" t="s">
        <v>121</v>
      </c>
      <c r="D246" t="s">
        <v>323</v>
      </c>
      <c r="E246" t="s">
        <v>545</v>
      </c>
      <c r="F246" t="s">
        <v>324</v>
      </c>
      <c r="G246" t="s">
        <v>488</v>
      </c>
      <c r="H246" s="47">
        <v>63300</v>
      </c>
      <c r="I246" s="98">
        <v>15000</v>
      </c>
      <c r="J246" s="98">
        <v>13820.45</v>
      </c>
      <c r="K246" s="51">
        <v>31534.48</v>
      </c>
      <c r="L246" s="42">
        <f t="shared" si="92"/>
        <v>0.92136333333333342</v>
      </c>
      <c r="M246" s="13">
        <f t="shared" si="93"/>
        <v>0.21833254344391786</v>
      </c>
      <c r="N246" s="13">
        <f t="shared" si="94"/>
        <v>0.43826471849226628</v>
      </c>
      <c r="O246" s="97">
        <f t="shared" si="95"/>
        <v>49479.55</v>
      </c>
      <c r="P246" s="106"/>
      <c r="Q246" s="51">
        <f>2500</f>
        <v>2500</v>
      </c>
      <c r="R246">
        <v>2025.03</v>
      </c>
      <c r="S246">
        <v>9585.2000000000007</v>
      </c>
      <c r="T246" s="42">
        <f t="shared" si="96"/>
        <v>0.81001199999999995</v>
      </c>
      <c r="U246" s="13">
        <f t="shared" si="90"/>
        <v>3.1990995260663506E-2</v>
      </c>
      <c r="V246" s="13">
        <f t="shared" si="97"/>
        <v>0.21126632725451736</v>
      </c>
      <c r="W246" s="39">
        <f t="shared" si="91"/>
        <v>60800</v>
      </c>
    </row>
    <row r="247" spans="1:23" x14ac:dyDescent="0.25">
      <c r="A247" s="30" t="s">
        <v>276</v>
      </c>
      <c r="B247" t="s">
        <v>127</v>
      </c>
      <c r="C247" t="s">
        <v>128</v>
      </c>
      <c r="D247" t="s">
        <v>323</v>
      </c>
      <c r="E247" t="s">
        <v>545</v>
      </c>
      <c r="F247" t="s">
        <v>324</v>
      </c>
      <c r="G247" t="s">
        <v>489</v>
      </c>
      <c r="H247" s="47">
        <v>64700</v>
      </c>
      <c r="I247" s="98">
        <v>23000</v>
      </c>
      <c r="J247" s="98">
        <v>20227.98</v>
      </c>
      <c r="K247" s="51">
        <v>15295.8</v>
      </c>
      <c r="L247" s="42">
        <f t="shared" si="92"/>
        <v>0.87947739130434777</v>
      </c>
      <c r="M247" s="13">
        <f t="shared" si="93"/>
        <v>0.31264265842349304</v>
      </c>
      <c r="N247" s="13">
        <f t="shared" si="94"/>
        <v>1.3224532224532224</v>
      </c>
      <c r="O247" s="97">
        <f t="shared" si="95"/>
        <v>44472.020000000004</v>
      </c>
      <c r="P247" s="106"/>
      <c r="Q247" s="51">
        <f>14700</f>
        <v>14700</v>
      </c>
      <c r="R247">
        <v>13911.98</v>
      </c>
      <c r="S247">
        <v>60</v>
      </c>
      <c r="T247" s="42">
        <f t="shared" si="96"/>
        <v>0.94639319727891158</v>
      </c>
      <c r="U247" s="13">
        <f t="shared" si="90"/>
        <v>0.2150228748068006</v>
      </c>
      <c r="V247" s="13">
        <f t="shared" si="97"/>
        <v>231.86633333333333</v>
      </c>
      <c r="W247" s="39">
        <f t="shared" si="91"/>
        <v>50000</v>
      </c>
    </row>
    <row r="248" spans="1:23" x14ac:dyDescent="0.25">
      <c r="A248" s="30" t="s">
        <v>276</v>
      </c>
      <c r="B248" t="s">
        <v>135</v>
      </c>
      <c r="C248" t="s">
        <v>137</v>
      </c>
      <c r="D248" t="s">
        <v>323</v>
      </c>
      <c r="E248" t="s">
        <v>545</v>
      </c>
      <c r="F248" t="s">
        <v>324</v>
      </c>
      <c r="G248" t="s">
        <v>490</v>
      </c>
      <c r="H248" s="47">
        <v>63300</v>
      </c>
      <c r="I248" s="98">
        <v>2000</v>
      </c>
      <c r="J248" s="98">
        <v>1860</v>
      </c>
      <c r="K248" s="51">
        <v>8878.6</v>
      </c>
      <c r="L248" s="42">
        <f t="shared" si="92"/>
        <v>0.93</v>
      </c>
      <c r="M248" s="13">
        <f t="shared" si="93"/>
        <v>2.9383886255924172E-2</v>
      </c>
      <c r="N248" s="13">
        <f t="shared" si="94"/>
        <v>0.20949248755434413</v>
      </c>
      <c r="O248" s="97">
        <f t="shared" si="95"/>
        <v>61440</v>
      </c>
      <c r="P248" s="106"/>
      <c r="Q248" s="51">
        <v>600</v>
      </c>
      <c r="R248">
        <v>460</v>
      </c>
      <c r="S248">
        <v>0</v>
      </c>
      <c r="T248" s="42">
        <f t="shared" si="96"/>
        <v>0.76666666666666672</v>
      </c>
      <c r="U248" s="13">
        <f t="shared" si="90"/>
        <v>7.2669826224328595E-3</v>
      </c>
      <c r="V248" s="13" t="e">
        <f t="shared" si="97"/>
        <v>#DIV/0!</v>
      </c>
      <c r="W248" s="39">
        <f t="shared" si="91"/>
        <v>62700</v>
      </c>
    </row>
    <row r="249" spans="1:23" x14ac:dyDescent="0.25">
      <c r="A249" s="30" t="s">
        <v>276</v>
      </c>
      <c r="B249" t="s">
        <v>143</v>
      </c>
      <c r="C249" t="s">
        <v>145</v>
      </c>
      <c r="D249" t="s">
        <v>323</v>
      </c>
      <c r="E249" t="s">
        <v>545</v>
      </c>
      <c r="F249" t="s">
        <v>324</v>
      </c>
      <c r="G249" t="s">
        <v>491</v>
      </c>
      <c r="H249" s="47">
        <v>73200</v>
      </c>
      <c r="I249" s="98">
        <v>5000</v>
      </c>
      <c r="J249" s="98">
        <v>4385</v>
      </c>
      <c r="K249" s="51">
        <v>305</v>
      </c>
      <c r="L249" s="42">
        <f t="shared" si="92"/>
        <v>0.877</v>
      </c>
      <c r="M249" s="13">
        <f t="shared" si="93"/>
        <v>5.9904371584699453E-2</v>
      </c>
      <c r="N249" s="13">
        <f t="shared" si="94"/>
        <v>14.377049180327869</v>
      </c>
      <c r="O249" s="97">
        <f t="shared" si="95"/>
        <v>68815</v>
      </c>
      <c r="P249" s="106"/>
      <c r="Q249" s="51">
        <v>900</v>
      </c>
      <c r="R249">
        <v>715</v>
      </c>
      <c r="S249">
        <v>35</v>
      </c>
      <c r="T249" s="42">
        <f t="shared" si="96"/>
        <v>0.7944444444444444</v>
      </c>
      <c r="U249" s="13">
        <f t="shared" si="90"/>
        <v>9.7677595628415294E-3</v>
      </c>
      <c r="V249" s="13">
        <f t="shared" si="97"/>
        <v>20.428571428571427</v>
      </c>
      <c r="W249" s="39">
        <f t="shared" si="91"/>
        <v>72300</v>
      </c>
    </row>
    <row r="250" spans="1:23" x14ac:dyDescent="0.25">
      <c r="A250" s="30" t="s">
        <v>276</v>
      </c>
      <c r="B250" t="s">
        <v>151</v>
      </c>
      <c r="C250" t="s">
        <v>153</v>
      </c>
      <c r="D250" t="s">
        <v>323</v>
      </c>
      <c r="E250" t="s">
        <v>545</v>
      </c>
      <c r="F250" t="s">
        <v>324</v>
      </c>
      <c r="G250" t="s">
        <v>493</v>
      </c>
      <c r="H250" s="47">
        <v>73600</v>
      </c>
      <c r="I250" s="98">
        <v>10000</v>
      </c>
      <c r="J250" s="98">
        <v>9106.9</v>
      </c>
      <c r="K250" s="51">
        <v>43989</v>
      </c>
      <c r="L250" s="42">
        <f t="shared" si="92"/>
        <v>0.91069</v>
      </c>
      <c r="M250" s="13">
        <f t="shared" si="93"/>
        <v>0.12373505434782608</v>
      </c>
      <c r="N250" s="13">
        <f t="shared" si="94"/>
        <v>0.20702675668917228</v>
      </c>
      <c r="O250" s="97">
        <f t="shared" si="95"/>
        <v>64493.1</v>
      </c>
      <c r="P250" s="106"/>
      <c r="Q250" s="51">
        <v>900</v>
      </c>
      <c r="R250">
        <v>707.4</v>
      </c>
      <c r="S250">
        <v>41224</v>
      </c>
      <c r="T250" s="42">
        <f t="shared" si="96"/>
        <v>0.78599999999999992</v>
      </c>
      <c r="U250" s="13">
        <f t="shared" si="90"/>
        <v>9.6114130434782601E-3</v>
      </c>
      <c r="V250" s="13">
        <f t="shared" si="97"/>
        <v>1.715990685037842E-2</v>
      </c>
      <c r="W250" s="39">
        <f t="shared" si="91"/>
        <v>72700</v>
      </c>
    </row>
    <row r="251" spans="1:23" x14ac:dyDescent="0.25">
      <c r="A251" s="30" t="s">
        <v>276</v>
      </c>
      <c r="B251" t="s">
        <v>159</v>
      </c>
      <c r="C251" t="s">
        <v>161</v>
      </c>
      <c r="D251" t="s">
        <v>323</v>
      </c>
      <c r="E251" t="s">
        <v>545</v>
      </c>
      <c r="F251" t="s">
        <v>324</v>
      </c>
      <c r="G251" t="s">
        <v>495</v>
      </c>
      <c r="H251" s="47">
        <v>47200</v>
      </c>
      <c r="I251" s="98">
        <v>4000</v>
      </c>
      <c r="J251" s="98">
        <v>3579.5</v>
      </c>
      <c r="K251" s="51">
        <v>4518.84</v>
      </c>
      <c r="L251" s="42">
        <f t="shared" si="92"/>
        <v>0.89487499999999998</v>
      </c>
      <c r="M251" s="13">
        <f t="shared" si="93"/>
        <v>7.5836864406779655E-2</v>
      </c>
      <c r="N251" s="13">
        <f t="shared" si="94"/>
        <v>0.79212806826530702</v>
      </c>
      <c r="O251" s="97">
        <f t="shared" si="95"/>
        <v>43620.5</v>
      </c>
      <c r="P251" s="106"/>
      <c r="Q251" s="51">
        <v>0</v>
      </c>
      <c r="R251">
        <v>0</v>
      </c>
      <c r="S251">
        <v>0</v>
      </c>
      <c r="T251" s="42" t="e">
        <f t="shared" si="96"/>
        <v>#DIV/0!</v>
      </c>
      <c r="U251" s="13">
        <f t="shared" si="90"/>
        <v>0</v>
      </c>
      <c r="V251" s="13" t="e">
        <f t="shared" si="97"/>
        <v>#DIV/0!</v>
      </c>
      <c r="W251" s="39">
        <f t="shared" si="91"/>
        <v>47200</v>
      </c>
    </row>
    <row r="252" spans="1:23" x14ac:dyDescent="0.25">
      <c r="A252" s="30" t="s">
        <v>276</v>
      </c>
      <c r="B252" t="s">
        <v>170</v>
      </c>
      <c r="C252" t="s">
        <v>172</v>
      </c>
      <c r="D252" t="s">
        <v>323</v>
      </c>
      <c r="E252" t="s">
        <v>545</v>
      </c>
      <c r="F252" t="s">
        <v>324</v>
      </c>
      <c r="G252" t="s">
        <v>496</v>
      </c>
      <c r="H252" s="47">
        <v>47600</v>
      </c>
      <c r="I252" s="98">
        <v>17000</v>
      </c>
      <c r="J252" s="98">
        <v>15361.68</v>
      </c>
      <c r="K252" s="51">
        <v>1020</v>
      </c>
      <c r="L252" s="42">
        <f t="shared" si="92"/>
        <v>0.90362823529411762</v>
      </c>
      <c r="M252" s="13">
        <f t="shared" si="93"/>
        <v>0.32272436974789914</v>
      </c>
      <c r="N252" s="13">
        <f t="shared" si="94"/>
        <v>15.060470588235294</v>
      </c>
      <c r="O252" s="97">
        <f t="shared" si="95"/>
        <v>32238.32</v>
      </c>
      <c r="P252" s="106"/>
      <c r="Q252" s="51">
        <v>800</v>
      </c>
      <c r="R252">
        <v>636.4</v>
      </c>
      <c r="S252">
        <v>220</v>
      </c>
      <c r="T252" s="42">
        <f t="shared" si="96"/>
        <v>0.79549999999999998</v>
      </c>
      <c r="U252" s="13">
        <f t="shared" si="90"/>
        <v>1.3369747899159663E-2</v>
      </c>
      <c r="V252" s="13">
        <f t="shared" si="97"/>
        <v>2.8927272727272726</v>
      </c>
      <c r="W252" s="39">
        <f t="shared" si="91"/>
        <v>46800</v>
      </c>
    </row>
    <row r="253" spans="1:23" x14ac:dyDescent="0.25">
      <c r="A253" s="30" t="s">
        <v>276</v>
      </c>
      <c r="B253" t="s">
        <v>179</v>
      </c>
      <c r="C253" t="s">
        <v>181</v>
      </c>
      <c r="D253" t="s">
        <v>323</v>
      </c>
      <c r="E253" t="s">
        <v>545</v>
      </c>
      <c r="F253" t="s">
        <v>324</v>
      </c>
      <c r="G253" t="s">
        <v>497</v>
      </c>
      <c r="H253" s="47">
        <v>83800</v>
      </c>
      <c r="I253" s="98">
        <v>12000</v>
      </c>
      <c r="J253" s="98">
        <v>10224</v>
      </c>
      <c r="K253" s="51">
        <v>2160</v>
      </c>
      <c r="L253" s="42">
        <f t="shared" si="92"/>
        <v>0.85199999999999998</v>
      </c>
      <c r="M253" s="13">
        <f t="shared" si="93"/>
        <v>0.12200477326968974</v>
      </c>
      <c r="N253" s="13">
        <f t="shared" si="94"/>
        <v>4.7333333333333334</v>
      </c>
      <c r="O253" s="97">
        <f t="shared" si="95"/>
        <v>73576</v>
      </c>
      <c r="P253" s="106"/>
      <c r="Q253" s="51">
        <f>1700</f>
        <v>1700</v>
      </c>
      <c r="R253">
        <v>1605</v>
      </c>
      <c r="S253">
        <v>0</v>
      </c>
      <c r="T253" s="42">
        <f t="shared" si="96"/>
        <v>0.94411764705882351</v>
      </c>
      <c r="U253" s="13">
        <f t="shared" si="90"/>
        <v>1.9152744630071598E-2</v>
      </c>
      <c r="V253" s="13" t="e">
        <f t="shared" si="97"/>
        <v>#DIV/0!</v>
      </c>
      <c r="W253" s="39">
        <f t="shared" si="91"/>
        <v>82100</v>
      </c>
    </row>
    <row r="254" spans="1:23" x14ac:dyDescent="0.25">
      <c r="A254" s="30" t="s">
        <v>276</v>
      </c>
      <c r="B254" t="s">
        <v>189</v>
      </c>
      <c r="C254" t="s">
        <v>191</v>
      </c>
      <c r="D254" t="s">
        <v>323</v>
      </c>
      <c r="E254" t="s">
        <v>545</v>
      </c>
      <c r="F254" t="s">
        <v>324</v>
      </c>
      <c r="G254" t="s">
        <v>498</v>
      </c>
      <c r="H254" s="47">
        <v>61000</v>
      </c>
      <c r="I254" s="98">
        <v>17000</v>
      </c>
      <c r="J254" s="98">
        <v>15584</v>
      </c>
      <c r="K254" s="51">
        <v>25460.5</v>
      </c>
      <c r="L254" s="42">
        <f t="shared" si="92"/>
        <v>0.91670588235294115</v>
      </c>
      <c r="M254" s="13">
        <f t="shared" si="93"/>
        <v>0.25547540983606559</v>
      </c>
      <c r="N254" s="13">
        <f t="shared" si="94"/>
        <v>0.61208538716835881</v>
      </c>
      <c r="O254" s="97">
        <f t="shared" si="95"/>
        <v>45416</v>
      </c>
      <c r="P254" s="106"/>
      <c r="Q254" s="51">
        <f>5000-400</f>
        <v>4600</v>
      </c>
      <c r="R254">
        <v>4575</v>
      </c>
      <c r="S254">
        <v>21330.5</v>
      </c>
      <c r="T254" s="42">
        <f t="shared" si="96"/>
        <v>0.99456521739130432</v>
      </c>
      <c r="U254" s="13">
        <f t="shared" si="90"/>
        <v>7.4999999999999997E-2</v>
      </c>
      <c r="V254" s="13">
        <f t="shared" si="97"/>
        <v>0.21448161083893955</v>
      </c>
      <c r="W254" s="39">
        <f t="shared" si="91"/>
        <v>56400</v>
      </c>
    </row>
    <row r="255" spans="1:23" x14ac:dyDescent="0.25">
      <c r="A255" s="30" t="s">
        <v>276</v>
      </c>
      <c r="B255" t="s">
        <v>198</v>
      </c>
      <c r="C255" t="s">
        <v>200</v>
      </c>
      <c r="D255" t="s">
        <v>323</v>
      </c>
      <c r="E255" t="s">
        <v>545</v>
      </c>
      <c r="F255" t="s">
        <v>324</v>
      </c>
      <c r="G255" t="s">
        <v>499</v>
      </c>
      <c r="H255" s="47">
        <v>61500</v>
      </c>
      <c r="I255" s="98">
        <v>9000</v>
      </c>
      <c r="J255" s="98">
        <v>7745</v>
      </c>
      <c r="K255" s="51">
        <v>1360</v>
      </c>
      <c r="L255" s="42">
        <f t="shared" si="92"/>
        <v>0.86055555555555552</v>
      </c>
      <c r="M255" s="13">
        <f t="shared" si="93"/>
        <v>0.12593495934959351</v>
      </c>
      <c r="N255" s="13">
        <f t="shared" si="94"/>
        <v>5.694852941176471</v>
      </c>
      <c r="O255" s="97">
        <f t="shared" si="95"/>
        <v>53755</v>
      </c>
      <c r="P255" s="106"/>
      <c r="Q255" s="51">
        <f>4500-800</f>
        <v>3700</v>
      </c>
      <c r="R255">
        <v>3670</v>
      </c>
      <c r="S255">
        <v>60</v>
      </c>
      <c r="T255" s="42">
        <f t="shared" si="96"/>
        <v>0.99189189189189186</v>
      </c>
      <c r="U255" s="13">
        <f t="shared" si="90"/>
        <v>5.9674796747967482E-2</v>
      </c>
      <c r="V255" s="13">
        <f t="shared" si="97"/>
        <v>61.166666666666664</v>
      </c>
      <c r="W255" s="39">
        <f t="shared" si="91"/>
        <v>57800</v>
      </c>
    </row>
    <row r="256" spans="1:23" x14ac:dyDescent="0.25">
      <c r="A256" s="30" t="s">
        <v>276</v>
      </c>
      <c r="B256" t="s">
        <v>206</v>
      </c>
      <c r="C256" t="s">
        <v>208</v>
      </c>
      <c r="D256" t="s">
        <v>323</v>
      </c>
      <c r="E256" t="s">
        <v>545</v>
      </c>
      <c r="F256" t="s">
        <v>324</v>
      </c>
      <c r="G256" t="s">
        <v>500</v>
      </c>
      <c r="H256" s="47">
        <v>61000</v>
      </c>
      <c r="I256" s="98">
        <v>8500</v>
      </c>
      <c r="J256" s="98">
        <v>7241.87</v>
      </c>
      <c r="K256" s="51">
        <v>920.12</v>
      </c>
      <c r="L256" s="42">
        <f t="shared" si="92"/>
        <v>0.85198470588235298</v>
      </c>
      <c r="M256" s="13">
        <f t="shared" si="93"/>
        <v>0.11871918032786885</v>
      </c>
      <c r="N256" s="13">
        <f t="shared" si="94"/>
        <v>7.8705712298395856</v>
      </c>
      <c r="O256" s="97">
        <f t="shared" si="95"/>
        <v>53758.13</v>
      </c>
      <c r="P256" s="106"/>
      <c r="Q256" s="51">
        <f>2900-500</f>
        <v>2400</v>
      </c>
      <c r="R256">
        <v>2382.88</v>
      </c>
      <c r="S256">
        <v>405</v>
      </c>
      <c r="T256" s="42">
        <f t="shared" si="96"/>
        <v>0.99286666666666668</v>
      </c>
      <c r="U256" s="13">
        <f t="shared" si="90"/>
        <v>3.9063606557377048E-2</v>
      </c>
      <c r="V256" s="13">
        <f t="shared" si="97"/>
        <v>5.8836543209876542</v>
      </c>
      <c r="W256" s="39">
        <f t="shared" si="91"/>
        <v>58600</v>
      </c>
    </row>
    <row r="257" spans="1:23" x14ac:dyDescent="0.25">
      <c r="A257" s="30" t="s">
        <v>276</v>
      </c>
      <c r="B257" t="s">
        <v>214</v>
      </c>
      <c r="C257" t="s">
        <v>216</v>
      </c>
      <c r="D257" t="s">
        <v>323</v>
      </c>
      <c r="E257" t="s">
        <v>545</v>
      </c>
      <c r="F257" t="s">
        <v>324</v>
      </c>
      <c r="G257" t="s">
        <v>501</v>
      </c>
      <c r="H257" s="47">
        <v>98200</v>
      </c>
      <c r="I257" s="98">
        <v>37000</v>
      </c>
      <c r="J257" s="98">
        <v>35113.279999999999</v>
      </c>
      <c r="K257" s="51">
        <v>25694.98</v>
      </c>
      <c r="L257" s="42">
        <f t="shared" si="92"/>
        <v>0.94900756756756754</v>
      </c>
      <c r="M257" s="13">
        <f t="shared" si="93"/>
        <v>0.3575690427698574</v>
      </c>
      <c r="N257" s="13">
        <f t="shared" si="94"/>
        <v>1.3665424141213576</v>
      </c>
      <c r="O257" s="97">
        <f t="shared" si="95"/>
        <v>63086.720000000001</v>
      </c>
      <c r="P257" s="106"/>
      <c r="Q257" s="51">
        <f>11700+7200-700</f>
        <v>18200</v>
      </c>
      <c r="R257">
        <v>18183.45</v>
      </c>
      <c r="S257">
        <v>7056.32</v>
      </c>
      <c r="T257" s="42">
        <f t="shared" si="96"/>
        <v>0.99909065934065933</v>
      </c>
      <c r="U257" s="13">
        <f t="shared" si="90"/>
        <v>0.1851675152749491</v>
      </c>
      <c r="V257" s="13">
        <f t="shared" si="97"/>
        <v>2.5769026914879145</v>
      </c>
      <c r="W257" s="39">
        <f t="shared" si="91"/>
        <v>80000</v>
      </c>
    </row>
    <row r="258" spans="1:23" x14ac:dyDescent="0.25">
      <c r="A258" s="30" t="s">
        <v>276</v>
      </c>
      <c r="B258" t="s">
        <v>226</v>
      </c>
      <c r="C258" t="s">
        <v>228</v>
      </c>
      <c r="D258" t="s">
        <v>323</v>
      </c>
      <c r="E258" t="s">
        <v>545</v>
      </c>
      <c r="F258" t="s">
        <v>324</v>
      </c>
      <c r="G258" t="s">
        <v>502</v>
      </c>
      <c r="H258" s="47">
        <v>49700</v>
      </c>
      <c r="I258" s="98">
        <v>18000</v>
      </c>
      <c r="J258" s="98">
        <v>16130.12</v>
      </c>
      <c r="K258" s="51">
        <v>14465.8</v>
      </c>
      <c r="L258" s="42">
        <f t="shared" si="92"/>
        <v>0.89611777777777779</v>
      </c>
      <c r="M258" s="13">
        <f t="shared" si="93"/>
        <v>0.32454969818913482</v>
      </c>
      <c r="N258" s="13">
        <f t="shared" si="94"/>
        <v>1.1150520538096753</v>
      </c>
      <c r="O258" s="97">
        <f t="shared" si="95"/>
        <v>33569.879999999997</v>
      </c>
      <c r="P258" s="106"/>
      <c r="Q258" s="51">
        <f>3900-700</f>
        <v>3200</v>
      </c>
      <c r="R258">
        <v>3145.04</v>
      </c>
      <c r="S258">
        <v>4203.12</v>
      </c>
      <c r="T258" s="42">
        <f t="shared" si="96"/>
        <v>0.98282499999999995</v>
      </c>
      <c r="U258" s="13">
        <f t="shared" si="90"/>
        <v>6.3280482897384305E-2</v>
      </c>
      <c r="V258" s="13">
        <f t="shared" si="97"/>
        <v>0.74826319495993454</v>
      </c>
      <c r="W258" s="39">
        <f t="shared" si="91"/>
        <v>46500</v>
      </c>
    </row>
    <row r="259" spans="1:23" x14ac:dyDescent="0.25">
      <c r="A259" s="30" t="s">
        <v>276</v>
      </c>
      <c r="B259" t="s">
        <v>234</v>
      </c>
      <c r="C259" t="s">
        <v>236</v>
      </c>
      <c r="D259" t="s">
        <v>323</v>
      </c>
      <c r="E259" t="s">
        <v>545</v>
      </c>
      <c r="F259" t="s">
        <v>324</v>
      </c>
      <c r="G259" t="s">
        <v>503</v>
      </c>
      <c r="H259" s="47">
        <v>46300</v>
      </c>
      <c r="I259" s="98">
        <v>14000</v>
      </c>
      <c r="J259" s="98">
        <v>12464.2</v>
      </c>
      <c r="K259" s="51">
        <v>9544.02</v>
      </c>
      <c r="L259" s="42">
        <f t="shared" si="92"/>
        <v>0.89030000000000009</v>
      </c>
      <c r="M259" s="13">
        <f t="shared" si="93"/>
        <v>0.2692051835853132</v>
      </c>
      <c r="N259" s="13">
        <f t="shared" si="94"/>
        <v>1.3059696019077915</v>
      </c>
      <c r="O259" s="97">
        <f t="shared" si="95"/>
        <v>33835.800000000003</v>
      </c>
      <c r="P259" s="106"/>
      <c r="Q259" s="51">
        <f>3200-500</f>
        <v>2700</v>
      </c>
      <c r="R259">
        <v>2623.8</v>
      </c>
      <c r="S259">
        <v>3677.79</v>
      </c>
      <c r="T259" s="42">
        <f t="shared" si="96"/>
        <v>0.97177777777777785</v>
      </c>
      <c r="U259" s="13">
        <f t="shared" si="90"/>
        <v>5.66695464362851E-2</v>
      </c>
      <c r="V259" s="13">
        <f t="shared" si="97"/>
        <v>0.71341756870294393</v>
      </c>
      <c r="W259" s="39">
        <f t="shared" si="91"/>
        <v>43600</v>
      </c>
    </row>
    <row r="260" spans="1:23" x14ac:dyDescent="0.25">
      <c r="A260" s="30" t="s">
        <v>276</v>
      </c>
      <c r="B260" t="s">
        <v>241</v>
      </c>
      <c r="C260" t="s">
        <v>243</v>
      </c>
      <c r="D260" t="s">
        <v>323</v>
      </c>
      <c r="E260" t="s">
        <v>545</v>
      </c>
      <c r="F260" t="s">
        <v>324</v>
      </c>
      <c r="G260" t="s">
        <v>504</v>
      </c>
      <c r="H260" s="47">
        <v>46300</v>
      </c>
      <c r="I260" s="98">
        <v>24000</v>
      </c>
      <c r="J260" s="98">
        <v>23557.98</v>
      </c>
      <c r="K260" s="51">
        <v>12428.09</v>
      </c>
      <c r="L260" s="42">
        <f t="shared" si="92"/>
        <v>0.98158250000000002</v>
      </c>
      <c r="M260" s="13">
        <f t="shared" si="93"/>
        <v>0.50881166306695469</v>
      </c>
      <c r="N260" s="13">
        <f t="shared" si="94"/>
        <v>1.8955430802319584</v>
      </c>
      <c r="O260" s="97">
        <f t="shared" si="95"/>
        <v>22742.02</v>
      </c>
      <c r="P260" s="106"/>
      <c r="Q260" s="51">
        <v>6400</v>
      </c>
      <c r="R260">
        <v>6320.37</v>
      </c>
      <c r="S260">
        <v>7547.77</v>
      </c>
      <c r="T260" s="42">
        <f t="shared" ref="T260:T263" si="98">R260/Q260</f>
        <v>0.98755781249999997</v>
      </c>
      <c r="U260" s="13">
        <f t="shared" si="90"/>
        <v>0.13650907127429807</v>
      </c>
      <c r="V260" s="13">
        <f t="shared" ref="V260:V263" si="99">R260/S260</f>
        <v>0.8373824321620823</v>
      </c>
      <c r="W260" s="39">
        <f t="shared" si="91"/>
        <v>39900</v>
      </c>
    </row>
    <row r="261" spans="1:23" x14ac:dyDescent="0.25">
      <c r="A261" s="30" t="s">
        <v>276</v>
      </c>
      <c r="B261" t="s">
        <v>248</v>
      </c>
      <c r="C261" t="s">
        <v>250</v>
      </c>
      <c r="D261" t="s">
        <v>323</v>
      </c>
      <c r="E261" t="s">
        <v>545</v>
      </c>
      <c r="F261" t="s">
        <v>324</v>
      </c>
      <c r="G261" t="s">
        <v>505</v>
      </c>
      <c r="H261" s="47">
        <v>123000</v>
      </c>
      <c r="I261" s="98">
        <v>115000</v>
      </c>
      <c r="J261" s="98">
        <v>100970.85</v>
      </c>
      <c r="K261" s="51">
        <v>24602.9</v>
      </c>
      <c r="L261" s="42">
        <f t="shared" si="92"/>
        <v>0.87800739130434791</v>
      </c>
      <c r="M261" s="13">
        <f t="shared" si="93"/>
        <v>0.82090121951219519</v>
      </c>
      <c r="N261" s="13">
        <f t="shared" si="94"/>
        <v>4.1040222900552372</v>
      </c>
      <c r="O261" s="97">
        <f t="shared" si="95"/>
        <v>22029.149999999994</v>
      </c>
      <c r="P261" s="106"/>
      <c r="Q261" s="51">
        <v>77200</v>
      </c>
      <c r="R261">
        <v>77166.28</v>
      </c>
      <c r="S261">
        <v>12060.42</v>
      </c>
      <c r="T261" s="42">
        <f t="shared" si="98"/>
        <v>0.99956321243523316</v>
      </c>
      <c r="U261" s="13">
        <f t="shared" si="90"/>
        <v>0.62736813008130077</v>
      </c>
      <c r="V261" s="13">
        <f t="shared" si="99"/>
        <v>6.3983078532920077</v>
      </c>
      <c r="W261" s="39">
        <f t="shared" si="91"/>
        <v>45800</v>
      </c>
    </row>
    <row r="262" spans="1:23" x14ac:dyDescent="0.25">
      <c r="A262" s="30" t="s">
        <v>276</v>
      </c>
      <c r="B262" t="s">
        <v>259</v>
      </c>
      <c r="C262" t="s">
        <v>261</v>
      </c>
      <c r="D262" t="s">
        <v>323</v>
      </c>
      <c r="E262" t="s">
        <v>545</v>
      </c>
      <c r="F262" t="s">
        <v>324</v>
      </c>
      <c r="G262" t="s">
        <v>506</v>
      </c>
      <c r="H262" s="47">
        <v>63800</v>
      </c>
      <c r="I262" s="98">
        <v>35000</v>
      </c>
      <c r="J262" s="98">
        <v>32707.42</v>
      </c>
      <c r="K262" s="51">
        <v>28484.77</v>
      </c>
      <c r="L262" s="42">
        <f t="shared" si="92"/>
        <v>0.93449771428571426</v>
      </c>
      <c r="M262" s="13">
        <f t="shared" si="93"/>
        <v>0.51265548589341692</v>
      </c>
      <c r="N262" s="13">
        <f t="shared" si="94"/>
        <v>1.148242376540165</v>
      </c>
      <c r="O262" s="97">
        <f t="shared" si="95"/>
        <v>31092.58</v>
      </c>
      <c r="P262" s="106"/>
      <c r="Q262" s="51">
        <v>14700</v>
      </c>
      <c r="R262">
        <v>14662.83</v>
      </c>
      <c r="S262">
        <v>4088.6</v>
      </c>
      <c r="T262" s="42">
        <f t="shared" si="98"/>
        <v>0.99747142857142856</v>
      </c>
      <c r="U262" s="13">
        <f t="shared" si="90"/>
        <v>0.22982492163009405</v>
      </c>
      <c r="V262" s="13">
        <f t="shared" si="99"/>
        <v>3.58627158440542</v>
      </c>
      <c r="W262" s="39">
        <f t="shared" si="91"/>
        <v>49100</v>
      </c>
    </row>
    <row r="263" spans="1:23" x14ac:dyDescent="0.25">
      <c r="A263" s="30" t="s">
        <v>276</v>
      </c>
      <c r="B263" t="s">
        <v>268</v>
      </c>
      <c r="C263" t="s">
        <v>270</v>
      </c>
      <c r="D263" t="s">
        <v>323</v>
      </c>
      <c r="E263" t="s">
        <v>545</v>
      </c>
      <c r="F263" t="s">
        <v>324</v>
      </c>
      <c r="G263" t="s">
        <v>507</v>
      </c>
      <c r="H263" s="47">
        <v>31800</v>
      </c>
      <c r="I263" s="98">
        <v>20000</v>
      </c>
      <c r="J263" s="98">
        <v>17778.46</v>
      </c>
      <c r="K263" s="51">
        <v>20308.04</v>
      </c>
      <c r="L263" s="42">
        <f t="shared" si="92"/>
        <v>0.88892299999999991</v>
      </c>
      <c r="M263" s="13">
        <f t="shared" si="93"/>
        <v>0.55907106918238991</v>
      </c>
      <c r="N263" s="13">
        <f t="shared" si="94"/>
        <v>0.87543948111191416</v>
      </c>
      <c r="O263" s="97">
        <f t="shared" si="95"/>
        <v>14021.54</v>
      </c>
      <c r="P263" s="106"/>
      <c r="Q263" s="51">
        <v>5200</v>
      </c>
      <c r="R263">
        <v>5122.62</v>
      </c>
      <c r="S263">
        <v>6841.24</v>
      </c>
      <c r="T263" s="42">
        <f t="shared" si="98"/>
        <v>0.9851192307692308</v>
      </c>
      <c r="U263" s="13">
        <f t="shared" si="90"/>
        <v>0.16108867924528303</v>
      </c>
      <c r="V263" s="13">
        <f t="shared" si="99"/>
        <v>0.74878530792663323</v>
      </c>
      <c r="W263" s="39">
        <f t="shared" si="91"/>
        <v>26600</v>
      </c>
    </row>
    <row r="264" spans="1:23" x14ac:dyDescent="0.25">
      <c r="A264" s="30" t="s">
        <v>276</v>
      </c>
      <c r="B264" t="s">
        <v>295</v>
      </c>
      <c r="C264" t="s">
        <v>296</v>
      </c>
      <c r="D264" t="s">
        <v>319</v>
      </c>
      <c r="E264" s="30" t="s">
        <v>553</v>
      </c>
      <c r="F264" t="s">
        <v>320</v>
      </c>
      <c r="G264" t="s">
        <v>460</v>
      </c>
      <c r="H264" s="47">
        <v>24560000</v>
      </c>
      <c r="I264" s="12">
        <v>13500000</v>
      </c>
      <c r="J264" s="56">
        <v>12231429.279999999</v>
      </c>
      <c r="K264" s="56">
        <v>11635486.27</v>
      </c>
      <c r="L264" s="42">
        <f t="shared" ref="L264:L269" si="100">J264/I264</f>
        <v>0.90603179851851845</v>
      </c>
      <c r="M264" s="13">
        <f t="shared" ref="M264:M269" si="101">J264/H264</f>
        <v>0.49802236482084689</v>
      </c>
      <c r="N264" s="13">
        <f t="shared" ref="N264:N269" si="102">J264/K264</f>
        <v>1.0512177141694998</v>
      </c>
      <c r="O264" s="97">
        <f t="shared" ref="O264:O269" si="103">H264-J264</f>
        <v>12328570.720000001</v>
      </c>
      <c r="P264" s="106"/>
      <c r="Q264" s="12">
        <v>6000000</v>
      </c>
      <c r="R264" s="12">
        <v>5865128.8300000001</v>
      </c>
      <c r="S264" s="12">
        <v>5828867.25</v>
      </c>
      <c r="T264" s="42">
        <f t="shared" ref="T264" si="104">R264/Q264</f>
        <v>0.9775214716666667</v>
      </c>
      <c r="U264" s="13">
        <f t="shared" si="90"/>
        <v>0.23880817711726385</v>
      </c>
      <c r="V264" s="13">
        <f t="shared" ref="V264" si="105">R264/S264</f>
        <v>1.0062210337694686</v>
      </c>
      <c r="W264" s="39">
        <f t="shared" si="91"/>
        <v>18560000</v>
      </c>
    </row>
    <row r="265" spans="1:23" s="18" customFormat="1" ht="15" customHeight="1" x14ac:dyDescent="0.25">
      <c r="A265" s="30" t="s">
        <v>276</v>
      </c>
      <c r="B265" t="s">
        <v>295</v>
      </c>
      <c r="C265" t="s">
        <v>296</v>
      </c>
      <c r="D265" t="s">
        <v>317</v>
      </c>
      <c r="E265" s="30" t="s">
        <v>554</v>
      </c>
      <c r="F265" t="s">
        <v>318</v>
      </c>
      <c r="G265" t="s">
        <v>460</v>
      </c>
      <c r="H265" s="47">
        <v>3000</v>
      </c>
      <c r="I265" s="56">
        <v>2500</v>
      </c>
      <c r="J265" s="56">
        <v>2273.81</v>
      </c>
      <c r="K265" s="56">
        <v>0</v>
      </c>
      <c r="L265" s="42">
        <f t="shared" si="100"/>
        <v>0.909524</v>
      </c>
      <c r="M265" s="13">
        <f t="shared" si="101"/>
        <v>0.7579366666666667</v>
      </c>
      <c r="N265" s="13" t="e">
        <f t="shared" si="102"/>
        <v>#DIV/0!</v>
      </c>
      <c r="O265" s="97">
        <f t="shared" si="103"/>
        <v>726.19</v>
      </c>
      <c r="P265" s="106"/>
      <c r="Q265" s="12">
        <v>0</v>
      </c>
      <c r="R265"/>
      <c r="S265"/>
      <c r="T265" s="44"/>
    </row>
    <row r="266" spans="1:23" x14ac:dyDescent="0.25">
      <c r="A266" s="30" t="s">
        <v>276</v>
      </c>
      <c r="B266" t="s">
        <v>341</v>
      </c>
      <c r="C266" t="s">
        <v>342</v>
      </c>
      <c r="D266" t="s">
        <v>317</v>
      </c>
      <c r="E266" s="30" t="s">
        <v>554</v>
      </c>
      <c r="F266" t="s">
        <v>318</v>
      </c>
      <c r="G266" t="s">
        <v>465</v>
      </c>
      <c r="H266" s="47">
        <v>12000</v>
      </c>
      <c r="I266" s="56">
        <v>0</v>
      </c>
      <c r="J266" s="56">
        <v>0</v>
      </c>
      <c r="K266" s="56">
        <v>0</v>
      </c>
      <c r="L266" s="42" t="e">
        <f t="shared" si="100"/>
        <v>#DIV/0!</v>
      </c>
      <c r="M266" s="13">
        <f t="shared" si="101"/>
        <v>0</v>
      </c>
      <c r="N266" s="13" t="e">
        <f t="shared" si="102"/>
        <v>#DIV/0!</v>
      </c>
      <c r="O266" s="97">
        <f t="shared" si="103"/>
        <v>12000</v>
      </c>
      <c r="P266" s="106"/>
      <c r="Q266" s="12">
        <v>0</v>
      </c>
    </row>
    <row r="267" spans="1:23" x14ac:dyDescent="0.25">
      <c r="A267" s="30" t="s">
        <v>276</v>
      </c>
      <c r="B267" t="s">
        <v>333</v>
      </c>
      <c r="C267" t="s">
        <v>334</v>
      </c>
      <c r="D267" t="s">
        <v>337</v>
      </c>
      <c r="E267" s="30" t="s">
        <v>554</v>
      </c>
      <c r="F267" t="s">
        <v>338</v>
      </c>
      <c r="G267" t="s">
        <v>463</v>
      </c>
      <c r="H267" s="47">
        <v>25000</v>
      </c>
      <c r="I267" s="103">
        <v>0</v>
      </c>
      <c r="J267" s="56">
        <v>0</v>
      </c>
      <c r="K267" s="56">
        <v>0</v>
      </c>
      <c r="L267" s="42" t="e">
        <f t="shared" si="100"/>
        <v>#DIV/0!</v>
      </c>
      <c r="M267" s="13">
        <f t="shared" si="101"/>
        <v>0</v>
      </c>
      <c r="N267" s="13" t="e">
        <f t="shared" si="102"/>
        <v>#DIV/0!</v>
      </c>
      <c r="O267" s="97">
        <f t="shared" si="103"/>
        <v>25000</v>
      </c>
      <c r="P267" s="106"/>
      <c r="Q267" s="12">
        <v>0</v>
      </c>
    </row>
    <row r="268" spans="1:23" ht="13" thickBot="1" x14ac:dyDescent="0.3">
      <c r="A268" s="111" t="s">
        <v>276</v>
      </c>
      <c r="B268" s="112" t="s">
        <v>744</v>
      </c>
      <c r="C268" s="111" t="s">
        <v>871</v>
      </c>
      <c r="D268" s="111" t="s">
        <v>869</v>
      </c>
      <c r="E268" s="111" t="s">
        <v>871</v>
      </c>
      <c r="F268" s="111" t="s">
        <v>871</v>
      </c>
      <c r="G268" s="111" t="s">
        <v>870</v>
      </c>
      <c r="H268" s="113">
        <v>5650000</v>
      </c>
      <c r="I268" s="103"/>
      <c r="J268" s="56"/>
      <c r="K268" s="56"/>
      <c r="L268" s="42"/>
      <c r="M268" s="13"/>
      <c r="N268" s="13"/>
      <c r="O268" s="97"/>
      <c r="P268" s="106"/>
      <c r="Q268" s="12"/>
    </row>
    <row r="269" spans="1:23" ht="13.5" thickBot="1" x14ac:dyDescent="0.3">
      <c r="A269" s="14"/>
      <c r="B269" s="14"/>
      <c r="C269" s="14"/>
      <c r="D269" s="14"/>
      <c r="E269" s="40"/>
      <c r="F269" s="14"/>
      <c r="G269" s="14"/>
      <c r="H269" s="48">
        <f>SUM(H2:H268)</f>
        <v>189000000</v>
      </c>
      <c r="I269" s="104">
        <f t="shared" ref="I269:K269" si="106">SUM(I2:I268)</f>
        <v>78853000</v>
      </c>
      <c r="J269" s="104">
        <f t="shared" si="106"/>
        <v>72733800.339999974</v>
      </c>
      <c r="K269" s="104">
        <f t="shared" si="106"/>
        <v>68704605.370000035</v>
      </c>
      <c r="L269" s="101">
        <f t="shared" si="100"/>
        <v>0.9223973766375404</v>
      </c>
      <c r="M269" s="99">
        <f t="shared" si="101"/>
        <v>0.3848349224338623</v>
      </c>
      <c r="N269" s="99">
        <f t="shared" si="102"/>
        <v>1.0586451948643212</v>
      </c>
      <c r="O269" s="100">
        <f t="shared" si="103"/>
        <v>116266199.66000003</v>
      </c>
      <c r="P269" s="107"/>
      <c r="Q269" s="104">
        <f>SUM(Q2:Q267)</f>
        <v>39205700</v>
      </c>
      <c r="R269" s="104">
        <f>SUM(R2:R267)</f>
        <v>35170017.259999998</v>
      </c>
      <c r="S269" s="104">
        <f>SUM(S2:S267)</f>
        <v>32782537.080000002</v>
      </c>
      <c r="T269" s="53">
        <f>R269/Q269</f>
        <v>0.89706387744639171</v>
      </c>
      <c r="U269" s="36">
        <f>R269/H269</f>
        <v>0.18608474740740741</v>
      </c>
      <c r="V269" s="36">
        <f>R269/S269</f>
        <v>1.0728278038448877</v>
      </c>
      <c r="W269" s="48">
        <f>H269-Q269</f>
        <v>149794300</v>
      </c>
    </row>
    <row r="270" spans="1:23" ht="13" thickTop="1" x14ac:dyDescent="0.25">
      <c r="H270" s="39">
        <f>H269-H268</f>
        <v>183350000</v>
      </c>
      <c r="Q270" s="12">
        <v>39205700</v>
      </c>
      <c r="R270" s="12">
        <v>35170017.259999998</v>
      </c>
      <c r="S270" s="12">
        <v>32782537.080000002</v>
      </c>
      <c r="T270" s="13">
        <v>0.89706387744639171</v>
      </c>
      <c r="U270" s="13">
        <v>0.18608474740740741</v>
      </c>
      <c r="V270" s="13">
        <v>1.0728278038448877</v>
      </c>
      <c r="W270" s="12">
        <v>149794300</v>
      </c>
    </row>
    <row r="271" spans="1:23" x14ac:dyDescent="0.25">
      <c r="H271" s="12"/>
      <c r="I271"/>
      <c r="J271"/>
      <c r="K271"/>
      <c r="L271"/>
      <c r="Q271" s="51">
        <f t="shared" ref="Q271:W271" si="107">Q270-Q269</f>
        <v>0</v>
      </c>
      <c r="R271" s="51">
        <f t="shared" si="107"/>
        <v>0</v>
      </c>
      <c r="S271" s="51">
        <f t="shared" si="107"/>
        <v>0</v>
      </c>
      <c r="T271" s="51">
        <f t="shared" si="107"/>
        <v>0</v>
      </c>
      <c r="U271" s="51">
        <f t="shared" si="107"/>
        <v>0</v>
      </c>
      <c r="V271" s="51">
        <f t="shared" si="107"/>
        <v>0</v>
      </c>
      <c r="W271" s="51">
        <f t="shared" si="107"/>
        <v>0</v>
      </c>
    </row>
    <row r="274" spans="17:17" x14ac:dyDescent="0.25">
      <c r="Q274" s="39"/>
    </row>
    <row r="275" spans="17:17" x14ac:dyDescent="0.25">
      <c r="Q275" s="39"/>
    </row>
    <row r="276" spans="17:17" x14ac:dyDescent="0.25">
      <c r="Q276" s="39"/>
    </row>
    <row r="277" spans="17:17" x14ac:dyDescent="0.25">
      <c r="Q277" s="39"/>
    </row>
  </sheetData>
  <autoFilter ref="A1:W271" xr:uid="{5E7938C0-7DD8-4DFC-A11A-A6DA9C38F4F9}"/>
  <sortState xmlns:xlrd2="http://schemas.microsoft.com/office/spreadsheetml/2017/richdata2" ref="A2:R269">
    <sortCondition ref="B2:B269"/>
  </sortState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5845-85E5-4747-A6D2-058442B662F3}">
  <sheetPr>
    <tabColor rgb="FF92D050"/>
  </sheetPr>
  <dimension ref="A1:AB70"/>
  <sheetViews>
    <sheetView topLeftCell="A56" zoomScale="70" zoomScaleNormal="70" workbookViewId="0">
      <selection activeCell="L76" sqref="L76"/>
    </sheetView>
  </sheetViews>
  <sheetFormatPr defaultRowHeight="12.5" x14ac:dyDescent="0.25"/>
  <cols>
    <col min="1" max="1" width="5.26953125" bestFit="1" customWidth="1"/>
    <col min="2" max="2" width="8.81640625" bestFit="1" customWidth="1"/>
    <col min="3" max="3" width="17.1796875" customWidth="1"/>
    <col min="4" max="4" width="14.90625" bestFit="1" customWidth="1"/>
    <col min="5" max="5" width="11.453125" customWidth="1"/>
    <col min="6" max="6" width="10.6328125" customWidth="1"/>
    <col min="7" max="7" width="7.90625" customWidth="1"/>
    <col min="8" max="8" width="24.6328125" bestFit="1" customWidth="1"/>
    <col min="9" max="9" width="7" customWidth="1"/>
    <col min="10" max="10" width="15.26953125" customWidth="1"/>
    <col min="11" max="13" width="15.26953125" style="12" customWidth="1"/>
    <col min="14" max="17" width="15.26953125" customWidth="1"/>
    <col min="18" max="18" width="11.08984375" style="18" customWidth="1"/>
    <col min="19" max="20" width="13.08984375" bestFit="1" customWidth="1"/>
    <col min="21" max="21" width="14.54296875" style="12" customWidth="1"/>
    <col min="22" max="22" width="10.1796875" customWidth="1"/>
    <col min="23" max="23" width="10.54296875" customWidth="1"/>
    <col min="24" max="24" width="10" customWidth="1"/>
    <col min="25" max="25" width="11.26953125" customWidth="1"/>
    <col min="26" max="28" width="8.7265625" style="14"/>
  </cols>
  <sheetData>
    <row r="1" spans="1:28" ht="37.5" customHeight="1" x14ac:dyDescent="0.25">
      <c r="A1" s="1" t="s">
        <v>438</v>
      </c>
      <c r="B1" s="11" t="s">
        <v>439</v>
      </c>
      <c r="C1" s="11" t="s">
        <v>446</v>
      </c>
      <c r="D1" s="74" t="s">
        <v>440</v>
      </c>
      <c r="E1" s="75" t="s">
        <v>654</v>
      </c>
      <c r="F1" s="80" t="s">
        <v>514</v>
      </c>
      <c r="G1" s="1" t="s">
        <v>447</v>
      </c>
      <c r="H1" s="1" t="s">
        <v>448</v>
      </c>
      <c r="I1" s="24" t="s">
        <v>453</v>
      </c>
      <c r="J1" s="46" t="s">
        <v>508</v>
      </c>
      <c r="K1" s="25" t="s">
        <v>840</v>
      </c>
      <c r="L1" s="25" t="s">
        <v>841</v>
      </c>
      <c r="M1" s="78" t="s">
        <v>842</v>
      </c>
      <c r="N1" s="24" t="s">
        <v>843</v>
      </c>
      <c r="O1" s="24" t="s">
        <v>510</v>
      </c>
      <c r="P1" s="25" t="s">
        <v>511</v>
      </c>
      <c r="Q1" s="46" t="s">
        <v>536</v>
      </c>
      <c r="R1" s="129"/>
      <c r="S1" s="25" t="s">
        <v>655</v>
      </c>
      <c r="T1" s="24" t="s">
        <v>509</v>
      </c>
      <c r="U1" s="78" t="s">
        <v>728</v>
      </c>
      <c r="V1" s="41" t="s">
        <v>513</v>
      </c>
      <c r="W1" s="24" t="s">
        <v>510</v>
      </c>
      <c r="X1" s="24" t="s">
        <v>511</v>
      </c>
      <c r="Y1" s="25" t="s">
        <v>536</v>
      </c>
      <c r="Z1" s="16"/>
      <c r="AA1" s="16"/>
      <c r="AB1" s="16"/>
    </row>
    <row r="2" spans="1:28" x14ac:dyDescent="0.25">
      <c r="A2" t="s">
        <v>276</v>
      </c>
      <c r="B2" t="s">
        <v>341</v>
      </c>
      <c r="C2" t="s">
        <v>342</v>
      </c>
      <c r="D2" t="s">
        <v>3</v>
      </c>
      <c r="F2" s="30" t="s">
        <v>656</v>
      </c>
      <c r="G2" t="s">
        <v>297</v>
      </c>
      <c r="H2" t="s">
        <v>298</v>
      </c>
      <c r="I2" s="30" t="s">
        <v>465</v>
      </c>
      <c r="J2" s="2">
        <v>1400000</v>
      </c>
      <c r="K2" s="12">
        <v>651000</v>
      </c>
      <c r="L2" s="56">
        <v>568500</v>
      </c>
      <c r="M2" s="12">
        <v>331944</v>
      </c>
      <c r="N2" s="42">
        <f t="shared" ref="N2:N25" si="0">L2/K2</f>
        <v>0.87327188940092171</v>
      </c>
      <c r="O2" s="13">
        <f>L2/J2</f>
        <v>0.40607142857142858</v>
      </c>
      <c r="P2" s="13">
        <f>L2/M2</f>
        <v>1.7126382763357675</v>
      </c>
      <c r="Q2" s="51">
        <f>J2-L2</f>
        <v>831500</v>
      </c>
      <c r="R2" s="58"/>
      <c r="V2" s="42" t="e">
        <f t="shared" ref="V2" si="1">T2/S2</f>
        <v>#DIV/0!</v>
      </c>
      <c r="W2" s="13">
        <f t="shared" ref="W2:W24" si="2">T2/J2</f>
        <v>0</v>
      </c>
      <c r="X2" s="13" t="e">
        <f t="shared" ref="X2" si="3">T2/U2</f>
        <v>#DIV/0!</v>
      </c>
      <c r="Y2" s="39">
        <f t="shared" ref="Y2:Y24" si="4">J2-S2</f>
        <v>1400000</v>
      </c>
    </row>
    <row r="3" spans="1:28" x14ac:dyDescent="0.25">
      <c r="A3" t="s">
        <v>276</v>
      </c>
      <c r="B3" t="s">
        <v>341</v>
      </c>
      <c r="C3" t="s">
        <v>342</v>
      </c>
      <c r="D3" t="s">
        <v>3</v>
      </c>
      <c r="F3" s="30" t="s">
        <v>657</v>
      </c>
      <c r="G3" t="s">
        <v>299</v>
      </c>
      <c r="H3" t="s">
        <v>300</v>
      </c>
      <c r="I3" s="82" t="s">
        <v>465</v>
      </c>
      <c r="J3" s="2">
        <v>544900</v>
      </c>
      <c r="K3" s="12">
        <v>82600</v>
      </c>
      <c r="L3" s="66">
        <v>70357</v>
      </c>
      <c r="M3" s="12">
        <v>299013.2</v>
      </c>
      <c r="N3" s="42">
        <f t="shared" si="0"/>
        <v>0.85177966101694913</v>
      </c>
      <c r="O3" s="13">
        <f t="shared" ref="O3:O25" si="5">L3/J3</f>
        <v>0.12911910442282987</v>
      </c>
      <c r="P3" s="13">
        <f t="shared" ref="P3:P25" si="6">L3/M3</f>
        <v>0.23529730460059955</v>
      </c>
      <c r="Q3" s="51">
        <f t="shared" ref="Q3:Q25" si="7">J3-L3</f>
        <v>474543</v>
      </c>
      <c r="R3" s="58"/>
      <c r="S3" s="12">
        <v>3900</v>
      </c>
      <c r="V3" s="42">
        <f t="shared" ref="V3:V24" si="8">T3/S3</f>
        <v>0</v>
      </c>
      <c r="W3" s="13">
        <f t="shared" si="2"/>
        <v>0</v>
      </c>
      <c r="X3" s="13" t="e">
        <f t="shared" ref="X3:X24" si="9">T3/U3</f>
        <v>#DIV/0!</v>
      </c>
      <c r="Y3" s="39">
        <f t="shared" si="4"/>
        <v>541000</v>
      </c>
    </row>
    <row r="4" spans="1:28" x14ac:dyDescent="0.25">
      <c r="A4" t="s">
        <v>276</v>
      </c>
      <c r="B4" t="s">
        <v>110</v>
      </c>
      <c r="C4" t="s">
        <v>112</v>
      </c>
      <c r="D4" t="s">
        <v>3</v>
      </c>
      <c r="F4" s="30" t="s">
        <v>657</v>
      </c>
      <c r="G4" t="s">
        <v>299</v>
      </c>
      <c r="H4" t="s">
        <v>300</v>
      </c>
      <c r="I4" t="s">
        <v>487</v>
      </c>
      <c r="J4" s="2">
        <v>25400</v>
      </c>
      <c r="K4" s="12">
        <v>25400</v>
      </c>
      <c r="L4" s="66">
        <v>25325</v>
      </c>
      <c r="N4" s="42">
        <f t="shared" si="0"/>
        <v>0.99704724409448819</v>
      </c>
      <c r="O4" s="13">
        <f t="shared" si="5"/>
        <v>0.99704724409448819</v>
      </c>
      <c r="P4" s="13" t="e">
        <f t="shared" si="6"/>
        <v>#DIV/0!</v>
      </c>
      <c r="Q4" s="51">
        <f t="shared" si="7"/>
        <v>75</v>
      </c>
      <c r="R4" s="58"/>
      <c r="S4" s="12"/>
      <c r="V4" s="42" t="e">
        <f t="shared" si="8"/>
        <v>#DIV/0!</v>
      </c>
      <c r="W4" s="13">
        <f t="shared" si="2"/>
        <v>0</v>
      </c>
      <c r="X4" s="13" t="e">
        <f t="shared" si="9"/>
        <v>#DIV/0!</v>
      </c>
      <c r="Y4" s="39">
        <f t="shared" si="4"/>
        <v>25400</v>
      </c>
    </row>
    <row r="5" spans="1:28" x14ac:dyDescent="0.25">
      <c r="A5" t="s">
        <v>276</v>
      </c>
      <c r="B5" t="s">
        <v>119</v>
      </c>
      <c r="C5" t="s">
        <v>121</v>
      </c>
      <c r="D5" t="s">
        <v>3</v>
      </c>
      <c r="F5" s="30" t="s">
        <v>657</v>
      </c>
      <c r="G5" t="s">
        <v>299</v>
      </c>
      <c r="H5" t="s">
        <v>300</v>
      </c>
      <c r="I5" t="s">
        <v>488</v>
      </c>
      <c r="J5" s="2">
        <v>89500</v>
      </c>
      <c r="K5" s="12">
        <v>20000</v>
      </c>
      <c r="L5" s="66">
        <v>16263.8</v>
      </c>
      <c r="N5" s="42">
        <f t="shared" si="0"/>
        <v>0.81318999999999997</v>
      </c>
      <c r="O5" s="13">
        <f t="shared" si="5"/>
        <v>0.18171843575418994</v>
      </c>
      <c r="P5" s="13" t="e">
        <f t="shared" si="6"/>
        <v>#DIV/0!</v>
      </c>
      <c r="Q5" s="51">
        <f t="shared" si="7"/>
        <v>73236.2</v>
      </c>
      <c r="R5" s="58"/>
      <c r="S5" s="12"/>
      <c r="V5" s="42" t="e">
        <f t="shared" si="8"/>
        <v>#DIV/0!</v>
      </c>
      <c r="W5" s="13">
        <f t="shared" si="2"/>
        <v>0</v>
      </c>
      <c r="X5" s="13" t="e">
        <f t="shared" si="9"/>
        <v>#DIV/0!</v>
      </c>
      <c r="Y5" s="39">
        <f t="shared" si="4"/>
        <v>89500</v>
      </c>
    </row>
    <row r="6" spans="1:28" x14ac:dyDescent="0.25">
      <c r="A6" t="s">
        <v>276</v>
      </c>
      <c r="B6" t="s">
        <v>127</v>
      </c>
      <c r="C6" t="s">
        <v>128</v>
      </c>
      <c r="D6" t="s">
        <v>3</v>
      </c>
      <c r="F6" s="30" t="s">
        <v>657</v>
      </c>
      <c r="G6" t="s">
        <v>299</v>
      </c>
      <c r="H6" t="s">
        <v>300</v>
      </c>
      <c r="I6" t="s">
        <v>489</v>
      </c>
      <c r="J6" s="2">
        <v>12000</v>
      </c>
      <c r="L6" s="66">
        <v>0</v>
      </c>
      <c r="N6" s="42" t="e">
        <f t="shared" si="0"/>
        <v>#DIV/0!</v>
      </c>
      <c r="O6" s="13">
        <f t="shared" si="5"/>
        <v>0</v>
      </c>
      <c r="P6" s="13" t="e">
        <f t="shared" si="6"/>
        <v>#DIV/0!</v>
      </c>
      <c r="Q6" s="51">
        <f t="shared" si="7"/>
        <v>12000</v>
      </c>
      <c r="R6" s="58"/>
      <c r="S6" s="12"/>
      <c r="V6" s="42" t="e">
        <f t="shared" si="8"/>
        <v>#DIV/0!</v>
      </c>
      <c r="W6" s="13">
        <f t="shared" si="2"/>
        <v>0</v>
      </c>
      <c r="X6" s="13" t="e">
        <f t="shared" si="9"/>
        <v>#DIV/0!</v>
      </c>
      <c r="Y6" s="39">
        <f t="shared" si="4"/>
        <v>12000</v>
      </c>
    </row>
    <row r="7" spans="1:28" x14ac:dyDescent="0.25">
      <c r="A7" t="s">
        <v>276</v>
      </c>
      <c r="B7" t="s">
        <v>135</v>
      </c>
      <c r="C7" t="s">
        <v>137</v>
      </c>
      <c r="D7" t="s">
        <v>3</v>
      </c>
      <c r="F7" s="30" t="s">
        <v>657</v>
      </c>
      <c r="G7" t="s">
        <v>299</v>
      </c>
      <c r="H7" t="s">
        <v>300</v>
      </c>
      <c r="I7" t="s">
        <v>490</v>
      </c>
      <c r="J7" s="2">
        <v>35000</v>
      </c>
      <c r="L7" s="66">
        <v>0</v>
      </c>
      <c r="N7" s="42" t="e">
        <f t="shared" si="0"/>
        <v>#DIV/0!</v>
      </c>
      <c r="O7" s="13">
        <f t="shared" si="5"/>
        <v>0</v>
      </c>
      <c r="P7" s="13" t="e">
        <f t="shared" si="6"/>
        <v>#DIV/0!</v>
      </c>
      <c r="Q7" s="51">
        <f t="shared" si="7"/>
        <v>35000</v>
      </c>
      <c r="R7" s="58"/>
      <c r="S7" s="12"/>
      <c r="V7" s="42" t="e">
        <f t="shared" si="8"/>
        <v>#DIV/0!</v>
      </c>
      <c r="W7" s="13">
        <f t="shared" si="2"/>
        <v>0</v>
      </c>
      <c r="X7" s="13" t="e">
        <f t="shared" si="9"/>
        <v>#DIV/0!</v>
      </c>
      <c r="Y7" s="39">
        <f t="shared" si="4"/>
        <v>35000</v>
      </c>
    </row>
    <row r="8" spans="1:28" x14ac:dyDescent="0.25">
      <c r="A8" t="s">
        <v>276</v>
      </c>
      <c r="B8" t="s">
        <v>143</v>
      </c>
      <c r="C8" t="s">
        <v>145</v>
      </c>
      <c r="D8" t="s">
        <v>3</v>
      </c>
      <c r="F8" s="30" t="s">
        <v>657</v>
      </c>
      <c r="G8" t="s">
        <v>299</v>
      </c>
      <c r="H8" t="s">
        <v>300</v>
      </c>
      <c r="I8" t="s">
        <v>491</v>
      </c>
      <c r="J8" s="2">
        <v>13000</v>
      </c>
      <c r="L8" s="66">
        <v>0</v>
      </c>
      <c r="N8" s="42" t="e">
        <f t="shared" si="0"/>
        <v>#DIV/0!</v>
      </c>
      <c r="O8" s="13">
        <f t="shared" si="5"/>
        <v>0</v>
      </c>
      <c r="P8" s="13" t="e">
        <f t="shared" si="6"/>
        <v>#DIV/0!</v>
      </c>
      <c r="Q8" s="51">
        <f t="shared" si="7"/>
        <v>13000</v>
      </c>
      <c r="R8" s="58"/>
      <c r="S8" s="12"/>
      <c r="V8" s="42" t="e">
        <f t="shared" si="8"/>
        <v>#DIV/0!</v>
      </c>
      <c r="W8" s="13">
        <f t="shared" si="2"/>
        <v>0</v>
      </c>
      <c r="X8" s="13" t="e">
        <f t="shared" si="9"/>
        <v>#DIV/0!</v>
      </c>
      <c r="Y8" s="39">
        <f t="shared" si="4"/>
        <v>13000</v>
      </c>
    </row>
    <row r="9" spans="1:28" x14ac:dyDescent="0.25">
      <c r="A9" t="s">
        <v>276</v>
      </c>
      <c r="B9" t="s">
        <v>151</v>
      </c>
      <c r="C9" t="s">
        <v>153</v>
      </c>
      <c r="D9" t="s">
        <v>3</v>
      </c>
      <c r="F9" s="30" t="s">
        <v>657</v>
      </c>
      <c r="G9" t="s">
        <v>299</v>
      </c>
      <c r="H9" t="s">
        <v>300</v>
      </c>
      <c r="I9" s="81" t="s">
        <v>493</v>
      </c>
      <c r="J9" s="2">
        <v>49600</v>
      </c>
      <c r="K9" s="12">
        <v>35000</v>
      </c>
      <c r="L9" s="66">
        <v>30435</v>
      </c>
      <c r="N9" s="42">
        <f t="shared" si="0"/>
        <v>0.86957142857142855</v>
      </c>
      <c r="O9" s="13">
        <f t="shared" si="5"/>
        <v>0.61360887096774197</v>
      </c>
      <c r="P9" s="13" t="e">
        <f t="shared" si="6"/>
        <v>#DIV/0!</v>
      </c>
      <c r="Q9" s="51">
        <f t="shared" si="7"/>
        <v>19165</v>
      </c>
      <c r="R9" s="58"/>
      <c r="S9" s="12">
        <v>35000</v>
      </c>
      <c r="T9" s="12">
        <v>28235</v>
      </c>
      <c r="V9" s="42">
        <f t="shared" si="8"/>
        <v>0.80671428571428572</v>
      </c>
      <c r="W9" s="13">
        <f t="shared" si="2"/>
        <v>0.56925403225806448</v>
      </c>
      <c r="X9" s="13" t="e">
        <f t="shared" si="9"/>
        <v>#DIV/0!</v>
      </c>
      <c r="Y9" s="39">
        <f t="shared" si="4"/>
        <v>14600</v>
      </c>
    </row>
    <row r="10" spans="1:28" x14ac:dyDescent="0.25">
      <c r="A10" t="s">
        <v>276</v>
      </c>
      <c r="B10" t="s">
        <v>159</v>
      </c>
      <c r="C10" t="s">
        <v>161</v>
      </c>
      <c r="D10" t="s">
        <v>3</v>
      </c>
      <c r="F10" s="30" t="s">
        <v>657</v>
      </c>
      <c r="G10" t="s">
        <v>299</v>
      </c>
      <c r="H10" t="s">
        <v>300</v>
      </c>
      <c r="I10" t="s">
        <v>495</v>
      </c>
      <c r="J10" s="2">
        <v>20000</v>
      </c>
      <c r="L10" s="66">
        <v>0</v>
      </c>
      <c r="N10" s="42" t="e">
        <f t="shared" si="0"/>
        <v>#DIV/0!</v>
      </c>
      <c r="O10" s="13">
        <f t="shared" si="5"/>
        <v>0</v>
      </c>
      <c r="P10" s="13" t="e">
        <f t="shared" si="6"/>
        <v>#DIV/0!</v>
      </c>
      <c r="Q10" s="51">
        <f t="shared" si="7"/>
        <v>20000</v>
      </c>
      <c r="R10" s="58"/>
      <c r="V10" s="42" t="e">
        <f t="shared" si="8"/>
        <v>#DIV/0!</v>
      </c>
      <c r="W10" s="13">
        <f t="shared" si="2"/>
        <v>0</v>
      </c>
      <c r="X10" s="13" t="e">
        <f t="shared" si="9"/>
        <v>#DIV/0!</v>
      </c>
      <c r="Y10" s="39">
        <f t="shared" si="4"/>
        <v>20000</v>
      </c>
    </row>
    <row r="11" spans="1:28" x14ac:dyDescent="0.25">
      <c r="A11" t="s">
        <v>276</v>
      </c>
      <c r="B11" t="s">
        <v>170</v>
      </c>
      <c r="C11" t="s">
        <v>172</v>
      </c>
      <c r="D11" t="s">
        <v>3</v>
      </c>
      <c r="F11" s="30" t="s">
        <v>657</v>
      </c>
      <c r="G11" t="s">
        <v>299</v>
      </c>
      <c r="H11" t="s">
        <v>300</v>
      </c>
      <c r="I11" t="s">
        <v>496</v>
      </c>
      <c r="J11" s="2">
        <v>20000</v>
      </c>
      <c r="K11" s="12">
        <v>20000</v>
      </c>
      <c r="L11" s="66">
        <v>17172</v>
      </c>
      <c r="N11" s="42">
        <f t="shared" si="0"/>
        <v>0.85860000000000003</v>
      </c>
      <c r="O11" s="13">
        <f t="shared" si="5"/>
        <v>0.85860000000000003</v>
      </c>
      <c r="P11" s="13" t="e">
        <f t="shared" si="6"/>
        <v>#DIV/0!</v>
      </c>
      <c r="Q11" s="51">
        <f t="shared" si="7"/>
        <v>2828</v>
      </c>
      <c r="R11" s="58"/>
      <c r="V11" s="42" t="e">
        <f t="shared" si="8"/>
        <v>#DIV/0!</v>
      </c>
      <c r="W11" s="13">
        <f t="shared" si="2"/>
        <v>0</v>
      </c>
      <c r="X11" s="13" t="e">
        <f t="shared" si="9"/>
        <v>#DIV/0!</v>
      </c>
      <c r="Y11" s="39">
        <f t="shared" si="4"/>
        <v>20000</v>
      </c>
    </row>
    <row r="12" spans="1:28" x14ac:dyDescent="0.25">
      <c r="A12" t="s">
        <v>276</v>
      </c>
      <c r="B12" t="s">
        <v>179</v>
      </c>
      <c r="C12" t="s">
        <v>181</v>
      </c>
      <c r="D12" t="s">
        <v>3</v>
      </c>
      <c r="F12" s="30" t="s">
        <v>657</v>
      </c>
      <c r="G12" t="s">
        <v>299</v>
      </c>
      <c r="H12" t="s">
        <v>300</v>
      </c>
      <c r="I12" t="s">
        <v>497</v>
      </c>
      <c r="J12" s="2">
        <v>13000</v>
      </c>
      <c r="K12" s="12">
        <v>13000</v>
      </c>
      <c r="L12" s="66">
        <v>13000</v>
      </c>
      <c r="N12" s="42">
        <f t="shared" si="0"/>
        <v>1</v>
      </c>
      <c r="O12" s="13">
        <f t="shared" si="5"/>
        <v>1</v>
      </c>
      <c r="P12" s="13" t="e">
        <f t="shared" si="6"/>
        <v>#DIV/0!</v>
      </c>
      <c r="Q12" s="51">
        <f t="shared" si="7"/>
        <v>0</v>
      </c>
      <c r="R12" s="58"/>
      <c r="V12" s="42" t="e">
        <f t="shared" si="8"/>
        <v>#DIV/0!</v>
      </c>
      <c r="W12" s="13">
        <f t="shared" si="2"/>
        <v>0</v>
      </c>
      <c r="X12" s="13" t="e">
        <f t="shared" si="9"/>
        <v>#DIV/0!</v>
      </c>
      <c r="Y12" s="39">
        <f t="shared" si="4"/>
        <v>13000</v>
      </c>
    </row>
    <row r="13" spans="1:28" x14ac:dyDescent="0.25">
      <c r="A13" t="s">
        <v>276</v>
      </c>
      <c r="B13" t="s">
        <v>198</v>
      </c>
      <c r="C13" t="s">
        <v>200</v>
      </c>
      <c r="D13" t="s">
        <v>3</v>
      </c>
      <c r="F13" s="30" t="s">
        <v>657</v>
      </c>
      <c r="G13" t="s">
        <v>299</v>
      </c>
      <c r="H13" t="s">
        <v>300</v>
      </c>
      <c r="I13" s="81" t="s">
        <v>499</v>
      </c>
      <c r="J13" s="2">
        <v>30000</v>
      </c>
      <c r="K13" s="12">
        <v>30000</v>
      </c>
      <c r="L13" s="66">
        <v>24246.9</v>
      </c>
      <c r="N13" s="42">
        <f t="shared" si="0"/>
        <v>0.80823</v>
      </c>
      <c r="O13" s="13">
        <f t="shared" si="5"/>
        <v>0.80823</v>
      </c>
      <c r="P13" s="13" t="e">
        <f t="shared" si="6"/>
        <v>#DIV/0!</v>
      </c>
      <c r="Q13" s="51">
        <f t="shared" si="7"/>
        <v>5753.0999999999985</v>
      </c>
      <c r="R13" s="58"/>
      <c r="U13" s="12">
        <v>11210</v>
      </c>
      <c r="V13" s="42" t="e">
        <f t="shared" si="8"/>
        <v>#DIV/0!</v>
      </c>
      <c r="W13" s="13">
        <f t="shared" si="2"/>
        <v>0</v>
      </c>
      <c r="X13" s="13">
        <f t="shared" si="9"/>
        <v>0</v>
      </c>
      <c r="Y13" s="39">
        <f t="shared" si="4"/>
        <v>30000</v>
      </c>
    </row>
    <row r="14" spans="1:28" x14ac:dyDescent="0.25">
      <c r="A14" t="s">
        <v>276</v>
      </c>
      <c r="B14" t="s">
        <v>214</v>
      </c>
      <c r="C14" t="s">
        <v>216</v>
      </c>
      <c r="D14" t="s">
        <v>3</v>
      </c>
      <c r="F14" s="30" t="s">
        <v>657</v>
      </c>
      <c r="G14" t="s">
        <v>299</v>
      </c>
      <c r="H14" t="s">
        <v>300</v>
      </c>
      <c r="I14" t="s">
        <v>501</v>
      </c>
      <c r="J14" s="2">
        <v>3000</v>
      </c>
      <c r="L14" s="66">
        <v>0</v>
      </c>
      <c r="N14" s="42" t="e">
        <f t="shared" si="0"/>
        <v>#DIV/0!</v>
      </c>
      <c r="O14" s="13">
        <f t="shared" si="5"/>
        <v>0</v>
      </c>
      <c r="P14" s="13" t="e">
        <f t="shared" si="6"/>
        <v>#DIV/0!</v>
      </c>
      <c r="Q14" s="51">
        <f t="shared" si="7"/>
        <v>3000</v>
      </c>
      <c r="R14" s="58"/>
      <c r="V14" s="42" t="e">
        <f t="shared" si="8"/>
        <v>#DIV/0!</v>
      </c>
      <c r="W14" s="13">
        <f t="shared" si="2"/>
        <v>0</v>
      </c>
      <c r="X14" s="13" t="e">
        <f t="shared" si="9"/>
        <v>#DIV/0!</v>
      </c>
      <c r="Y14" s="39">
        <f t="shared" si="4"/>
        <v>3000</v>
      </c>
    </row>
    <row r="15" spans="1:28" x14ac:dyDescent="0.25">
      <c r="A15" t="s">
        <v>276</v>
      </c>
      <c r="B15" t="s">
        <v>226</v>
      </c>
      <c r="C15" t="s">
        <v>228</v>
      </c>
      <c r="D15" t="s">
        <v>3</v>
      </c>
      <c r="F15" s="30" t="s">
        <v>657</v>
      </c>
      <c r="G15" t="s">
        <v>299</v>
      </c>
      <c r="H15" t="s">
        <v>300</v>
      </c>
      <c r="I15" t="s">
        <v>502</v>
      </c>
      <c r="J15" s="2">
        <v>4000</v>
      </c>
      <c r="L15" s="66">
        <v>0</v>
      </c>
      <c r="N15" s="42" t="e">
        <f t="shared" si="0"/>
        <v>#DIV/0!</v>
      </c>
      <c r="O15" s="13">
        <f t="shared" si="5"/>
        <v>0</v>
      </c>
      <c r="P15" s="13" t="e">
        <f t="shared" si="6"/>
        <v>#DIV/0!</v>
      </c>
      <c r="Q15" s="51">
        <f t="shared" si="7"/>
        <v>4000</v>
      </c>
      <c r="R15" s="58"/>
      <c r="V15" s="42" t="e">
        <f t="shared" si="8"/>
        <v>#DIV/0!</v>
      </c>
      <c r="W15" s="13">
        <f t="shared" si="2"/>
        <v>0</v>
      </c>
      <c r="X15" s="13" t="e">
        <f t="shared" si="9"/>
        <v>#DIV/0!</v>
      </c>
      <c r="Y15" s="39">
        <f t="shared" si="4"/>
        <v>4000</v>
      </c>
    </row>
    <row r="16" spans="1:28" x14ac:dyDescent="0.25">
      <c r="A16" t="s">
        <v>276</v>
      </c>
      <c r="B16" t="s">
        <v>241</v>
      </c>
      <c r="C16" t="s">
        <v>243</v>
      </c>
      <c r="D16" t="s">
        <v>3</v>
      </c>
      <c r="F16" s="30" t="s">
        <v>657</v>
      </c>
      <c r="G16" t="s">
        <v>299</v>
      </c>
      <c r="H16" t="s">
        <v>300</v>
      </c>
      <c r="I16" t="s">
        <v>504</v>
      </c>
      <c r="J16" s="2">
        <v>9100</v>
      </c>
      <c r="K16" s="12">
        <v>4000</v>
      </c>
      <c r="L16" s="66">
        <v>3950</v>
      </c>
      <c r="N16" s="42">
        <f t="shared" si="0"/>
        <v>0.98750000000000004</v>
      </c>
      <c r="O16" s="13">
        <f t="shared" si="5"/>
        <v>0.43406593406593408</v>
      </c>
      <c r="P16" s="13" t="e">
        <f t="shared" si="6"/>
        <v>#DIV/0!</v>
      </c>
      <c r="Q16" s="51">
        <f t="shared" si="7"/>
        <v>5150</v>
      </c>
      <c r="R16" s="58"/>
      <c r="V16" s="42" t="e">
        <f t="shared" si="8"/>
        <v>#DIV/0!</v>
      </c>
      <c r="W16" s="13">
        <f t="shared" si="2"/>
        <v>0</v>
      </c>
      <c r="X16" s="13" t="e">
        <f t="shared" si="9"/>
        <v>#DIV/0!</v>
      </c>
      <c r="Y16" s="39">
        <f t="shared" si="4"/>
        <v>9100</v>
      </c>
    </row>
    <row r="17" spans="1:25" x14ac:dyDescent="0.25">
      <c r="A17" t="s">
        <v>276</v>
      </c>
      <c r="B17" t="s">
        <v>248</v>
      </c>
      <c r="C17" t="s">
        <v>250</v>
      </c>
      <c r="D17" t="s">
        <v>3</v>
      </c>
      <c r="F17" s="30" t="s">
        <v>657</v>
      </c>
      <c r="G17" t="s">
        <v>299</v>
      </c>
      <c r="H17" t="s">
        <v>300</v>
      </c>
      <c r="I17" t="s">
        <v>505</v>
      </c>
      <c r="J17" s="2">
        <v>24000</v>
      </c>
      <c r="L17" s="56">
        <v>0</v>
      </c>
      <c r="N17" s="42" t="e">
        <f t="shared" si="0"/>
        <v>#DIV/0!</v>
      </c>
      <c r="O17" s="13">
        <f t="shared" si="5"/>
        <v>0</v>
      </c>
      <c r="P17" s="13" t="e">
        <f t="shared" si="6"/>
        <v>#DIV/0!</v>
      </c>
      <c r="Q17" s="51">
        <f t="shared" si="7"/>
        <v>24000</v>
      </c>
      <c r="R17" s="58"/>
      <c r="V17" s="42" t="e">
        <f t="shared" si="8"/>
        <v>#DIV/0!</v>
      </c>
      <c r="W17" s="13">
        <f t="shared" si="2"/>
        <v>0</v>
      </c>
      <c r="X17" s="13" t="e">
        <f t="shared" si="9"/>
        <v>#DIV/0!</v>
      </c>
      <c r="Y17" s="39">
        <f t="shared" si="4"/>
        <v>24000</v>
      </c>
    </row>
    <row r="18" spans="1:25" x14ac:dyDescent="0.25">
      <c r="A18" t="s">
        <v>276</v>
      </c>
      <c r="B18" t="s">
        <v>259</v>
      </c>
      <c r="C18" t="s">
        <v>261</v>
      </c>
      <c r="D18" t="s">
        <v>3</v>
      </c>
      <c r="F18" s="30" t="s">
        <v>657</v>
      </c>
      <c r="G18" t="s">
        <v>299</v>
      </c>
      <c r="H18" t="s">
        <v>300</v>
      </c>
      <c r="I18" t="s">
        <v>506</v>
      </c>
      <c r="J18" s="2">
        <v>35000</v>
      </c>
      <c r="L18" s="56">
        <v>0</v>
      </c>
      <c r="N18" s="42" t="e">
        <f t="shared" si="0"/>
        <v>#DIV/0!</v>
      </c>
      <c r="O18" s="13">
        <f t="shared" si="5"/>
        <v>0</v>
      </c>
      <c r="P18" s="13" t="e">
        <f t="shared" si="6"/>
        <v>#DIV/0!</v>
      </c>
      <c r="Q18" s="51">
        <f t="shared" si="7"/>
        <v>35000</v>
      </c>
      <c r="R18" s="58"/>
      <c r="V18" s="42" t="e">
        <f t="shared" si="8"/>
        <v>#DIV/0!</v>
      </c>
      <c r="W18" s="13">
        <f t="shared" si="2"/>
        <v>0</v>
      </c>
      <c r="X18" s="13" t="e">
        <f t="shared" si="9"/>
        <v>#DIV/0!</v>
      </c>
      <c r="Y18" s="39">
        <f t="shared" si="4"/>
        <v>35000</v>
      </c>
    </row>
    <row r="19" spans="1:25" x14ac:dyDescent="0.25">
      <c r="A19" t="s">
        <v>276</v>
      </c>
      <c r="B19" t="s">
        <v>268</v>
      </c>
      <c r="C19" t="s">
        <v>270</v>
      </c>
      <c r="D19" t="s">
        <v>3</v>
      </c>
      <c r="F19" s="30" t="s">
        <v>657</v>
      </c>
      <c r="G19" t="s">
        <v>299</v>
      </c>
      <c r="H19" t="s">
        <v>300</v>
      </c>
      <c r="I19" t="s">
        <v>507</v>
      </c>
      <c r="J19" s="2">
        <v>6000</v>
      </c>
      <c r="L19" s="56">
        <v>0</v>
      </c>
      <c r="N19" s="42" t="e">
        <f t="shared" si="0"/>
        <v>#DIV/0!</v>
      </c>
      <c r="O19" s="13">
        <f t="shared" si="5"/>
        <v>0</v>
      </c>
      <c r="P19" s="13" t="e">
        <f t="shared" si="6"/>
        <v>#DIV/0!</v>
      </c>
      <c r="Q19" s="51">
        <f t="shared" si="7"/>
        <v>6000</v>
      </c>
      <c r="R19" s="58"/>
      <c r="V19" s="42" t="e">
        <f t="shared" si="8"/>
        <v>#DIV/0!</v>
      </c>
      <c r="W19" s="13">
        <f t="shared" si="2"/>
        <v>0</v>
      </c>
      <c r="X19" s="13" t="e">
        <f t="shared" si="9"/>
        <v>#DIV/0!</v>
      </c>
      <c r="Y19" s="39">
        <f t="shared" si="4"/>
        <v>6000</v>
      </c>
    </row>
    <row r="20" spans="1:25" x14ac:dyDescent="0.25">
      <c r="A20" t="s">
        <v>276</v>
      </c>
      <c r="B20" t="s">
        <v>329</v>
      </c>
      <c r="C20" t="s">
        <v>330</v>
      </c>
      <c r="D20" t="s">
        <v>3</v>
      </c>
      <c r="F20" s="30" t="s">
        <v>658</v>
      </c>
      <c r="G20" t="s">
        <v>303</v>
      </c>
      <c r="H20" t="s">
        <v>304</v>
      </c>
      <c r="I20" s="30" t="s">
        <v>462</v>
      </c>
      <c r="J20" s="2">
        <v>2750000</v>
      </c>
      <c r="K20" s="12">
        <v>55000</v>
      </c>
      <c r="L20" s="56">
        <f>43810.2+4536</f>
        <v>48346.2</v>
      </c>
      <c r="N20" s="42">
        <f t="shared" si="0"/>
        <v>0.87902181818181813</v>
      </c>
      <c r="O20" s="13">
        <f t="shared" si="5"/>
        <v>1.7580436363636362E-2</v>
      </c>
      <c r="P20" s="13" t="e">
        <f t="shared" si="6"/>
        <v>#DIV/0!</v>
      </c>
      <c r="Q20" s="51">
        <f t="shared" si="7"/>
        <v>2701653.8</v>
      </c>
      <c r="R20" s="58"/>
      <c r="V20" s="42" t="e">
        <f t="shared" si="8"/>
        <v>#DIV/0!</v>
      </c>
      <c r="W20" s="13">
        <f t="shared" si="2"/>
        <v>0</v>
      </c>
      <c r="X20" s="13" t="e">
        <f t="shared" si="9"/>
        <v>#DIV/0!</v>
      </c>
      <c r="Y20" s="39">
        <f t="shared" si="4"/>
        <v>2750000</v>
      </c>
    </row>
    <row r="21" spans="1:25" x14ac:dyDescent="0.25">
      <c r="A21" t="s">
        <v>276</v>
      </c>
      <c r="B21" t="s">
        <v>341</v>
      </c>
      <c r="C21" t="s">
        <v>342</v>
      </c>
      <c r="D21" t="s">
        <v>3</v>
      </c>
      <c r="F21" s="30" t="s">
        <v>659</v>
      </c>
      <c r="G21" t="s">
        <v>305</v>
      </c>
      <c r="H21" t="s">
        <v>306</v>
      </c>
      <c r="I21" s="30" t="s">
        <v>465</v>
      </c>
      <c r="J21" s="2">
        <v>136500</v>
      </c>
      <c r="K21" s="12">
        <v>1000</v>
      </c>
      <c r="L21" s="56"/>
      <c r="N21" s="42">
        <f t="shared" si="0"/>
        <v>0</v>
      </c>
      <c r="O21" s="13">
        <f t="shared" si="5"/>
        <v>0</v>
      </c>
      <c r="P21" s="13" t="e">
        <f t="shared" si="6"/>
        <v>#DIV/0!</v>
      </c>
      <c r="Q21" s="51">
        <f t="shared" si="7"/>
        <v>136500</v>
      </c>
      <c r="R21" s="58"/>
      <c r="V21" s="42" t="e">
        <f t="shared" si="8"/>
        <v>#DIV/0!</v>
      </c>
      <c r="W21" s="13">
        <f t="shared" si="2"/>
        <v>0</v>
      </c>
      <c r="X21" s="13" t="e">
        <f t="shared" si="9"/>
        <v>#DIV/0!</v>
      </c>
      <c r="Y21" s="39">
        <f t="shared" si="4"/>
        <v>136500</v>
      </c>
    </row>
    <row r="22" spans="1:25" x14ac:dyDescent="0.25">
      <c r="A22" t="s">
        <v>276</v>
      </c>
      <c r="B22" t="s">
        <v>127</v>
      </c>
      <c r="C22" t="s">
        <v>128</v>
      </c>
      <c r="D22" t="s">
        <v>3</v>
      </c>
      <c r="F22" s="30" t="s">
        <v>659</v>
      </c>
      <c r="G22" t="s">
        <v>305</v>
      </c>
      <c r="H22" t="s">
        <v>306</v>
      </c>
      <c r="I22" s="30" t="s">
        <v>489</v>
      </c>
      <c r="J22" s="2">
        <v>20000</v>
      </c>
      <c r="K22" s="56"/>
      <c r="L22" s="56"/>
      <c r="N22" s="42" t="e">
        <f t="shared" si="0"/>
        <v>#DIV/0!</v>
      </c>
      <c r="O22" s="13">
        <f t="shared" si="5"/>
        <v>0</v>
      </c>
      <c r="P22" s="13" t="e">
        <f t="shared" si="6"/>
        <v>#DIV/0!</v>
      </c>
      <c r="Q22" s="51">
        <f t="shared" si="7"/>
        <v>20000</v>
      </c>
      <c r="R22" s="58"/>
      <c r="V22" s="42" t="e">
        <f t="shared" si="8"/>
        <v>#DIV/0!</v>
      </c>
      <c r="W22" s="13">
        <f t="shared" si="2"/>
        <v>0</v>
      </c>
      <c r="X22" s="13" t="e">
        <f t="shared" si="9"/>
        <v>#DIV/0!</v>
      </c>
      <c r="Y22" s="39">
        <f t="shared" si="4"/>
        <v>20000</v>
      </c>
    </row>
    <row r="23" spans="1:25" x14ac:dyDescent="0.25">
      <c r="A23" t="s">
        <v>276</v>
      </c>
      <c r="B23" t="s">
        <v>135</v>
      </c>
      <c r="C23" t="s">
        <v>137</v>
      </c>
      <c r="D23" t="s">
        <v>3</v>
      </c>
      <c r="F23" s="30" t="s">
        <v>659</v>
      </c>
      <c r="G23" t="s">
        <v>305</v>
      </c>
      <c r="H23" t="s">
        <v>306</v>
      </c>
      <c r="I23" s="82" t="s">
        <v>490</v>
      </c>
      <c r="J23" s="2">
        <v>8000</v>
      </c>
      <c r="K23" s="12">
        <v>8000</v>
      </c>
      <c r="L23" s="56">
        <v>7998</v>
      </c>
      <c r="M23" s="12">
        <v>8700</v>
      </c>
      <c r="N23" s="42">
        <f t="shared" si="0"/>
        <v>0.99975000000000003</v>
      </c>
      <c r="O23" s="13">
        <f t="shared" si="5"/>
        <v>0.99975000000000003</v>
      </c>
      <c r="P23" s="13">
        <f t="shared" si="6"/>
        <v>0.91931034482758622</v>
      </c>
      <c r="Q23" s="51">
        <f t="shared" si="7"/>
        <v>2</v>
      </c>
      <c r="R23" s="58"/>
      <c r="U23" s="12">
        <v>8700</v>
      </c>
      <c r="V23" s="42" t="e">
        <f t="shared" si="8"/>
        <v>#DIV/0!</v>
      </c>
      <c r="W23" s="13">
        <f t="shared" si="2"/>
        <v>0</v>
      </c>
      <c r="X23" s="13">
        <f t="shared" si="9"/>
        <v>0</v>
      </c>
      <c r="Y23" s="39">
        <f t="shared" si="4"/>
        <v>8000</v>
      </c>
    </row>
    <row r="24" spans="1:25" x14ac:dyDescent="0.25">
      <c r="A24" t="s">
        <v>276</v>
      </c>
      <c r="B24" t="s">
        <v>151</v>
      </c>
      <c r="C24" t="s">
        <v>153</v>
      </c>
      <c r="D24" t="s">
        <v>3</v>
      </c>
      <c r="F24" s="30" t="s">
        <v>659</v>
      </c>
      <c r="G24" t="s">
        <v>305</v>
      </c>
      <c r="H24" t="s">
        <v>306</v>
      </c>
      <c r="I24" s="30" t="s">
        <v>493</v>
      </c>
      <c r="J24" s="2">
        <v>5000</v>
      </c>
      <c r="K24" s="56"/>
      <c r="L24" s="56"/>
      <c r="N24" s="42" t="e">
        <f t="shared" si="0"/>
        <v>#DIV/0!</v>
      </c>
      <c r="O24" s="13">
        <f t="shared" si="5"/>
        <v>0</v>
      </c>
      <c r="P24" s="13" t="e">
        <f t="shared" si="6"/>
        <v>#DIV/0!</v>
      </c>
      <c r="Q24" s="51">
        <f t="shared" si="7"/>
        <v>5000</v>
      </c>
      <c r="R24" s="58"/>
      <c r="V24" s="42" t="e">
        <f t="shared" si="8"/>
        <v>#DIV/0!</v>
      </c>
      <c r="W24" s="13">
        <f t="shared" si="2"/>
        <v>0</v>
      </c>
      <c r="X24" s="13" t="e">
        <f t="shared" si="9"/>
        <v>#DIV/0!</v>
      </c>
      <c r="Y24" s="39">
        <f t="shared" si="4"/>
        <v>5000</v>
      </c>
    </row>
    <row r="25" spans="1:25" x14ac:dyDescent="0.25">
      <c r="A25" t="s">
        <v>276</v>
      </c>
      <c r="B25" t="s">
        <v>179</v>
      </c>
      <c r="C25" t="s">
        <v>181</v>
      </c>
      <c r="D25" t="s">
        <v>3</v>
      </c>
      <c r="F25" s="30" t="s">
        <v>659</v>
      </c>
      <c r="G25" t="s">
        <v>305</v>
      </c>
      <c r="H25" t="s">
        <v>306</v>
      </c>
      <c r="I25" s="30" t="s">
        <v>497</v>
      </c>
      <c r="J25" s="2">
        <v>5800</v>
      </c>
      <c r="K25" s="56"/>
      <c r="L25" s="56"/>
      <c r="N25" s="42" t="e">
        <f t="shared" si="0"/>
        <v>#DIV/0!</v>
      </c>
      <c r="O25" s="13">
        <f t="shared" si="5"/>
        <v>0</v>
      </c>
      <c r="P25" s="13" t="e">
        <f t="shared" si="6"/>
        <v>#DIV/0!</v>
      </c>
      <c r="Q25" s="51">
        <f t="shared" si="7"/>
        <v>5800</v>
      </c>
      <c r="R25" s="58"/>
    </row>
    <row r="26" spans="1:25" x14ac:dyDescent="0.25">
      <c r="F26" s="30"/>
      <c r="I26" s="30"/>
      <c r="J26" s="2"/>
      <c r="K26" s="56"/>
      <c r="L26" s="56"/>
      <c r="Q26" s="51">
        <f t="shared" ref="Q26" si="10">J26-L26</f>
        <v>0</v>
      </c>
      <c r="R26" s="58"/>
    </row>
    <row r="27" spans="1:25" s="73" customFormat="1" x14ac:dyDescent="0.25">
      <c r="A27" s="73" t="s">
        <v>367</v>
      </c>
      <c r="B27" s="73" t="s">
        <v>341</v>
      </c>
      <c r="C27" s="73" t="s">
        <v>342</v>
      </c>
      <c r="D27" s="73" t="s">
        <v>3</v>
      </c>
      <c r="E27" s="73" t="s">
        <v>3</v>
      </c>
      <c r="G27" s="73" t="s">
        <v>424</v>
      </c>
      <c r="H27" s="73" t="s">
        <v>425</v>
      </c>
      <c r="J27" s="73" t="s">
        <v>3</v>
      </c>
      <c r="K27" s="77"/>
      <c r="L27" s="77"/>
      <c r="M27" s="77"/>
      <c r="S27" s="73" t="s">
        <v>3</v>
      </c>
      <c r="T27" s="73" t="s">
        <v>3</v>
      </c>
      <c r="U27" s="77"/>
    </row>
    <row r="28" spans="1:25" s="73" customFormat="1" x14ac:dyDescent="0.25">
      <c r="K28" s="77"/>
      <c r="L28" s="77"/>
      <c r="M28" s="77"/>
    </row>
    <row r="29" spans="1:25" x14ac:dyDescent="0.25">
      <c r="A29" t="s">
        <v>367</v>
      </c>
      <c r="B29" t="s">
        <v>295</v>
      </c>
      <c r="C29" t="s">
        <v>296</v>
      </c>
      <c r="D29" t="s">
        <v>398</v>
      </c>
      <c r="E29" t="s">
        <v>399</v>
      </c>
      <c r="F29" s="30" t="s">
        <v>660</v>
      </c>
      <c r="G29" t="s">
        <v>369</v>
      </c>
      <c r="H29" t="s">
        <v>370</v>
      </c>
      <c r="I29" s="30" t="s">
        <v>465</v>
      </c>
      <c r="J29" s="2">
        <v>100000</v>
      </c>
      <c r="K29" s="56"/>
      <c r="L29" s="56">
        <v>0</v>
      </c>
      <c r="M29" s="56"/>
      <c r="N29" s="42" t="e">
        <f t="shared" ref="N29:N49" si="11">L29/K29</f>
        <v>#DIV/0!</v>
      </c>
      <c r="O29" s="13">
        <f t="shared" ref="O29:O49" si="12">L29/J29</f>
        <v>0</v>
      </c>
      <c r="P29" s="13" t="e">
        <f t="shared" ref="P29:P49" si="13">L29/M29</f>
        <v>#DIV/0!</v>
      </c>
      <c r="Q29" s="51">
        <f t="shared" ref="Q29:Q49" si="14">J29-L29</f>
        <v>100000</v>
      </c>
      <c r="R29" s="58"/>
      <c r="V29" s="42" t="e">
        <f t="shared" ref="V29" si="15">T29/S29</f>
        <v>#DIV/0!</v>
      </c>
      <c r="W29" s="13">
        <f>T29/J29</f>
        <v>0</v>
      </c>
      <c r="X29" s="13" t="e">
        <f t="shared" ref="X29" si="16">T29/U29</f>
        <v>#DIV/0!</v>
      </c>
      <c r="Y29" s="39">
        <f>J29-S29</f>
        <v>100000</v>
      </c>
    </row>
    <row r="30" spans="1:25" x14ac:dyDescent="0.25">
      <c r="A30" t="s">
        <v>367</v>
      </c>
      <c r="B30" t="s">
        <v>341</v>
      </c>
      <c r="C30" t="s">
        <v>342</v>
      </c>
      <c r="D30" t="s">
        <v>426</v>
      </c>
      <c r="E30" t="s">
        <v>427</v>
      </c>
      <c r="F30" s="30" t="s">
        <v>660</v>
      </c>
      <c r="G30" t="s">
        <v>369</v>
      </c>
      <c r="H30" t="s">
        <v>370</v>
      </c>
      <c r="I30" s="30" t="s">
        <v>465</v>
      </c>
      <c r="J30" s="2">
        <v>100000</v>
      </c>
      <c r="K30" s="56"/>
      <c r="L30" s="56">
        <v>0</v>
      </c>
      <c r="M30" s="56"/>
      <c r="N30" s="42" t="e">
        <f t="shared" si="11"/>
        <v>#DIV/0!</v>
      </c>
      <c r="O30" s="13">
        <f t="shared" si="12"/>
        <v>0</v>
      </c>
      <c r="P30" s="13" t="e">
        <f t="shared" si="13"/>
        <v>#DIV/0!</v>
      </c>
      <c r="Q30" s="51">
        <f t="shared" si="14"/>
        <v>100000</v>
      </c>
      <c r="R30" s="58"/>
      <c r="V30" s="42" t="e">
        <f t="shared" ref="V30:V43" si="17">T30/S30</f>
        <v>#DIV/0!</v>
      </c>
      <c r="W30" s="13">
        <f>T30/J30</f>
        <v>0</v>
      </c>
      <c r="X30" s="13" t="e">
        <f t="shared" ref="X30:X43" si="18">T30/U30</f>
        <v>#DIV/0!</v>
      </c>
      <c r="Y30" s="39">
        <f>J30-S30</f>
        <v>100000</v>
      </c>
    </row>
    <row r="31" spans="1:25" x14ac:dyDescent="0.25">
      <c r="A31" t="s">
        <v>367</v>
      </c>
      <c r="B31" t="s">
        <v>341</v>
      </c>
      <c r="C31" t="s">
        <v>342</v>
      </c>
      <c r="D31" s="81" t="s">
        <v>428</v>
      </c>
      <c r="E31" t="s">
        <v>429</v>
      </c>
      <c r="F31" s="30" t="s">
        <v>660</v>
      </c>
      <c r="G31" t="s">
        <v>369</v>
      </c>
      <c r="H31" t="s">
        <v>370</v>
      </c>
      <c r="I31" s="30" t="s">
        <v>465</v>
      </c>
      <c r="J31" s="2">
        <v>8262900</v>
      </c>
      <c r="K31" s="12">
        <v>1522900</v>
      </c>
      <c r="L31" s="66">
        <v>1214609.25</v>
      </c>
      <c r="M31" s="56">
        <v>265737.75</v>
      </c>
      <c r="N31" s="42">
        <f t="shared" si="11"/>
        <v>0.79756336594654931</v>
      </c>
      <c r="O31" s="13">
        <f t="shared" si="12"/>
        <v>0.14699551610209491</v>
      </c>
      <c r="P31" s="13">
        <f t="shared" si="13"/>
        <v>4.5707064577765113</v>
      </c>
      <c r="Q31" s="51">
        <f t="shared" si="14"/>
        <v>7048290.75</v>
      </c>
      <c r="R31" s="58"/>
      <c r="S31" s="12">
        <f>1074500-S32</f>
        <v>814500</v>
      </c>
      <c r="T31" s="12">
        <f>252612.62+376608.71</f>
        <v>629221.33000000007</v>
      </c>
      <c r="V31" s="42">
        <f t="shared" si="17"/>
        <v>0.7725246531614488</v>
      </c>
      <c r="W31" s="13">
        <f>T31/J31</f>
        <v>7.6150180929213718E-2</v>
      </c>
      <c r="X31" s="13" t="e">
        <f t="shared" si="18"/>
        <v>#DIV/0!</v>
      </c>
      <c r="Y31" s="39">
        <f>J31-S31</f>
        <v>7448400</v>
      </c>
    </row>
    <row r="32" spans="1:25" x14ac:dyDescent="0.25">
      <c r="A32" t="s">
        <v>367</v>
      </c>
      <c r="B32" t="s">
        <v>341</v>
      </c>
      <c r="C32" t="s">
        <v>342</v>
      </c>
      <c r="D32" s="81" t="s">
        <v>430</v>
      </c>
      <c r="E32" t="s">
        <v>431</v>
      </c>
      <c r="F32" s="30" t="s">
        <v>660</v>
      </c>
      <c r="G32" t="s">
        <v>369</v>
      </c>
      <c r="H32" t="s">
        <v>370</v>
      </c>
      <c r="I32" s="30" t="s">
        <v>465</v>
      </c>
      <c r="J32" s="2">
        <v>1000000</v>
      </c>
      <c r="K32" s="12">
        <v>340000</v>
      </c>
      <c r="L32" s="66">
        <f>331548.8-59189.12</f>
        <v>272359.67999999999</v>
      </c>
      <c r="M32" s="56"/>
      <c r="N32" s="42">
        <f t="shared" si="11"/>
        <v>0.80105788235294118</v>
      </c>
      <c r="O32" s="13">
        <f t="shared" si="12"/>
        <v>0.27235967999999999</v>
      </c>
      <c r="P32" s="13" t="e">
        <f t="shared" si="13"/>
        <v>#DIV/0!</v>
      </c>
      <c r="Q32" s="51">
        <f t="shared" si="14"/>
        <v>727640.32000000007</v>
      </c>
      <c r="R32" s="58"/>
      <c r="S32" s="12">
        <v>260000</v>
      </c>
      <c r="T32" s="56">
        <f>29594.56+183576</f>
        <v>213170.56</v>
      </c>
      <c r="U32" s="12">
        <v>158873.67000000001</v>
      </c>
      <c r="V32" s="42">
        <f t="shared" si="17"/>
        <v>0.8198867692307692</v>
      </c>
      <c r="W32" s="13">
        <f>T32/J32</f>
        <v>0.21317056000000001</v>
      </c>
      <c r="X32" s="13">
        <f t="shared" si="18"/>
        <v>1.3417614133292193</v>
      </c>
      <c r="Y32" s="39">
        <f>J32-S32</f>
        <v>740000</v>
      </c>
    </row>
    <row r="33" spans="1:25" x14ac:dyDescent="0.25">
      <c r="A33" t="s">
        <v>367</v>
      </c>
      <c r="B33" t="s">
        <v>341</v>
      </c>
      <c r="C33" t="s">
        <v>342</v>
      </c>
      <c r="D33" t="s">
        <v>436</v>
      </c>
      <c r="E33" t="s">
        <v>437</v>
      </c>
      <c r="F33" s="30" t="s">
        <v>660</v>
      </c>
      <c r="G33" t="s">
        <v>369</v>
      </c>
      <c r="H33" t="s">
        <v>370</v>
      </c>
      <c r="I33" s="30" t="s">
        <v>465</v>
      </c>
      <c r="J33" s="2">
        <v>520000</v>
      </c>
      <c r="L33" s="66">
        <v>0</v>
      </c>
      <c r="M33" s="56"/>
      <c r="N33" s="42" t="e">
        <f t="shared" si="11"/>
        <v>#DIV/0!</v>
      </c>
      <c r="O33" s="13">
        <f t="shared" si="12"/>
        <v>0</v>
      </c>
      <c r="P33" s="13" t="e">
        <f t="shared" si="13"/>
        <v>#DIV/0!</v>
      </c>
      <c r="Q33" s="51">
        <f t="shared" si="14"/>
        <v>520000</v>
      </c>
      <c r="R33" s="58"/>
      <c r="T33" s="2"/>
      <c r="V33" s="42" t="e">
        <f t="shared" si="17"/>
        <v>#DIV/0!</v>
      </c>
      <c r="W33" s="13">
        <f>T33/J33</f>
        <v>0</v>
      </c>
      <c r="X33" s="13" t="e">
        <f t="shared" si="18"/>
        <v>#DIV/0!</v>
      </c>
      <c r="Y33" s="39">
        <f>J33-S33</f>
        <v>520000</v>
      </c>
    </row>
    <row r="34" spans="1:25" x14ac:dyDescent="0.25">
      <c r="A34" t="s">
        <v>367</v>
      </c>
      <c r="B34" t="s">
        <v>341</v>
      </c>
      <c r="C34" t="s">
        <v>342</v>
      </c>
      <c r="D34" t="s">
        <v>748</v>
      </c>
      <c r="E34" t="s">
        <v>749</v>
      </c>
      <c r="F34" s="30" t="s">
        <v>662</v>
      </c>
      <c r="G34" t="s">
        <v>369</v>
      </c>
      <c r="H34" t="s">
        <v>370</v>
      </c>
      <c r="I34" s="30" t="s">
        <v>465</v>
      </c>
      <c r="J34" s="131">
        <v>437100</v>
      </c>
      <c r="K34" s="56">
        <v>437100</v>
      </c>
      <c r="L34" s="66">
        <v>437099</v>
      </c>
      <c r="M34" s="56"/>
      <c r="N34" s="42">
        <f t="shared" si="11"/>
        <v>0.99999771219400591</v>
      </c>
      <c r="O34" s="13">
        <f t="shared" si="12"/>
        <v>0.99999771219400591</v>
      </c>
      <c r="P34" s="13" t="e">
        <f t="shared" si="13"/>
        <v>#DIV/0!</v>
      </c>
      <c r="Q34" s="51">
        <f t="shared" si="14"/>
        <v>1</v>
      </c>
      <c r="R34" s="58"/>
      <c r="V34" s="42"/>
      <c r="W34" s="13"/>
      <c r="X34" s="13"/>
      <c r="Y34" s="39"/>
    </row>
    <row r="35" spans="1:25" x14ac:dyDescent="0.25">
      <c r="A35" t="s">
        <v>367</v>
      </c>
      <c r="B35" t="s">
        <v>295</v>
      </c>
      <c r="C35" t="s">
        <v>296</v>
      </c>
      <c r="D35" t="s">
        <v>396</v>
      </c>
      <c r="E35" t="s">
        <v>397</v>
      </c>
      <c r="F35" s="30" t="s">
        <v>663</v>
      </c>
      <c r="G35" t="s">
        <v>369</v>
      </c>
      <c r="H35" t="s">
        <v>370</v>
      </c>
      <c r="I35" s="30" t="s">
        <v>465</v>
      </c>
      <c r="J35" s="2">
        <v>1000000</v>
      </c>
      <c r="K35" s="56"/>
      <c r="L35" s="66">
        <v>0</v>
      </c>
      <c r="M35" s="56"/>
      <c r="N35" s="42" t="e">
        <f t="shared" si="11"/>
        <v>#DIV/0!</v>
      </c>
      <c r="O35" s="13">
        <f t="shared" si="12"/>
        <v>0</v>
      </c>
      <c r="P35" s="13" t="e">
        <f t="shared" si="13"/>
        <v>#DIV/0!</v>
      </c>
      <c r="Q35" s="51">
        <f t="shared" si="14"/>
        <v>1000000</v>
      </c>
      <c r="R35" s="58"/>
      <c r="V35" s="42" t="e">
        <f t="shared" si="17"/>
        <v>#DIV/0!</v>
      </c>
      <c r="W35" s="13">
        <f t="shared" ref="W35:W49" si="19">T35/J35</f>
        <v>0</v>
      </c>
      <c r="X35" s="13" t="e">
        <f t="shared" si="18"/>
        <v>#DIV/0!</v>
      </c>
      <c r="Y35" s="39">
        <f t="shared" ref="Y35:Y49" si="20">J35-S35</f>
        <v>1000000</v>
      </c>
    </row>
    <row r="36" spans="1:25" x14ac:dyDescent="0.25">
      <c r="A36" t="s">
        <v>367</v>
      </c>
      <c r="B36" t="s">
        <v>295</v>
      </c>
      <c r="C36" t="s">
        <v>296</v>
      </c>
      <c r="D36" s="81" t="s">
        <v>372</v>
      </c>
      <c r="E36" t="s">
        <v>373</v>
      </c>
      <c r="F36" s="30" t="s">
        <v>662</v>
      </c>
      <c r="G36" t="s">
        <v>369</v>
      </c>
      <c r="H36" t="s">
        <v>370</v>
      </c>
      <c r="I36" s="30" t="s">
        <v>465</v>
      </c>
      <c r="J36" s="2">
        <v>48775200</v>
      </c>
      <c r="K36" s="56">
        <v>3865000</v>
      </c>
      <c r="L36" s="66">
        <f>5900610-2409134.16</f>
        <v>3491475.84</v>
      </c>
      <c r="M36" s="56">
        <v>4830382.1499999994</v>
      </c>
      <c r="N36" s="42">
        <f t="shared" si="11"/>
        <v>0.90335726778783954</v>
      </c>
      <c r="O36" s="13">
        <f t="shared" si="12"/>
        <v>7.158301431875215E-2</v>
      </c>
      <c r="P36" s="13">
        <f t="shared" si="13"/>
        <v>0.72281565548597437</v>
      </c>
      <c r="Q36" s="51">
        <f t="shared" si="14"/>
        <v>45283724.159999996</v>
      </c>
      <c r="R36" s="58"/>
      <c r="S36" s="12">
        <f>1994000-S42</f>
        <v>1434000</v>
      </c>
      <c r="T36" s="12">
        <v>1235620</v>
      </c>
      <c r="V36" s="42">
        <f t="shared" si="17"/>
        <v>0.86165969316596935</v>
      </c>
      <c r="W36" s="13">
        <f t="shared" si="19"/>
        <v>2.533295609244042E-2</v>
      </c>
      <c r="X36" s="13" t="e">
        <f t="shared" si="18"/>
        <v>#DIV/0!</v>
      </c>
      <c r="Y36" s="39">
        <f t="shared" si="20"/>
        <v>47341200</v>
      </c>
    </row>
    <row r="37" spans="1:25" x14ac:dyDescent="0.25">
      <c r="A37" t="s">
        <v>367</v>
      </c>
      <c r="B37" t="s">
        <v>295</v>
      </c>
      <c r="C37" t="s">
        <v>296</v>
      </c>
      <c r="D37" t="s">
        <v>374</v>
      </c>
      <c r="E37" t="s">
        <v>375</v>
      </c>
      <c r="F37" s="30" t="s">
        <v>662</v>
      </c>
      <c r="G37" t="s">
        <v>369</v>
      </c>
      <c r="H37" t="s">
        <v>370</v>
      </c>
      <c r="I37" s="30" t="s">
        <v>465</v>
      </c>
      <c r="J37" s="2">
        <v>500000</v>
      </c>
      <c r="K37" s="56">
        <v>500000</v>
      </c>
      <c r="L37" s="66">
        <v>406404.04</v>
      </c>
      <c r="M37" s="56"/>
      <c r="N37" s="42">
        <f t="shared" si="11"/>
        <v>0.81280807999999993</v>
      </c>
      <c r="O37" s="13">
        <f t="shared" si="12"/>
        <v>0.81280807999999993</v>
      </c>
      <c r="P37" s="13" t="e">
        <f t="shared" si="13"/>
        <v>#DIV/0!</v>
      </c>
      <c r="Q37" s="51">
        <f t="shared" si="14"/>
        <v>93595.960000000021</v>
      </c>
      <c r="R37" s="58"/>
      <c r="V37" s="42" t="e">
        <f t="shared" si="17"/>
        <v>#DIV/0!</v>
      </c>
      <c r="W37" s="13">
        <f t="shared" si="19"/>
        <v>0</v>
      </c>
      <c r="X37" s="13" t="e">
        <f t="shared" si="18"/>
        <v>#DIV/0!</v>
      </c>
      <c r="Y37" s="39">
        <f t="shared" si="20"/>
        <v>500000</v>
      </c>
    </row>
    <row r="38" spans="1:25" x14ac:dyDescent="0.25">
      <c r="A38" t="s">
        <v>367</v>
      </c>
      <c r="B38" t="s">
        <v>295</v>
      </c>
      <c r="C38" t="s">
        <v>296</v>
      </c>
      <c r="D38" t="s">
        <v>376</v>
      </c>
      <c r="E38" t="s">
        <v>377</v>
      </c>
      <c r="F38" s="30" t="s">
        <v>662</v>
      </c>
      <c r="G38" t="s">
        <v>369</v>
      </c>
      <c r="H38" t="s">
        <v>370</v>
      </c>
      <c r="I38" s="30" t="s">
        <v>465</v>
      </c>
      <c r="J38" s="2">
        <v>500000</v>
      </c>
      <c r="K38" s="56">
        <v>70000</v>
      </c>
      <c r="L38" s="66">
        <v>59689.440000000002</v>
      </c>
      <c r="M38" s="56"/>
      <c r="N38" s="42">
        <f t="shared" si="11"/>
        <v>0.85270628571428575</v>
      </c>
      <c r="O38" s="13">
        <f t="shared" si="12"/>
        <v>0.11937888000000001</v>
      </c>
      <c r="P38" s="13" t="e">
        <f t="shared" si="13"/>
        <v>#DIV/0!</v>
      </c>
      <c r="Q38" s="51">
        <f t="shared" si="14"/>
        <v>440310.56</v>
      </c>
      <c r="R38" s="58"/>
      <c r="V38" s="42" t="e">
        <f t="shared" si="17"/>
        <v>#DIV/0!</v>
      </c>
      <c r="W38" s="13">
        <f t="shared" si="19"/>
        <v>0</v>
      </c>
      <c r="X38" s="13" t="e">
        <f t="shared" si="18"/>
        <v>#DIV/0!</v>
      </c>
      <c r="Y38" s="39">
        <f t="shared" si="20"/>
        <v>500000</v>
      </c>
    </row>
    <row r="39" spans="1:25" x14ac:dyDescent="0.25">
      <c r="A39" t="s">
        <v>367</v>
      </c>
      <c r="B39" t="s">
        <v>295</v>
      </c>
      <c r="C39" t="s">
        <v>296</v>
      </c>
      <c r="D39" t="s">
        <v>378</v>
      </c>
      <c r="E39" t="s">
        <v>379</v>
      </c>
      <c r="F39" s="30" t="s">
        <v>662</v>
      </c>
      <c r="G39" t="s">
        <v>369</v>
      </c>
      <c r="H39" t="s">
        <v>370</v>
      </c>
      <c r="I39" s="30" t="s">
        <v>465</v>
      </c>
      <c r="J39" s="2">
        <v>400000</v>
      </c>
      <c r="K39" s="56">
        <v>170000</v>
      </c>
      <c r="L39" s="66">
        <v>139773.6</v>
      </c>
      <c r="M39" s="56"/>
      <c r="N39" s="42">
        <f t="shared" si="11"/>
        <v>0.82219764705882359</v>
      </c>
      <c r="O39" s="13">
        <f t="shared" si="12"/>
        <v>0.34943400000000002</v>
      </c>
      <c r="P39" s="13" t="e">
        <f t="shared" si="13"/>
        <v>#DIV/0!</v>
      </c>
      <c r="Q39" s="51">
        <f t="shared" si="14"/>
        <v>260226.4</v>
      </c>
      <c r="R39" s="58"/>
      <c r="V39" s="42" t="e">
        <f t="shared" si="17"/>
        <v>#DIV/0!</v>
      </c>
      <c r="W39" s="13">
        <f t="shared" si="19"/>
        <v>0</v>
      </c>
      <c r="X39" s="13" t="e">
        <f t="shared" si="18"/>
        <v>#DIV/0!</v>
      </c>
      <c r="Y39" s="39">
        <f t="shared" si="20"/>
        <v>400000</v>
      </c>
    </row>
    <row r="40" spans="1:25" x14ac:dyDescent="0.25">
      <c r="A40" t="s">
        <v>367</v>
      </c>
      <c r="B40" t="s">
        <v>295</v>
      </c>
      <c r="C40" t="s">
        <v>296</v>
      </c>
      <c r="D40" t="s">
        <v>380</v>
      </c>
      <c r="E40" t="s">
        <v>381</v>
      </c>
      <c r="F40" s="30" t="s">
        <v>662</v>
      </c>
      <c r="G40" t="s">
        <v>369</v>
      </c>
      <c r="H40" t="s">
        <v>370</v>
      </c>
      <c r="I40" s="30" t="s">
        <v>465</v>
      </c>
      <c r="J40" s="2">
        <v>300000</v>
      </c>
      <c r="K40" s="56"/>
      <c r="L40" s="66">
        <v>0</v>
      </c>
      <c r="M40" s="56"/>
      <c r="N40" s="42" t="e">
        <f t="shared" si="11"/>
        <v>#DIV/0!</v>
      </c>
      <c r="O40" s="13">
        <f t="shared" si="12"/>
        <v>0</v>
      </c>
      <c r="P40" s="13" t="e">
        <f t="shared" si="13"/>
        <v>#DIV/0!</v>
      </c>
      <c r="Q40" s="51">
        <f t="shared" si="14"/>
        <v>300000</v>
      </c>
      <c r="R40" s="58"/>
      <c r="V40" s="42" t="e">
        <f t="shared" si="17"/>
        <v>#DIV/0!</v>
      </c>
      <c r="W40" s="13">
        <f t="shared" si="19"/>
        <v>0</v>
      </c>
      <c r="X40" s="13" t="e">
        <f t="shared" si="18"/>
        <v>#DIV/0!</v>
      </c>
      <c r="Y40" s="39">
        <f t="shared" si="20"/>
        <v>300000</v>
      </c>
    </row>
    <row r="41" spans="1:25" x14ac:dyDescent="0.25">
      <c r="A41" t="s">
        <v>367</v>
      </c>
      <c r="B41" t="s">
        <v>295</v>
      </c>
      <c r="C41" t="s">
        <v>296</v>
      </c>
      <c r="D41" t="s">
        <v>382</v>
      </c>
      <c r="E41" t="s">
        <v>383</v>
      </c>
      <c r="F41" s="30" t="s">
        <v>662</v>
      </c>
      <c r="G41" t="s">
        <v>369</v>
      </c>
      <c r="H41" t="s">
        <v>370</v>
      </c>
      <c r="I41" s="30" t="s">
        <v>465</v>
      </c>
      <c r="J41" s="2">
        <v>200000</v>
      </c>
      <c r="K41" s="56"/>
      <c r="L41" s="66">
        <v>0</v>
      </c>
      <c r="M41" s="56"/>
      <c r="N41" s="42" t="e">
        <f t="shared" si="11"/>
        <v>#DIV/0!</v>
      </c>
      <c r="O41" s="13">
        <f t="shared" si="12"/>
        <v>0</v>
      </c>
      <c r="P41" s="13" t="e">
        <f t="shared" si="13"/>
        <v>#DIV/0!</v>
      </c>
      <c r="Q41" s="51">
        <f t="shared" si="14"/>
        <v>200000</v>
      </c>
      <c r="R41" s="58"/>
      <c r="V41" s="42" t="e">
        <f t="shared" si="17"/>
        <v>#DIV/0!</v>
      </c>
      <c r="W41" s="13">
        <f t="shared" si="19"/>
        <v>0</v>
      </c>
      <c r="X41" s="13" t="e">
        <f t="shared" si="18"/>
        <v>#DIV/0!</v>
      </c>
      <c r="Y41" s="39">
        <f t="shared" si="20"/>
        <v>200000</v>
      </c>
    </row>
    <row r="42" spans="1:25" x14ac:dyDescent="0.25">
      <c r="A42" t="s">
        <v>367</v>
      </c>
      <c r="B42" t="s">
        <v>295</v>
      </c>
      <c r="C42" t="s">
        <v>296</v>
      </c>
      <c r="D42" s="81" t="s">
        <v>384</v>
      </c>
      <c r="E42" t="s">
        <v>385</v>
      </c>
      <c r="F42" s="30" t="s">
        <v>662</v>
      </c>
      <c r="G42" t="s">
        <v>369</v>
      </c>
      <c r="H42" t="s">
        <v>370</v>
      </c>
      <c r="I42" s="30" t="s">
        <v>465</v>
      </c>
      <c r="J42" s="2">
        <v>6000000</v>
      </c>
      <c r="K42" s="56">
        <v>1500000</v>
      </c>
      <c r="L42" s="66">
        <f>2022233.16-571583.93</f>
        <v>1450649.23</v>
      </c>
      <c r="M42" s="56"/>
      <c r="N42" s="42">
        <f t="shared" si="11"/>
        <v>0.96709948666666667</v>
      </c>
      <c r="O42" s="13">
        <f t="shared" si="12"/>
        <v>0.24177487166666667</v>
      </c>
      <c r="P42" s="13" t="e">
        <f t="shared" si="13"/>
        <v>#DIV/0!</v>
      </c>
      <c r="Q42" s="51">
        <f t="shared" si="14"/>
        <v>4549350.7699999996</v>
      </c>
      <c r="R42" s="58"/>
      <c r="S42" s="12">
        <v>560000</v>
      </c>
      <c r="T42" s="12">
        <f>367954.17+100086.71</f>
        <v>468040.88</v>
      </c>
      <c r="U42" s="12">
        <v>863257.14</v>
      </c>
      <c r="V42" s="42">
        <f t="shared" si="17"/>
        <v>0.83578728571428573</v>
      </c>
      <c r="W42" s="13">
        <f t="shared" si="19"/>
        <v>7.8006813333333327E-2</v>
      </c>
      <c r="X42" s="13">
        <f t="shared" si="18"/>
        <v>0.54218014345065246</v>
      </c>
      <c r="Y42" s="39">
        <f t="shared" si="20"/>
        <v>5440000</v>
      </c>
    </row>
    <row r="43" spans="1:25" x14ac:dyDescent="0.25">
      <c r="A43" t="s">
        <v>367</v>
      </c>
      <c r="B43" t="s">
        <v>295</v>
      </c>
      <c r="C43" t="s">
        <v>296</v>
      </c>
      <c r="D43" t="s">
        <v>386</v>
      </c>
      <c r="E43" t="s">
        <v>387</v>
      </c>
      <c r="F43" s="30" t="s">
        <v>662</v>
      </c>
      <c r="G43" t="s">
        <v>369</v>
      </c>
      <c r="H43" t="s">
        <v>370</v>
      </c>
      <c r="I43" s="30" t="s">
        <v>465</v>
      </c>
      <c r="J43" s="2">
        <v>300000</v>
      </c>
      <c r="K43" s="56"/>
      <c r="L43" s="66">
        <v>0</v>
      </c>
      <c r="M43" s="56"/>
      <c r="N43" s="42" t="e">
        <f t="shared" si="11"/>
        <v>#DIV/0!</v>
      </c>
      <c r="O43" s="13">
        <f t="shared" si="12"/>
        <v>0</v>
      </c>
      <c r="P43" s="13" t="e">
        <f t="shared" si="13"/>
        <v>#DIV/0!</v>
      </c>
      <c r="Q43" s="51">
        <f t="shared" si="14"/>
        <v>300000</v>
      </c>
      <c r="R43" s="58"/>
      <c r="T43" s="12"/>
      <c r="V43" s="42" t="e">
        <f t="shared" si="17"/>
        <v>#DIV/0!</v>
      </c>
      <c r="W43" s="13">
        <f t="shared" si="19"/>
        <v>0</v>
      </c>
      <c r="X43" s="13" t="e">
        <f t="shared" si="18"/>
        <v>#DIV/0!</v>
      </c>
      <c r="Y43" s="39">
        <f t="shared" si="20"/>
        <v>300000</v>
      </c>
    </row>
    <row r="44" spans="1:25" x14ac:dyDescent="0.25">
      <c r="A44" t="s">
        <v>367</v>
      </c>
      <c r="B44" t="s">
        <v>295</v>
      </c>
      <c r="C44" t="s">
        <v>296</v>
      </c>
      <c r="D44" t="s">
        <v>388</v>
      </c>
      <c r="E44" t="s">
        <v>389</v>
      </c>
      <c r="F44" s="30" t="s">
        <v>662</v>
      </c>
      <c r="G44" t="s">
        <v>369</v>
      </c>
      <c r="H44" t="s">
        <v>370</v>
      </c>
      <c r="I44" s="30" t="s">
        <v>465</v>
      </c>
      <c r="J44" s="2">
        <v>300000</v>
      </c>
      <c r="K44" s="56">
        <v>60000</v>
      </c>
      <c r="L44" s="66">
        <v>51343.199999999997</v>
      </c>
      <c r="M44" s="56"/>
      <c r="N44" s="42">
        <f t="shared" si="11"/>
        <v>0.85571999999999993</v>
      </c>
      <c r="O44" s="13">
        <f t="shared" si="12"/>
        <v>0.17114399999999999</v>
      </c>
      <c r="P44" s="13" t="e">
        <f t="shared" si="13"/>
        <v>#DIV/0!</v>
      </c>
      <c r="Q44" s="51">
        <f t="shared" si="14"/>
        <v>248656.8</v>
      </c>
      <c r="R44" s="58"/>
      <c r="V44" s="42" t="e">
        <f t="shared" ref="V44:V49" si="21">T44/S44</f>
        <v>#DIV/0!</v>
      </c>
      <c r="W44" s="13">
        <f t="shared" si="19"/>
        <v>0</v>
      </c>
      <c r="X44" s="13" t="e">
        <f t="shared" ref="X44:X49" si="22">T44/U44</f>
        <v>#DIV/0!</v>
      </c>
      <c r="Y44" s="39">
        <f t="shared" si="20"/>
        <v>300000</v>
      </c>
    </row>
    <row r="45" spans="1:25" x14ac:dyDescent="0.25">
      <c r="A45" t="s">
        <v>367</v>
      </c>
      <c r="B45" t="s">
        <v>295</v>
      </c>
      <c r="C45" t="s">
        <v>296</v>
      </c>
      <c r="D45" t="s">
        <v>390</v>
      </c>
      <c r="E45" t="s">
        <v>391</v>
      </c>
      <c r="F45" s="30" t="s">
        <v>662</v>
      </c>
      <c r="G45" t="s">
        <v>369</v>
      </c>
      <c r="H45" t="s">
        <v>370</v>
      </c>
      <c r="I45" s="30" t="s">
        <v>465</v>
      </c>
      <c r="J45" s="2">
        <v>200000</v>
      </c>
      <c r="K45" s="56">
        <v>35000</v>
      </c>
      <c r="L45" s="66">
        <v>29376</v>
      </c>
      <c r="M45" s="56"/>
      <c r="N45" s="42">
        <f t="shared" si="11"/>
        <v>0.83931428571428568</v>
      </c>
      <c r="O45" s="13">
        <f t="shared" si="12"/>
        <v>0.14688000000000001</v>
      </c>
      <c r="P45" s="13" t="e">
        <f t="shared" si="13"/>
        <v>#DIV/0!</v>
      </c>
      <c r="Q45" s="51">
        <f t="shared" si="14"/>
        <v>170624</v>
      </c>
      <c r="R45" s="58"/>
      <c r="V45" s="42" t="e">
        <f t="shared" si="21"/>
        <v>#DIV/0!</v>
      </c>
      <c r="W45" s="13">
        <f t="shared" si="19"/>
        <v>0</v>
      </c>
      <c r="X45" s="13" t="e">
        <f t="shared" si="22"/>
        <v>#DIV/0!</v>
      </c>
      <c r="Y45" s="39">
        <f t="shared" si="20"/>
        <v>200000</v>
      </c>
    </row>
    <row r="46" spans="1:25" x14ac:dyDescent="0.25">
      <c r="A46" t="s">
        <v>367</v>
      </c>
      <c r="B46" t="s">
        <v>295</v>
      </c>
      <c r="C46" t="s">
        <v>296</v>
      </c>
      <c r="D46" t="s">
        <v>392</v>
      </c>
      <c r="E46" t="s">
        <v>393</v>
      </c>
      <c r="F46" s="30" t="s">
        <v>662</v>
      </c>
      <c r="G46" t="s">
        <v>369</v>
      </c>
      <c r="H46" t="s">
        <v>370</v>
      </c>
      <c r="I46" s="30" t="s">
        <v>465</v>
      </c>
      <c r="J46" s="2">
        <v>100000</v>
      </c>
      <c r="K46" s="56"/>
      <c r="L46" s="66">
        <v>0</v>
      </c>
      <c r="M46" s="56"/>
      <c r="N46" s="42" t="e">
        <f t="shared" si="11"/>
        <v>#DIV/0!</v>
      </c>
      <c r="O46" s="13">
        <f t="shared" si="12"/>
        <v>0</v>
      </c>
      <c r="P46" s="13" t="e">
        <f t="shared" si="13"/>
        <v>#DIV/0!</v>
      </c>
      <c r="Q46" s="51">
        <f t="shared" si="14"/>
        <v>100000</v>
      </c>
      <c r="R46" s="58"/>
      <c r="V46" s="42" t="e">
        <f t="shared" si="21"/>
        <v>#DIV/0!</v>
      </c>
      <c r="W46" s="13">
        <f t="shared" si="19"/>
        <v>0</v>
      </c>
      <c r="X46" s="13" t="e">
        <f t="shared" si="22"/>
        <v>#DIV/0!</v>
      </c>
      <c r="Y46" s="39">
        <f t="shared" si="20"/>
        <v>100000</v>
      </c>
    </row>
    <row r="47" spans="1:25" x14ac:dyDescent="0.25">
      <c r="A47" t="s">
        <v>367</v>
      </c>
      <c r="B47" t="s">
        <v>295</v>
      </c>
      <c r="C47" t="s">
        <v>296</v>
      </c>
      <c r="D47" t="s">
        <v>394</v>
      </c>
      <c r="E47" t="s">
        <v>395</v>
      </c>
      <c r="F47" s="30" t="s">
        <v>662</v>
      </c>
      <c r="G47" t="s">
        <v>369</v>
      </c>
      <c r="H47" t="s">
        <v>370</v>
      </c>
      <c r="I47" s="30" t="s">
        <v>465</v>
      </c>
      <c r="J47" s="2">
        <v>100000</v>
      </c>
      <c r="L47" s="66">
        <v>0</v>
      </c>
      <c r="M47" s="56"/>
      <c r="N47" s="42" t="e">
        <f t="shared" si="11"/>
        <v>#DIV/0!</v>
      </c>
      <c r="O47" s="13">
        <f t="shared" si="12"/>
        <v>0</v>
      </c>
      <c r="P47" s="13" t="e">
        <f t="shared" si="13"/>
        <v>#DIV/0!</v>
      </c>
      <c r="Q47" s="51">
        <f t="shared" si="14"/>
        <v>100000</v>
      </c>
      <c r="R47" s="58"/>
      <c r="V47" s="42" t="e">
        <f t="shared" si="21"/>
        <v>#DIV/0!</v>
      </c>
      <c r="W47" s="13">
        <f t="shared" si="19"/>
        <v>0</v>
      </c>
      <c r="X47" s="13" t="e">
        <f t="shared" si="22"/>
        <v>#DIV/0!</v>
      </c>
      <c r="Y47" s="39">
        <f t="shared" si="20"/>
        <v>100000</v>
      </c>
    </row>
    <row r="48" spans="1:25" x14ac:dyDescent="0.25">
      <c r="A48" t="s">
        <v>367</v>
      </c>
      <c r="B48" t="s">
        <v>341</v>
      </c>
      <c r="C48" t="s">
        <v>342</v>
      </c>
      <c r="D48" t="s">
        <v>432</v>
      </c>
      <c r="E48" t="s">
        <v>433</v>
      </c>
      <c r="F48" s="30" t="s">
        <v>662</v>
      </c>
      <c r="G48" t="s">
        <v>369</v>
      </c>
      <c r="H48" t="s">
        <v>370</v>
      </c>
      <c r="I48" s="30" t="s">
        <v>465</v>
      </c>
      <c r="J48" s="2">
        <v>526000</v>
      </c>
      <c r="K48" s="12">
        <v>280000</v>
      </c>
      <c r="L48" s="66">
        <v>237755</v>
      </c>
      <c r="M48" s="56"/>
      <c r="N48" s="42">
        <f t="shared" si="11"/>
        <v>0.84912500000000002</v>
      </c>
      <c r="O48" s="13">
        <f t="shared" si="12"/>
        <v>0.45200570342205321</v>
      </c>
      <c r="P48" s="13" t="e">
        <f t="shared" si="13"/>
        <v>#DIV/0!</v>
      </c>
      <c r="Q48" s="51">
        <f t="shared" si="14"/>
        <v>288245</v>
      </c>
      <c r="R48" s="58"/>
      <c r="V48" s="42" t="e">
        <f t="shared" si="21"/>
        <v>#DIV/0!</v>
      </c>
      <c r="W48" s="13">
        <f t="shared" si="19"/>
        <v>0</v>
      </c>
      <c r="X48" s="13" t="e">
        <f t="shared" si="22"/>
        <v>#DIV/0!</v>
      </c>
      <c r="Y48" s="39">
        <f t="shared" si="20"/>
        <v>526000</v>
      </c>
    </row>
    <row r="49" spans="1:25" x14ac:dyDescent="0.25">
      <c r="A49" t="s">
        <v>367</v>
      </c>
      <c r="B49" t="s">
        <v>341</v>
      </c>
      <c r="C49" t="s">
        <v>342</v>
      </c>
      <c r="D49" t="s">
        <v>434</v>
      </c>
      <c r="E49" t="s">
        <v>435</v>
      </c>
      <c r="F49" s="30" t="s">
        <v>662</v>
      </c>
      <c r="G49" t="s">
        <v>369</v>
      </c>
      <c r="H49" t="s">
        <v>370</v>
      </c>
      <c r="I49" s="30" t="s">
        <v>465</v>
      </c>
      <c r="J49" s="2">
        <v>520000</v>
      </c>
      <c r="K49" s="56">
        <v>520000</v>
      </c>
      <c r="L49" s="66">
        <v>461844</v>
      </c>
      <c r="M49" s="56"/>
      <c r="N49" s="42">
        <f t="shared" si="11"/>
        <v>0.88816153846153845</v>
      </c>
      <c r="O49" s="13">
        <f t="shared" si="12"/>
        <v>0.88816153846153845</v>
      </c>
      <c r="P49" s="13" t="e">
        <f t="shared" si="13"/>
        <v>#DIV/0!</v>
      </c>
      <c r="Q49" s="51">
        <f t="shared" si="14"/>
        <v>58156</v>
      </c>
      <c r="R49" s="58"/>
      <c r="V49" s="42" t="e">
        <f t="shared" si="21"/>
        <v>#DIV/0!</v>
      </c>
      <c r="W49" s="13">
        <f t="shared" si="19"/>
        <v>0</v>
      </c>
      <c r="X49" s="13" t="e">
        <f t="shared" si="22"/>
        <v>#DIV/0!</v>
      </c>
      <c r="Y49" s="39">
        <f t="shared" si="20"/>
        <v>520000</v>
      </c>
    </row>
    <row r="50" spans="1:25" x14ac:dyDescent="0.25">
      <c r="F50" s="30"/>
      <c r="H50" s="51"/>
      <c r="I50" s="30"/>
      <c r="J50" s="30"/>
      <c r="K50" s="30"/>
      <c r="L50" s="56"/>
      <c r="M50" s="56"/>
      <c r="Q50" s="2"/>
      <c r="R50" s="58"/>
      <c r="V50" s="42"/>
      <c r="W50" s="13"/>
      <c r="X50" s="13"/>
      <c r="Y50" s="39"/>
    </row>
    <row r="51" spans="1:25" s="73" customFormat="1" x14ac:dyDescent="0.25">
      <c r="A51" s="73" t="s">
        <v>367</v>
      </c>
      <c r="B51" s="73" t="s">
        <v>329</v>
      </c>
      <c r="C51" s="73" t="s">
        <v>330</v>
      </c>
      <c r="D51" s="73" t="s">
        <v>3</v>
      </c>
      <c r="E51" s="73" t="s">
        <v>3</v>
      </c>
      <c r="G51" s="73" t="s">
        <v>400</v>
      </c>
      <c r="H51" s="73" t="s">
        <v>401</v>
      </c>
      <c r="J51" s="73" t="s">
        <v>3</v>
      </c>
      <c r="K51" s="77"/>
      <c r="L51" s="77"/>
      <c r="M51" s="77"/>
      <c r="S51" s="73" t="s">
        <v>3</v>
      </c>
      <c r="T51" s="73" t="s">
        <v>3</v>
      </c>
      <c r="U51" s="77"/>
    </row>
    <row r="52" spans="1:25" x14ac:dyDescent="0.25">
      <c r="A52" t="s">
        <v>367</v>
      </c>
      <c r="B52" t="s">
        <v>329</v>
      </c>
      <c r="C52" t="s">
        <v>330</v>
      </c>
      <c r="D52" t="s">
        <v>402</v>
      </c>
      <c r="E52" t="s">
        <v>403</v>
      </c>
      <c r="F52" s="30" t="s">
        <v>661</v>
      </c>
      <c r="G52" t="s">
        <v>369</v>
      </c>
      <c r="H52" t="s">
        <v>370</v>
      </c>
      <c r="I52" s="30" t="s">
        <v>462</v>
      </c>
      <c r="J52" s="2">
        <v>295000</v>
      </c>
      <c r="K52" s="56">
        <v>295000</v>
      </c>
      <c r="L52" s="66">
        <v>294030</v>
      </c>
      <c r="M52" s="56"/>
      <c r="N52" s="42">
        <f t="shared" ref="N52:N65" si="23">L52/K52</f>
        <v>0.99671186440677961</v>
      </c>
      <c r="O52" s="13">
        <f t="shared" ref="O52:O65" si="24">L52/J52</f>
        <v>0.99671186440677961</v>
      </c>
      <c r="P52" s="13" t="e">
        <f t="shared" ref="P52:P65" si="25">L52/M52</f>
        <v>#DIV/0!</v>
      </c>
      <c r="Q52" s="51">
        <f t="shared" ref="Q52:Q65" si="26">J52-L52</f>
        <v>970</v>
      </c>
      <c r="R52" s="58"/>
      <c r="S52" s="50"/>
      <c r="T52" s="50"/>
      <c r="U52" s="50"/>
      <c r="V52" s="42" t="e">
        <f t="shared" ref="V52:V63" si="27">T52/S52</f>
        <v>#DIV/0!</v>
      </c>
      <c r="W52" s="13">
        <f>T52/J52</f>
        <v>0</v>
      </c>
      <c r="X52" s="13" t="e">
        <f t="shared" ref="X52:X63" si="28">T52/U52</f>
        <v>#DIV/0!</v>
      </c>
      <c r="Y52" s="39">
        <f>J52-S52</f>
        <v>295000</v>
      </c>
    </row>
    <row r="53" spans="1:25" x14ac:dyDescent="0.25">
      <c r="A53" t="s">
        <v>367</v>
      </c>
      <c r="B53" t="s">
        <v>329</v>
      </c>
      <c r="C53" t="s">
        <v>330</v>
      </c>
      <c r="D53" s="81" t="s">
        <v>404</v>
      </c>
      <c r="E53" t="s">
        <v>405</v>
      </c>
      <c r="F53" s="30" t="s">
        <v>661</v>
      </c>
      <c r="G53" t="s">
        <v>369</v>
      </c>
      <c r="H53" t="s">
        <v>370</v>
      </c>
      <c r="I53" s="30" t="s">
        <v>462</v>
      </c>
      <c r="J53" s="2">
        <v>250000</v>
      </c>
      <c r="K53" s="56">
        <f>250000-65000</f>
        <v>185000</v>
      </c>
      <c r="L53" s="66">
        <v>180900</v>
      </c>
      <c r="M53" s="56"/>
      <c r="N53" s="42">
        <f t="shared" si="23"/>
        <v>0.97783783783783784</v>
      </c>
      <c r="O53" s="13">
        <f t="shared" si="24"/>
        <v>0.72360000000000002</v>
      </c>
      <c r="P53" s="13" t="e">
        <f t="shared" si="25"/>
        <v>#DIV/0!</v>
      </c>
      <c r="Q53" s="51">
        <f t="shared" si="26"/>
        <v>69100</v>
      </c>
      <c r="R53" s="58"/>
      <c r="S53" s="50">
        <v>217000</v>
      </c>
      <c r="T53" s="50">
        <v>180900</v>
      </c>
      <c r="U53" s="50"/>
      <c r="V53" s="42">
        <f>T53/S53</f>
        <v>0.83364055299539175</v>
      </c>
      <c r="W53" s="13">
        <f>T53/J53</f>
        <v>0.72360000000000002</v>
      </c>
      <c r="X53" s="13" t="e">
        <f>T53/U53</f>
        <v>#DIV/0!</v>
      </c>
      <c r="Y53" s="39">
        <f>J53-S53</f>
        <v>33000</v>
      </c>
    </row>
    <row r="54" spans="1:25" x14ac:dyDescent="0.25">
      <c r="A54" t="s">
        <v>367</v>
      </c>
      <c r="B54" t="s">
        <v>329</v>
      </c>
      <c r="C54" t="s">
        <v>330</v>
      </c>
      <c r="D54" t="s">
        <v>406</v>
      </c>
      <c r="E54" t="s">
        <v>407</v>
      </c>
      <c r="F54" s="30" t="s">
        <v>661</v>
      </c>
      <c r="G54" t="s">
        <v>369</v>
      </c>
      <c r="H54" t="s">
        <v>370</v>
      </c>
      <c r="I54" s="30" t="s">
        <v>462</v>
      </c>
      <c r="J54" s="2">
        <v>1600000</v>
      </c>
      <c r="L54" s="66">
        <v>0</v>
      </c>
      <c r="M54" s="56">
        <v>202932</v>
      </c>
      <c r="N54" s="42" t="e">
        <f>L54/#REF!</f>
        <v>#REF!</v>
      </c>
      <c r="O54" s="13">
        <f t="shared" si="24"/>
        <v>0</v>
      </c>
      <c r="P54" s="13">
        <f t="shared" si="25"/>
        <v>0</v>
      </c>
      <c r="Q54" s="51">
        <f t="shared" si="26"/>
        <v>1600000</v>
      </c>
      <c r="R54" s="58"/>
      <c r="S54" s="50"/>
      <c r="T54" s="50"/>
      <c r="U54" s="50"/>
      <c r="V54" s="42" t="e">
        <f t="shared" si="27"/>
        <v>#DIV/0!</v>
      </c>
      <c r="W54" s="13">
        <f>T54/J54</f>
        <v>0</v>
      </c>
      <c r="X54" s="13" t="e">
        <f t="shared" si="28"/>
        <v>#DIV/0!</v>
      </c>
      <c r="Y54" s="39">
        <f>J54-S54</f>
        <v>1600000</v>
      </c>
    </row>
    <row r="55" spans="1:25" x14ac:dyDescent="0.25">
      <c r="A55" t="s">
        <v>367</v>
      </c>
      <c r="B55" t="s">
        <v>329</v>
      </c>
      <c r="C55" t="s">
        <v>330</v>
      </c>
      <c r="D55" t="s">
        <v>408</v>
      </c>
      <c r="E55" t="s">
        <v>409</v>
      </c>
      <c r="F55" s="30" t="s">
        <v>661</v>
      </c>
      <c r="G55" t="s">
        <v>369</v>
      </c>
      <c r="H55" t="s">
        <v>370</v>
      </c>
      <c r="I55" s="30" t="s">
        <v>462</v>
      </c>
      <c r="J55" s="2">
        <v>300000</v>
      </c>
      <c r="K55" s="2">
        <v>200000</v>
      </c>
      <c r="L55" s="66">
        <v>165240</v>
      </c>
      <c r="M55" s="56"/>
      <c r="N55" s="42">
        <f t="shared" si="23"/>
        <v>0.82620000000000005</v>
      </c>
      <c r="O55" s="13">
        <f t="shared" si="24"/>
        <v>0.55079999999999996</v>
      </c>
      <c r="P55" s="13" t="e">
        <f t="shared" si="25"/>
        <v>#DIV/0!</v>
      </c>
      <c r="Q55" s="51">
        <f t="shared" si="26"/>
        <v>134760</v>
      </c>
      <c r="R55" s="58"/>
      <c r="S55" s="50"/>
      <c r="T55" s="50"/>
      <c r="U55" s="50"/>
      <c r="V55" s="42" t="e">
        <f t="shared" si="27"/>
        <v>#DIV/0!</v>
      </c>
      <c r="W55" s="13">
        <f>T55/J55</f>
        <v>0</v>
      </c>
      <c r="X55" s="13" t="e">
        <f t="shared" si="28"/>
        <v>#DIV/0!</v>
      </c>
      <c r="Y55" s="39">
        <f>J55-S55</f>
        <v>300000</v>
      </c>
    </row>
    <row r="56" spans="1:25" x14ac:dyDescent="0.25">
      <c r="A56" t="s">
        <v>367</v>
      </c>
      <c r="B56" t="s">
        <v>329</v>
      </c>
      <c r="C56" t="s">
        <v>330</v>
      </c>
      <c r="D56" t="s">
        <v>410</v>
      </c>
      <c r="E56" t="s">
        <v>411</v>
      </c>
      <c r="F56" s="30" t="s">
        <v>661</v>
      </c>
      <c r="G56" t="s">
        <v>369</v>
      </c>
      <c r="H56" t="s">
        <v>370</v>
      </c>
      <c r="I56" s="30" t="s">
        <v>462</v>
      </c>
      <c r="J56" s="2">
        <v>450000</v>
      </c>
      <c r="K56" s="56"/>
      <c r="L56" s="66">
        <v>0</v>
      </c>
      <c r="M56" s="56"/>
      <c r="N56" s="42" t="e">
        <f t="shared" si="23"/>
        <v>#DIV/0!</v>
      </c>
      <c r="O56" s="13">
        <f t="shared" si="24"/>
        <v>0</v>
      </c>
      <c r="P56" s="13" t="e">
        <f t="shared" si="25"/>
        <v>#DIV/0!</v>
      </c>
      <c r="Q56" s="51">
        <f t="shared" si="26"/>
        <v>450000</v>
      </c>
      <c r="R56" s="58"/>
      <c r="S56" s="50"/>
      <c r="T56" s="50"/>
      <c r="U56" s="50"/>
      <c r="V56" s="42" t="e">
        <f t="shared" si="27"/>
        <v>#DIV/0!</v>
      </c>
      <c r="W56" s="13">
        <f>T56/J56</f>
        <v>0</v>
      </c>
      <c r="X56" s="13" t="e">
        <f t="shared" si="28"/>
        <v>#DIV/0!</v>
      </c>
      <c r="Y56" s="39">
        <f>J56-S56</f>
        <v>450000</v>
      </c>
    </row>
    <row r="57" spans="1:25" x14ac:dyDescent="0.25">
      <c r="A57" t="s">
        <v>367</v>
      </c>
      <c r="B57" t="s">
        <v>329</v>
      </c>
      <c r="C57" t="s">
        <v>330</v>
      </c>
      <c r="D57" s="132" t="s">
        <v>750</v>
      </c>
      <c r="E57" t="s">
        <v>751</v>
      </c>
      <c r="F57" s="30" t="s">
        <v>661</v>
      </c>
      <c r="G57" t="s">
        <v>369</v>
      </c>
      <c r="H57" t="s">
        <v>370</v>
      </c>
      <c r="I57" s="30" t="s">
        <v>462</v>
      </c>
      <c r="J57" s="131">
        <v>100000</v>
      </c>
      <c r="K57" s="56"/>
      <c r="L57" s="66">
        <v>0</v>
      </c>
      <c r="M57" s="56"/>
      <c r="N57" s="42" t="e">
        <f t="shared" si="23"/>
        <v>#DIV/0!</v>
      </c>
      <c r="O57" s="13">
        <f t="shared" si="24"/>
        <v>0</v>
      </c>
      <c r="P57" s="13" t="e">
        <f t="shared" si="25"/>
        <v>#DIV/0!</v>
      </c>
      <c r="Q57" s="51">
        <f t="shared" si="26"/>
        <v>100000</v>
      </c>
      <c r="R57" s="58"/>
      <c r="S57" s="50"/>
      <c r="T57" s="50"/>
      <c r="U57" s="50"/>
      <c r="V57" s="42"/>
      <c r="W57" s="13"/>
      <c r="X57" s="13"/>
      <c r="Y57" s="39"/>
    </row>
    <row r="58" spans="1:25" x14ac:dyDescent="0.25">
      <c r="A58" t="s">
        <v>367</v>
      </c>
      <c r="B58" t="s">
        <v>329</v>
      </c>
      <c r="C58" t="s">
        <v>330</v>
      </c>
      <c r="D58" t="s">
        <v>412</v>
      </c>
      <c r="E58" t="s">
        <v>413</v>
      </c>
      <c r="F58" s="30" t="s">
        <v>661</v>
      </c>
      <c r="G58" t="s">
        <v>369</v>
      </c>
      <c r="H58" t="s">
        <v>370</v>
      </c>
      <c r="I58" s="30" t="s">
        <v>462</v>
      </c>
      <c r="J58" s="2">
        <v>100000</v>
      </c>
      <c r="K58" s="56">
        <v>20000</v>
      </c>
      <c r="L58" s="66">
        <v>17280</v>
      </c>
      <c r="M58" s="56"/>
      <c r="N58" s="42">
        <f t="shared" si="23"/>
        <v>0.86399999999999999</v>
      </c>
      <c r="O58" s="13">
        <f t="shared" si="24"/>
        <v>0.17280000000000001</v>
      </c>
      <c r="P58" s="13" t="e">
        <f t="shared" si="25"/>
        <v>#DIV/0!</v>
      </c>
      <c r="Q58" s="51">
        <f t="shared" si="26"/>
        <v>82720</v>
      </c>
      <c r="R58" s="58"/>
      <c r="S58" s="50"/>
      <c r="T58" s="50"/>
      <c r="U58" s="50"/>
      <c r="V58" s="42" t="e">
        <f t="shared" si="27"/>
        <v>#DIV/0!</v>
      </c>
      <c r="W58" s="13">
        <f t="shared" ref="W58:W63" si="29">T58/J58</f>
        <v>0</v>
      </c>
      <c r="X58" s="13" t="e">
        <f t="shared" si="28"/>
        <v>#DIV/0!</v>
      </c>
      <c r="Y58" s="39">
        <f t="shared" ref="Y58:Y63" si="30">J58-S58</f>
        <v>100000</v>
      </c>
    </row>
    <row r="59" spans="1:25" x14ac:dyDescent="0.25">
      <c r="A59" t="s">
        <v>367</v>
      </c>
      <c r="B59" t="s">
        <v>329</v>
      </c>
      <c r="C59" t="s">
        <v>330</v>
      </c>
      <c r="D59" t="s">
        <v>414</v>
      </c>
      <c r="E59" t="s">
        <v>415</v>
      </c>
      <c r="F59" s="30" t="s">
        <v>661</v>
      </c>
      <c r="G59" t="s">
        <v>369</v>
      </c>
      <c r="H59" t="s">
        <v>370</v>
      </c>
      <c r="I59" s="30" t="s">
        <v>462</v>
      </c>
      <c r="J59" s="2">
        <v>819000</v>
      </c>
      <c r="K59" s="56"/>
      <c r="L59" s="66">
        <v>0</v>
      </c>
      <c r="M59" s="56"/>
      <c r="N59" s="42" t="e">
        <f t="shared" si="23"/>
        <v>#DIV/0!</v>
      </c>
      <c r="O59" s="13">
        <f t="shared" si="24"/>
        <v>0</v>
      </c>
      <c r="P59" s="13" t="e">
        <f t="shared" si="25"/>
        <v>#DIV/0!</v>
      </c>
      <c r="Q59" s="51">
        <f t="shared" si="26"/>
        <v>819000</v>
      </c>
      <c r="R59" s="58"/>
      <c r="S59" s="50"/>
      <c r="T59" s="50"/>
      <c r="U59" s="50"/>
      <c r="V59" s="42" t="e">
        <f t="shared" si="27"/>
        <v>#DIV/0!</v>
      </c>
      <c r="W59" s="13">
        <f t="shared" si="29"/>
        <v>0</v>
      </c>
      <c r="X59" s="13" t="e">
        <f t="shared" si="28"/>
        <v>#DIV/0!</v>
      </c>
      <c r="Y59" s="39">
        <f t="shared" si="30"/>
        <v>819000</v>
      </c>
    </row>
    <row r="60" spans="1:25" x14ac:dyDescent="0.25">
      <c r="A60" t="s">
        <v>367</v>
      </c>
      <c r="B60" t="s">
        <v>329</v>
      </c>
      <c r="C60" t="s">
        <v>330</v>
      </c>
      <c r="D60" t="s">
        <v>416</v>
      </c>
      <c r="E60" t="s">
        <v>417</v>
      </c>
      <c r="F60" s="30" t="s">
        <v>661</v>
      </c>
      <c r="G60" t="s">
        <v>369</v>
      </c>
      <c r="H60" t="s">
        <v>370</v>
      </c>
      <c r="I60" s="30" t="s">
        <v>462</v>
      </c>
      <c r="J60" s="2">
        <v>1316000</v>
      </c>
      <c r="K60" s="66">
        <v>400000</v>
      </c>
      <c r="L60" s="66">
        <v>395502.74</v>
      </c>
      <c r="M60" s="56"/>
      <c r="N60" s="42">
        <f t="shared" si="23"/>
        <v>0.98875685000000002</v>
      </c>
      <c r="O60" s="13">
        <f t="shared" si="24"/>
        <v>0.30053399696048633</v>
      </c>
      <c r="P60" s="13" t="e">
        <f t="shared" si="25"/>
        <v>#DIV/0!</v>
      </c>
      <c r="Q60" s="51">
        <f t="shared" si="26"/>
        <v>920497.26</v>
      </c>
      <c r="R60" s="58"/>
      <c r="S60" s="50"/>
      <c r="T60" s="50"/>
      <c r="U60" s="50"/>
      <c r="V60" s="42" t="e">
        <f t="shared" si="27"/>
        <v>#DIV/0!</v>
      </c>
      <c r="W60" s="13">
        <f t="shared" si="29"/>
        <v>0</v>
      </c>
      <c r="X60" s="13" t="e">
        <f t="shared" si="28"/>
        <v>#DIV/0!</v>
      </c>
      <c r="Y60" s="39">
        <f t="shared" si="30"/>
        <v>1316000</v>
      </c>
    </row>
    <row r="61" spans="1:25" x14ac:dyDescent="0.25">
      <c r="A61" t="s">
        <v>367</v>
      </c>
      <c r="B61" t="s">
        <v>329</v>
      </c>
      <c r="C61" t="s">
        <v>330</v>
      </c>
      <c r="D61" t="s">
        <v>418</v>
      </c>
      <c r="E61" t="s">
        <v>419</v>
      </c>
      <c r="F61" s="30" t="s">
        <v>661</v>
      </c>
      <c r="G61" t="s">
        <v>369</v>
      </c>
      <c r="H61" t="s">
        <v>370</v>
      </c>
      <c r="I61" s="30" t="s">
        <v>462</v>
      </c>
      <c r="J61" s="2">
        <v>220000</v>
      </c>
      <c r="K61" s="56"/>
      <c r="L61" s="66">
        <v>0</v>
      </c>
      <c r="M61" s="56"/>
      <c r="N61" s="42" t="e">
        <f t="shared" si="23"/>
        <v>#DIV/0!</v>
      </c>
      <c r="O61" s="13">
        <f t="shared" si="24"/>
        <v>0</v>
      </c>
      <c r="P61" s="13" t="e">
        <f t="shared" si="25"/>
        <v>#DIV/0!</v>
      </c>
      <c r="Q61" s="51">
        <f t="shared" si="26"/>
        <v>220000</v>
      </c>
      <c r="R61" s="58"/>
      <c r="S61" s="50"/>
      <c r="T61" s="50"/>
      <c r="U61" s="50"/>
      <c r="V61" s="42" t="e">
        <f t="shared" si="27"/>
        <v>#DIV/0!</v>
      </c>
      <c r="W61" s="13">
        <f t="shared" si="29"/>
        <v>0</v>
      </c>
      <c r="X61" s="13" t="e">
        <f t="shared" si="28"/>
        <v>#DIV/0!</v>
      </c>
      <c r="Y61" s="39">
        <f t="shared" si="30"/>
        <v>220000</v>
      </c>
    </row>
    <row r="62" spans="1:25" x14ac:dyDescent="0.25">
      <c r="A62" t="s">
        <v>367</v>
      </c>
      <c r="B62" t="s">
        <v>329</v>
      </c>
      <c r="C62" t="s">
        <v>330</v>
      </c>
      <c r="D62" t="s">
        <v>420</v>
      </c>
      <c r="E62" t="s">
        <v>421</v>
      </c>
      <c r="F62" s="30" t="s">
        <v>661</v>
      </c>
      <c r="G62" t="s">
        <v>369</v>
      </c>
      <c r="H62" t="s">
        <v>370</v>
      </c>
      <c r="I62" s="30" t="s">
        <v>462</v>
      </c>
      <c r="J62" s="2">
        <v>450000</v>
      </c>
      <c r="K62" s="56"/>
      <c r="L62" s="66">
        <v>0</v>
      </c>
      <c r="M62" s="56"/>
      <c r="N62" s="42" t="e">
        <f t="shared" si="23"/>
        <v>#DIV/0!</v>
      </c>
      <c r="O62" s="13">
        <f t="shared" si="24"/>
        <v>0</v>
      </c>
      <c r="P62" s="13" t="e">
        <f t="shared" si="25"/>
        <v>#DIV/0!</v>
      </c>
      <c r="Q62" s="51">
        <f t="shared" si="26"/>
        <v>450000</v>
      </c>
      <c r="R62" s="58"/>
      <c r="S62" s="50"/>
      <c r="T62" s="50"/>
      <c r="U62" s="50"/>
      <c r="V62" s="42" t="e">
        <f t="shared" si="27"/>
        <v>#DIV/0!</v>
      </c>
      <c r="W62" s="13">
        <f t="shared" si="29"/>
        <v>0</v>
      </c>
      <c r="X62" s="13" t="e">
        <f t="shared" si="28"/>
        <v>#DIV/0!</v>
      </c>
      <c r="Y62" s="39">
        <f t="shared" si="30"/>
        <v>450000</v>
      </c>
    </row>
    <row r="63" spans="1:25" x14ac:dyDescent="0.25">
      <c r="A63" t="s">
        <v>367</v>
      </c>
      <c r="B63" t="s">
        <v>329</v>
      </c>
      <c r="C63" t="s">
        <v>330</v>
      </c>
      <c r="D63" t="s">
        <v>422</v>
      </c>
      <c r="E63" t="s">
        <v>423</v>
      </c>
      <c r="F63" s="30" t="s">
        <v>661</v>
      </c>
      <c r="G63" t="s">
        <v>369</v>
      </c>
      <c r="H63" t="s">
        <v>370</v>
      </c>
      <c r="I63" s="30" t="s">
        <v>462</v>
      </c>
      <c r="J63" s="2">
        <v>600000</v>
      </c>
      <c r="K63" s="56">
        <v>500000</v>
      </c>
      <c r="L63" s="66">
        <v>408647.5</v>
      </c>
      <c r="M63" s="56"/>
      <c r="N63" s="42">
        <f t="shared" si="23"/>
        <v>0.81729499999999999</v>
      </c>
      <c r="O63" s="13">
        <f t="shared" si="24"/>
        <v>0.68107916666666668</v>
      </c>
      <c r="P63" s="13" t="e">
        <f t="shared" si="25"/>
        <v>#DIV/0!</v>
      </c>
      <c r="Q63" s="51">
        <f t="shared" si="26"/>
        <v>191352.5</v>
      </c>
      <c r="R63" s="58"/>
      <c r="S63" s="50"/>
      <c r="T63" s="50"/>
      <c r="U63" s="50"/>
      <c r="V63" s="42" t="e">
        <f t="shared" si="27"/>
        <v>#DIV/0!</v>
      </c>
      <c r="W63" s="13">
        <f t="shared" si="29"/>
        <v>0</v>
      </c>
      <c r="X63" s="13" t="e">
        <f t="shared" si="28"/>
        <v>#DIV/0!</v>
      </c>
      <c r="Y63" s="39">
        <f t="shared" si="30"/>
        <v>600000</v>
      </c>
    </row>
    <row r="64" spans="1:25" x14ac:dyDescent="0.25">
      <c r="L64" s="66"/>
      <c r="M64" s="56"/>
      <c r="N64" s="42" t="e">
        <f t="shared" si="23"/>
        <v>#DIV/0!</v>
      </c>
      <c r="O64" s="13" t="e">
        <f t="shared" si="24"/>
        <v>#DIV/0!</v>
      </c>
      <c r="P64" s="13" t="e">
        <f t="shared" si="25"/>
        <v>#DIV/0!</v>
      </c>
      <c r="Q64" s="51">
        <f t="shared" si="26"/>
        <v>0</v>
      </c>
    </row>
    <row r="65" spans="1:25" x14ac:dyDescent="0.25">
      <c r="A65" s="112" t="s">
        <v>367</v>
      </c>
      <c r="B65" s="112" t="s">
        <v>744</v>
      </c>
      <c r="C65" s="112" t="s">
        <v>896</v>
      </c>
      <c r="D65" s="112"/>
      <c r="E65" s="112" t="s">
        <v>896</v>
      </c>
      <c r="F65" s="112"/>
      <c r="G65" s="112" t="s">
        <v>897</v>
      </c>
      <c r="H65" s="112"/>
      <c r="I65" s="112"/>
      <c r="J65" s="119">
        <v>9100000</v>
      </c>
      <c r="K65" s="12">
        <v>0</v>
      </c>
      <c r="L65" s="12">
        <v>0</v>
      </c>
      <c r="M65" s="12">
        <v>0</v>
      </c>
      <c r="N65" s="42" t="e">
        <f t="shared" si="23"/>
        <v>#DIV/0!</v>
      </c>
      <c r="O65" s="13">
        <f t="shared" si="24"/>
        <v>0</v>
      </c>
      <c r="P65" s="13" t="e">
        <f t="shared" si="25"/>
        <v>#DIV/0!</v>
      </c>
      <c r="Q65" s="51">
        <f t="shared" si="26"/>
        <v>9100000</v>
      </c>
    </row>
    <row r="66" spans="1:25" ht="13" thickBot="1" x14ac:dyDescent="0.3"/>
    <row r="67" spans="1:25" ht="13.5" thickBot="1" x14ac:dyDescent="0.3">
      <c r="J67" s="76">
        <f>SUM(J2:J65)</f>
        <v>91000000</v>
      </c>
      <c r="K67" s="76">
        <f t="shared" ref="K67:M67" si="31">SUM(K2:K65)</f>
        <v>11845000</v>
      </c>
      <c r="L67" s="76">
        <f t="shared" si="31"/>
        <v>10539572.42</v>
      </c>
      <c r="M67" s="76">
        <f t="shared" si="31"/>
        <v>5938709.0999999996</v>
      </c>
      <c r="N67" s="101">
        <f>L67/K67</f>
        <v>0.88979083326298014</v>
      </c>
      <c r="O67" s="99">
        <f>L67/J67</f>
        <v>0.11581947714285715</v>
      </c>
      <c r="P67" s="99">
        <f>L67/M67</f>
        <v>1.7747244801062911</v>
      </c>
      <c r="Q67" s="128">
        <f>J67-L67</f>
        <v>80460427.579999998</v>
      </c>
      <c r="R67" s="130"/>
      <c r="S67" s="76">
        <f>SUM(S2:S63)</f>
        <v>3324400</v>
      </c>
      <c r="T67" s="76">
        <f>SUM(T2:T63)</f>
        <v>2755187.77</v>
      </c>
      <c r="U67" s="23">
        <f>SUM(U2:U63)</f>
        <v>1042040.81</v>
      </c>
      <c r="V67" s="79">
        <f t="shared" ref="V67" si="32">T67/S67</f>
        <v>0.82877745457826979</v>
      </c>
      <c r="W67" s="79">
        <f>T67/J67</f>
        <v>3.0276788681318681E-2</v>
      </c>
      <c r="X67" s="79">
        <f t="shared" ref="X67" si="33">T67/U67</f>
        <v>2.6440305826410002</v>
      </c>
      <c r="Y67" s="48">
        <f>J67-S67</f>
        <v>87675600</v>
      </c>
    </row>
    <row r="68" spans="1:25" ht="13" thickTop="1" x14ac:dyDescent="0.25">
      <c r="L68" s="12">
        <v>10539572.419999996</v>
      </c>
      <c r="M68" s="12">
        <v>5938709.0999999996</v>
      </c>
    </row>
    <row r="69" spans="1:25" x14ac:dyDescent="0.25">
      <c r="L69" s="12">
        <f>L68-L67</f>
        <v>0</v>
      </c>
      <c r="M69" s="12">
        <f>M68-M67</f>
        <v>0</v>
      </c>
    </row>
    <row r="70" spans="1:25" x14ac:dyDescent="0.25">
      <c r="K70"/>
      <c r="L70"/>
      <c r="M7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4E15-D2EF-4E98-A9A8-AB86AD24DD47}">
  <sheetPr>
    <tabColor rgb="FF92D050"/>
  </sheetPr>
  <dimension ref="A1:Z1873"/>
  <sheetViews>
    <sheetView topLeftCell="G203" zoomScale="85" zoomScaleNormal="85" workbookViewId="0">
      <selection activeCell="G220" sqref="G220"/>
    </sheetView>
  </sheetViews>
  <sheetFormatPr defaultRowHeight="12.5" x14ac:dyDescent="0.25"/>
  <cols>
    <col min="1" max="1" width="11.90625" style="20" customWidth="1"/>
    <col min="2" max="2" width="6.453125" style="10" customWidth="1"/>
    <col min="3" max="3" width="6.7265625" style="10" customWidth="1"/>
    <col min="5" max="6" width="8.7265625" style="20"/>
    <col min="8" max="8" width="9.54296875" customWidth="1"/>
    <col min="9" max="9" width="20.08984375" bestFit="1" customWidth="1"/>
    <col min="10" max="10" width="27.1796875" customWidth="1"/>
    <col min="11" max="11" width="14.81640625" style="12" bestFit="1" customWidth="1"/>
    <col min="12" max="12" width="14.453125" style="50" customWidth="1"/>
    <col min="13" max="13" width="14.453125" style="12" customWidth="1"/>
    <col min="14" max="14" width="18" style="12" customWidth="1"/>
    <col min="15" max="15" width="14.453125" customWidth="1"/>
    <col min="16" max="16" width="12.7265625" customWidth="1"/>
    <col min="17" max="17" width="19.81640625" customWidth="1"/>
    <col min="18" max="18" width="14.453125" customWidth="1"/>
    <col min="19" max="20" width="14.453125" style="18" customWidth="1"/>
    <col min="21" max="22" width="14.453125" style="55" customWidth="1"/>
    <col min="23" max="24" width="14.453125" style="69" customWidth="1"/>
    <col min="25" max="25" width="10.1796875" style="20" customWidth="1"/>
    <col min="26" max="26" width="19.54296875" style="39" bestFit="1" customWidth="1"/>
  </cols>
  <sheetData>
    <row r="1" spans="1:26" s="65" customFormat="1" ht="27" customHeight="1" x14ac:dyDescent="0.25">
      <c r="A1" s="54" t="s">
        <v>555</v>
      </c>
      <c r="B1" s="54" t="s">
        <v>540</v>
      </c>
      <c r="C1" s="54" t="s">
        <v>556</v>
      </c>
      <c r="D1" s="54" t="s">
        <v>453</v>
      </c>
      <c r="E1" s="54" t="s">
        <v>557</v>
      </c>
      <c r="F1" s="54" t="s">
        <v>438</v>
      </c>
      <c r="G1" s="54" t="s">
        <v>439</v>
      </c>
      <c r="H1" s="59" t="s">
        <v>446</v>
      </c>
      <c r="I1" s="60" t="s">
        <v>440</v>
      </c>
      <c r="J1" s="60" t="s">
        <v>449</v>
      </c>
      <c r="K1" s="62" t="s">
        <v>508</v>
      </c>
      <c r="L1" s="124" t="s">
        <v>840</v>
      </c>
      <c r="M1" s="25" t="s">
        <v>841</v>
      </c>
      <c r="N1" s="78" t="s">
        <v>842</v>
      </c>
      <c r="O1" s="41" t="s">
        <v>843</v>
      </c>
      <c r="P1" s="24" t="s">
        <v>510</v>
      </c>
      <c r="Q1" s="24" t="s">
        <v>511</v>
      </c>
      <c r="R1" s="25" t="s">
        <v>536</v>
      </c>
      <c r="S1" s="108"/>
      <c r="T1" s="62" t="s">
        <v>653</v>
      </c>
      <c r="U1" s="62" t="s">
        <v>509</v>
      </c>
      <c r="V1" s="67" t="s">
        <v>728</v>
      </c>
      <c r="W1" s="64" t="s">
        <v>513</v>
      </c>
      <c r="X1" s="63" t="s">
        <v>510</v>
      </c>
      <c r="Y1" s="63" t="s">
        <v>511</v>
      </c>
      <c r="Z1" s="61" t="s">
        <v>536</v>
      </c>
    </row>
    <row r="2" spans="1:26" x14ac:dyDescent="0.25">
      <c r="A2" s="20" t="s">
        <v>558</v>
      </c>
      <c r="B2" s="10" t="s">
        <v>559</v>
      </c>
      <c r="C2" s="10">
        <v>1</v>
      </c>
      <c r="D2" t="s">
        <v>560</v>
      </c>
      <c r="E2" s="20" t="s">
        <v>458</v>
      </c>
      <c r="F2" s="20" t="s">
        <v>0</v>
      </c>
      <c r="G2" t="s">
        <v>1</v>
      </c>
      <c r="H2" t="s">
        <v>4</v>
      </c>
      <c r="I2" t="s">
        <v>2</v>
      </c>
      <c r="J2" t="s">
        <v>7</v>
      </c>
      <c r="K2" s="56">
        <v>73000</v>
      </c>
      <c r="L2" s="125">
        <v>0</v>
      </c>
      <c r="M2" s="56">
        <v>0</v>
      </c>
      <c r="N2" s="56">
        <v>0</v>
      </c>
      <c r="O2" s="70" t="e">
        <f>M2/L2</f>
        <v>#DIV/0!</v>
      </c>
      <c r="P2" s="57">
        <f>M2/K2</f>
        <v>0</v>
      </c>
      <c r="Q2" s="57" t="e">
        <f>M2/N2</f>
        <v>#DIV/0!</v>
      </c>
      <c r="R2" s="39">
        <f>K2-M2</f>
        <v>73000</v>
      </c>
      <c r="S2" s="58"/>
      <c r="T2" s="58">
        <v>0</v>
      </c>
      <c r="U2" s="66">
        <v>0</v>
      </c>
      <c r="V2" s="66">
        <v>0</v>
      </c>
      <c r="W2" s="70" t="e">
        <f>U2/T2</f>
        <v>#DIV/0!</v>
      </c>
      <c r="X2" s="57">
        <f>U2/K2</f>
        <v>0</v>
      </c>
      <c r="Y2" s="57" t="e">
        <f>U2/V2</f>
        <v>#DIV/0!</v>
      </c>
      <c r="Z2" s="39">
        <f>K2-T2</f>
        <v>73000</v>
      </c>
    </row>
    <row r="3" spans="1:26" x14ac:dyDescent="0.25">
      <c r="A3" s="20" t="s">
        <v>607</v>
      </c>
      <c r="B3" s="10" t="s">
        <v>572</v>
      </c>
      <c r="C3" s="10">
        <v>1</v>
      </c>
      <c r="D3" t="s">
        <v>560</v>
      </c>
      <c r="E3" s="20" t="s">
        <v>466</v>
      </c>
      <c r="F3" s="20" t="s">
        <v>0</v>
      </c>
      <c r="G3" t="s">
        <v>9</v>
      </c>
      <c r="H3" t="s">
        <v>11</v>
      </c>
      <c r="I3" t="s">
        <v>10</v>
      </c>
      <c r="J3" t="s">
        <v>12</v>
      </c>
      <c r="K3" s="56">
        <v>360900</v>
      </c>
      <c r="L3" s="125">
        <v>52000</v>
      </c>
      <c r="M3" s="56">
        <v>50248</v>
      </c>
      <c r="N3" s="56">
        <v>98010</v>
      </c>
      <c r="O3" s="70">
        <f t="shared" ref="O3:O13" si="0">M3/L3</f>
        <v>0.96630769230769231</v>
      </c>
      <c r="P3" s="57">
        <f t="shared" ref="P3:P13" si="1">M3/K3</f>
        <v>0.13922970351898031</v>
      </c>
      <c r="Q3" s="57">
        <f t="shared" ref="Q3:Q13" si="2">M3/N3</f>
        <v>0.51268237934904604</v>
      </c>
      <c r="R3" s="39">
        <f t="shared" ref="R3:R13" si="3">K3-M3</f>
        <v>310652</v>
      </c>
      <c r="S3" s="58"/>
      <c r="T3" s="58">
        <v>40000</v>
      </c>
      <c r="U3" s="66">
        <v>37720</v>
      </c>
      <c r="V3" s="66">
        <v>45927</v>
      </c>
      <c r="W3" s="70">
        <f t="shared" ref="W3:W21" si="4">U3/T3</f>
        <v>0.94299999999999995</v>
      </c>
      <c r="X3" s="57">
        <f t="shared" ref="X3:X19" si="5">U3/K3</f>
        <v>0.10451648656137434</v>
      </c>
      <c r="Y3" s="57">
        <f t="shared" ref="Y3:Y19" si="6">U3/V3</f>
        <v>0.82130337274370191</v>
      </c>
      <c r="Z3" s="39">
        <f t="shared" ref="Z3:Z19" si="7">K3-T3</f>
        <v>320900</v>
      </c>
    </row>
    <row r="4" spans="1:26" x14ac:dyDescent="0.25">
      <c r="A4" s="20" t="s">
        <v>609</v>
      </c>
      <c r="B4" s="10" t="s">
        <v>573</v>
      </c>
      <c r="C4" s="10">
        <v>1</v>
      </c>
      <c r="D4" t="s">
        <v>560</v>
      </c>
      <c r="E4" s="20" t="s">
        <v>467</v>
      </c>
      <c r="F4" s="20" t="s">
        <v>0</v>
      </c>
      <c r="G4" t="s">
        <v>13</v>
      </c>
      <c r="H4" t="s">
        <v>15</v>
      </c>
      <c r="I4" t="s">
        <v>14</v>
      </c>
      <c r="J4" t="s">
        <v>16</v>
      </c>
      <c r="K4" s="56">
        <v>31500</v>
      </c>
      <c r="L4" s="125">
        <v>0</v>
      </c>
      <c r="M4" s="56">
        <v>0</v>
      </c>
      <c r="N4" s="56">
        <v>0</v>
      </c>
      <c r="O4" s="70" t="e">
        <f t="shared" si="0"/>
        <v>#DIV/0!</v>
      </c>
      <c r="P4" s="57">
        <f t="shared" si="1"/>
        <v>0</v>
      </c>
      <c r="Q4" s="57" t="e">
        <f t="shared" si="2"/>
        <v>#DIV/0!</v>
      </c>
      <c r="R4" s="39">
        <f t="shared" si="3"/>
        <v>31500</v>
      </c>
      <c r="S4" s="58"/>
      <c r="T4" s="58">
        <v>0</v>
      </c>
      <c r="U4" s="66">
        <v>0</v>
      </c>
      <c r="V4" s="66">
        <v>0</v>
      </c>
      <c r="W4" s="70" t="e">
        <f t="shared" si="4"/>
        <v>#DIV/0!</v>
      </c>
      <c r="X4" s="57">
        <f t="shared" si="5"/>
        <v>0</v>
      </c>
      <c r="Y4" s="57" t="e">
        <f t="shared" si="6"/>
        <v>#DIV/0!</v>
      </c>
      <c r="Z4" s="39">
        <f t="shared" si="7"/>
        <v>31500</v>
      </c>
    </row>
    <row r="5" spans="1:26" x14ac:dyDescent="0.25">
      <c r="A5" s="20" t="s">
        <v>608</v>
      </c>
      <c r="B5" s="10" t="s">
        <v>574</v>
      </c>
      <c r="C5" s="10">
        <v>1</v>
      </c>
      <c r="D5" t="s">
        <v>560</v>
      </c>
      <c r="E5" s="20" t="s">
        <v>467</v>
      </c>
      <c r="F5" s="20" t="s">
        <v>0</v>
      </c>
      <c r="G5" t="s">
        <v>13</v>
      </c>
      <c r="H5" t="s">
        <v>15</v>
      </c>
      <c r="I5" t="s">
        <v>17</v>
      </c>
      <c r="J5" t="s">
        <v>18</v>
      </c>
      <c r="K5" s="56">
        <v>25000</v>
      </c>
      <c r="L5" s="125">
        <v>0</v>
      </c>
      <c r="M5" s="56">
        <v>0</v>
      </c>
      <c r="N5" s="56">
        <v>0</v>
      </c>
      <c r="O5" s="70" t="e">
        <f t="shared" si="0"/>
        <v>#DIV/0!</v>
      </c>
      <c r="P5" s="57">
        <f t="shared" si="1"/>
        <v>0</v>
      </c>
      <c r="Q5" s="57" t="e">
        <f t="shared" si="2"/>
        <v>#DIV/0!</v>
      </c>
      <c r="R5" s="39">
        <f t="shared" si="3"/>
        <v>25000</v>
      </c>
      <c r="S5" s="58"/>
      <c r="T5" s="58">
        <v>0</v>
      </c>
      <c r="U5" s="66">
        <v>0</v>
      </c>
      <c r="V5" s="66">
        <v>0</v>
      </c>
      <c r="W5" s="70" t="e">
        <f t="shared" si="4"/>
        <v>#DIV/0!</v>
      </c>
      <c r="X5" s="57">
        <f t="shared" si="5"/>
        <v>0</v>
      </c>
      <c r="Y5" s="57" t="e">
        <f t="shared" si="6"/>
        <v>#DIV/0!</v>
      </c>
      <c r="Z5" s="39">
        <f t="shared" si="7"/>
        <v>25000</v>
      </c>
    </row>
    <row r="6" spans="1:26" x14ac:dyDescent="0.25">
      <c r="A6" s="20" t="s">
        <v>613</v>
      </c>
      <c r="B6" s="10" t="s">
        <v>575</v>
      </c>
      <c r="C6" s="10">
        <v>2</v>
      </c>
      <c r="D6" t="s">
        <v>560</v>
      </c>
      <c r="E6" s="20" t="s">
        <v>469</v>
      </c>
      <c r="F6" s="20" t="s">
        <v>0</v>
      </c>
      <c r="G6" t="s">
        <v>19</v>
      </c>
      <c r="H6" t="s">
        <v>21</v>
      </c>
      <c r="I6" t="s">
        <v>20</v>
      </c>
      <c r="J6" t="s">
        <v>22</v>
      </c>
      <c r="K6" s="56">
        <v>8777100</v>
      </c>
      <c r="L6" s="125">
        <v>2400000</v>
      </c>
      <c r="M6" s="56">
        <v>2196736.4</v>
      </c>
      <c r="N6" s="56">
        <v>1582157.49</v>
      </c>
      <c r="O6" s="70">
        <f t="shared" si="0"/>
        <v>0.91530683333333329</v>
      </c>
      <c r="P6" s="57">
        <f t="shared" si="1"/>
        <v>0.25028043431201646</v>
      </c>
      <c r="Q6" s="57">
        <f t="shared" si="2"/>
        <v>1.3884435739706291</v>
      </c>
      <c r="R6" s="39">
        <f t="shared" si="3"/>
        <v>6580363.5999999996</v>
      </c>
      <c r="S6" s="58"/>
      <c r="T6" s="58">
        <v>1100000</v>
      </c>
      <c r="U6" s="66">
        <v>949624.8</v>
      </c>
      <c r="V6" s="66">
        <v>799375.4</v>
      </c>
      <c r="W6" s="70">
        <f t="shared" si="4"/>
        <v>0.8632952727272728</v>
      </c>
      <c r="X6" s="57">
        <f t="shared" si="5"/>
        <v>0.10819345797586903</v>
      </c>
      <c r="Y6" s="57">
        <f t="shared" si="6"/>
        <v>1.1879584985977802</v>
      </c>
      <c r="Z6" s="39">
        <f t="shared" si="7"/>
        <v>7677100</v>
      </c>
    </row>
    <row r="7" spans="1:26" x14ac:dyDescent="0.25">
      <c r="A7" s="20" t="s">
        <v>614</v>
      </c>
      <c r="B7" s="10" t="s">
        <v>576</v>
      </c>
      <c r="C7" s="10">
        <v>4</v>
      </c>
      <c r="D7" t="s">
        <v>560</v>
      </c>
      <c r="E7" s="20" t="s">
        <v>469</v>
      </c>
      <c r="F7" s="20" t="s">
        <v>0</v>
      </c>
      <c r="G7" t="s">
        <v>19</v>
      </c>
      <c r="H7" t="s">
        <v>21</v>
      </c>
      <c r="I7" t="s">
        <v>23</v>
      </c>
      <c r="J7" t="s">
        <v>24</v>
      </c>
      <c r="K7" s="56">
        <v>240300</v>
      </c>
      <c r="L7" s="125">
        <v>0</v>
      </c>
      <c r="M7" s="56">
        <v>0</v>
      </c>
      <c r="N7" s="56">
        <v>4734440.79</v>
      </c>
      <c r="O7" s="70" t="e">
        <f t="shared" si="0"/>
        <v>#DIV/0!</v>
      </c>
      <c r="P7" s="57">
        <f t="shared" si="1"/>
        <v>0</v>
      </c>
      <c r="Q7" s="57">
        <f t="shared" si="2"/>
        <v>0</v>
      </c>
      <c r="R7" s="39">
        <f t="shared" si="3"/>
        <v>240300</v>
      </c>
      <c r="S7" s="58"/>
      <c r="T7" s="58">
        <v>0</v>
      </c>
      <c r="U7" s="66">
        <v>0</v>
      </c>
      <c r="V7" s="66">
        <v>0</v>
      </c>
      <c r="W7" s="70" t="e">
        <f t="shared" si="4"/>
        <v>#DIV/0!</v>
      </c>
      <c r="X7" s="57">
        <f t="shared" si="5"/>
        <v>0</v>
      </c>
      <c r="Y7" s="57" t="e">
        <f t="shared" si="6"/>
        <v>#DIV/0!</v>
      </c>
      <c r="Z7" s="39">
        <f t="shared" si="7"/>
        <v>240300</v>
      </c>
    </row>
    <row r="8" spans="1:26" x14ac:dyDescent="0.25">
      <c r="A8" s="20" t="s">
        <v>611</v>
      </c>
      <c r="B8" s="10" t="s">
        <v>577</v>
      </c>
      <c r="C8" s="10">
        <v>2</v>
      </c>
      <c r="D8" t="s">
        <v>560</v>
      </c>
      <c r="E8" s="20" t="s">
        <v>469</v>
      </c>
      <c r="F8" s="20" t="s">
        <v>0</v>
      </c>
      <c r="G8" t="s">
        <v>19</v>
      </c>
      <c r="H8" t="s">
        <v>21</v>
      </c>
      <c r="I8" t="s">
        <v>25</v>
      </c>
      <c r="J8" t="s">
        <v>26</v>
      </c>
      <c r="K8" s="56">
        <v>214700</v>
      </c>
      <c r="L8" s="125">
        <v>15000</v>
      </c>
      <c r="M8" s="56">
        <v>13996.8</v>
      </c>
      <c r="N8" s="56">
        <v>0</v>
      </c>
      <c r="O8" s="70">
        <f t="shared" si="0"/>
        <v>0.93311999999999995</v>
      </c>
      <c r="P8" s="57">
        <f t="shared" si="1"/>
        <v>6.5192361434559851E-2</v>
      </c>
      <c r="Q8" s="57" t="e">
        <f t="shared" si="2"/>
        <v>#DIV/0!</v>
      </c>
      <c r="R8" s="39">
        <f t="shared" si="3"/>
        <v>200703.2</v>
      </c>
      <c r="S8" s="58"/>
      <c r="T8" s="58">
        <v>0</v>
      </c>
      <c r="U8" s="66">
        <v>0</v>
      </c>
      <c r="V8" s="66">
        <v>0</v>
      </c>
      <c r="W8" s="70" t="e">
        <f t="shared" si="4"/>
        <v>#DIV/0!</v>
      </c>
      <c r="X8" s="57">
        <f t="shared" si="5"/>
        <v>0</v>
      </c>
      <c r="Y8" s="57" t="e">
        <f t="shared" si="6"/>
        <v>#DIV/0!</v>
      </c>
      <c r="Z8" s="39">
        <f t="shared" si="7"/>
        <v>214700</v>
      </c>
    </row>
    <row r="9" spans="1:26" x14ac:dyDescent="0.25">
      <c r="A9" s="20" t="s">
        <v>612</v>
      </c>
      <c r="B9" s="10" t="s">
        <v>578</v>
      </c>
      <c r="C9" s="10">
        <v>2</v>
      </c>
      <c r="D9" t="s">
        <v>560</v>
      </c>
      <c r="E9" s="20" t="s">
        <v>469</v>
      </c>
      <c r="F9" s="20" t="s">
        <v>0</v>
      </c>
      <c r="G9" t="s">
        <v>19</v>
      </c>
      <c r="H9" t="s">
        <v>21</v>
      </c>
      <c r="I9" t="s">
        <v>27</v>
      </c>
      <c r="J9" t="s">
        <v>28</v>
      </c>
      <c r="K9" s="56">
        <v>896000</v>
      </c>
      <c r="L9" s="125">
        <v>52000</v>
      </c>
      <c r="M9" s="56">
        <v>50112</v>
      </c>
      <c r="N9" s="56">
        <v>15120</v>
      </c>
      <c r="O9" s="70">
        <f t="shared" si="0"/>
        <v>0.96369230769230774</v>
      </c>
      <c r="P9" s="57">
        <f t="shared" si="1"/>
        <v>5.5928571428571432E-2</v>
      </c>
      <c r="Q9" s="57">
        <f t="shared" si="2"/>
        <v>3.3142857142857145</v>
      </c>
      <c r="R9" s="39">
        <f t="shared" si="3"/>
        <v>845888</v>
      </c>
      <c r="S9" s="58"/>
      <c r="T9" s="58">
        <v>0</v>
      </c>
      <c r="U9" s="66">
        <v>0</v>
      </c>
      <c r="V9" s="66">
        <v>15120</v>
      </c>
      <c r="W9" s="70" t="e">
        <f t="shared" si="4"/>
        <v>#DIV/0!</v>
      </c>
      <c r="X9" s="57">
        <f t="shared" si="5"/>
        <v>0</v>
      </c>
      <c r="Y9" s="57">
        <f t="shared" si="6"/>
        <v>0</v>
      </c>
      <c r="Z9" s="39">
        <f t="shared" si="7"/>
        <v>896000</v>
      </c>
    </row>
    <row r="10" spans="1:26" x14ac:dyDescent="0.25">
      <c r="A10" s="20" t="s">
        <v>610</v>
      </c>
      <c r="B10" s="10" t="s">
        <v>579</v>
      </c>
      <c r="C10" s="10">
        <v>2</v>
      </c>
      <c r="D10" t="s">
        <v>560</v>
      </c>
      <c r="E10" s="20" t="s">
        <v>469</v>
      </c>
      <c r="F10" s="20" t="s">
        <v>0</v>
      </c>
      <c r="G10" t="s">
        <v>19</v>
      </c>
      <c r="H10" t="s">
        <v>21</v>
      </c>
      <c r="I10" t="s">
        <v>29</v>
      </c>
      <c r="J10" t="s">
        <v>30</v>
      </c>
      <c r="K10" s="56">
        <v>130000</v>
      </c>
      <c r="L10" s="125">
        <v>40000</v>
      </c>
      <c r="M10" s="56">
        <v>38070</v>
      </c>
      <c r="N10" s="56">
        <v>5076</v>
      </c>
      <c r="O10" s="70">
        <f t="shared" si="0"/>
        <v>0.95174999999999998</v>
      </c>
      <c r="P10" s="57">
        <f t="shared" si="1"/>
        <v>0.29284615384615387</v>
      </c>
      <c r="Q10" s="57">
        <f t="shared" si="2"/>
        <v>7.5</v>
      </c>
      <c r="R10" s="39">
        <f t="shared" si="3"/>
        <v>91930</v>
      </c>
      <c r="S10" s="58"/>
      <c r="T10" s="58">
        <v>0</v>
      </c>
      <c r="U10" s="66">
        <v>0</v>
      </c>
      <c r="V10" s="66">
        <v>2538</v>
      </c>
      <c r="W10" s="70" t="e">
        <f t="shared" si="4"/>
        <v>#DIV/0!</v>
      </c>
      <c r="X10" s="57">
        <f t="shared" si="5"/>
        <v>0</v>
      </c>
      <c r="Y10" s="57">
        <f t="shared" si="6"/>
        <v>0</v>
      </c>
      <c r="Z10" s="39">
        <f t="shared" si="7"/>
        <v>130000</v>
      </c>
    </row>
    <row r="11" spans="1:26" x14ac:dyDescent="0.25">
      <c r="A11" s="20" t="s">
        <v>619</v>
      </c>
      <c r="B11" s="10" t="s">
        <v>580</v>
      </c>
      <c r="C11" s="10">
        <v>2</v>
      </c>
      <c r="D11" t="s">
        <v>560</v>
      </c>
      <c r="E11" s="20" t="s">
        <v>471</v>
      </c>
      <c r="F11" s="20" t="s">
        <v>0</v>
      </c>
      <c r="G11" t="s">
        <v>31</v>
      </c>
      <c r="H11" t="s">
        <v>33</v>
      </c>
      <c r="I11" t="s">
        <v>32</v>
      </c>
      <c r="J11" t="s">
        <v>34</v>
      </c>
      <c r="K11" s="56">
        <v>3281000</v>
      </c>
      <c r="L11" s="125">
        <v>900000</v>
      </c>
      <c r="M11" s="121">
        <f>783523.36+53380.29</f>
        <v>836903.65</v>
      </c>
      <c r="N11" s="56">
        <v>763405.94000000006</v>
      </c>
      <c r="O11" s="70">
        <f t="shared" si="0"/>
        <v>0.92989294444444448</v>
      </c>
      <c r="P11" s="57">
        <f t="shared" si="1"/>
        <v>0.25507578482170074</v>
      </c>
      <c r="Q11" s="57">
        <f t="shared" si="2"/>
        <v>1.0962760520307191</v>
      </c>
      <c r="R11" s="39">
        <f t="shared" si="3"/>
        <v>2444096.35</v>
      </c>
      <c r="S11" s="58"/>
      <c r="T11" s="58">
        <v>400000</v>
      </c>
      <c r="U11" s="66">
        <v>351182.02</v>
      </c>
      <c r="V11" s="66">
        <v>3018.6</v>
      </c>
      <c r="W11" s="70">
        <f t="shared" si="4"/>
        <v>0.87795505000000007</v>
      </c>
      <c r="X11" s="57">
        <f t="shared" si="5"/>
        <v>0.10703505638524841</v>
      </c>
      <c r="Y11" s="57">
        <f t="shared" si="6"/>
        <v>116.33936924402042</v>
      </c>
      <c r="Z11" s="39">
        <f t="shared" si="7"/>
        <v>2881000</v>
      </c>
    </row>
    <row r="12" spans="1:26" x14ac:dyDescent="0.25">
      <c r="A12" s="20" t="s">
        <v>618</v>
      </c>
      <c r="B12" s="10" t="s">
        <v>581</v>
      </c>
      <c r="C12" s="10">
        <v>2</v>
      </c>
      <c r="D12" t="s">
        <v>560</v>
      </c>
      <c r="E12" s="20" t="s">
        <v>471</v>
      </c>
      <c r="F12" s="20" t="s">
        <v>0</v>
      </c>
      <c r="G12" t="s">
        <v>31</v>
      </c>
      <c r="H12" t="s">
        <v>33</v>
      </c>
      <c r="I12" t="s">
        <v>35</v>
      </c>
      <c r="J12" t="s">
        <v>36</v>
      </c>
      <c r="K12" s="56">
        <v>4810000</v>
      </c>
      <c r="L12" s="125">
        <v>500000</v>
      </c>
      <c r="M12" s="56">
        <v>497623.60000000003</v>
      </c>
      <c r="N12" s="56">
        <v>1260543.1399999999</v>
      </c>
      <c r="O12" s="70">
        <f t="shared" si="0"/>
        <v>0.99524720000000011</v>
      </c>
      <c r="P12" s="57">
        <f t="shared" si="1"/>
        <v>0.10345604989604991</v>
      </c>
      <c r="Q12" s="57">
        <f t="shared" si="2"/>
        <v>0.3947691944918284</v>
      </c>
      <c r="R12" s="39">
        <f t="shared" si="3"/>
        <v>4312376.4000000004</v>
      </c>
      <c r="S12" s="58"/>
      <c r="T12" s="58">
        <v>180000</v>
      </c>
      <c r="U12" s="66">
        <v>148904.41999999998</v>
      </c>
      <c r="V12" s="66">
        <v>293444.01</v>
      </c>
      <c r="W12" s="70">
        <f t="shared" si="4"/>
        <v>0.82724677777777766</v>
      </c>
      <c r="X12" s="57">
        <f t="shared" si="5"/>
        <v>3.0957259875259872E-2</v>
      </c>
      <c r="Y12" s="57">
        <f t="shared" si="6"/>
        <v>0.5074372450131116</v>
      </c>
      <c r="Z12" s="39">
        <f t="shared" si="7"/>
        <v>4630000</v>
      </c>
    </row>
    <row r="13" spans="1:26" x14ac:dyDescent="0.25">
      <c r="A13" s="20" t="s">
        <v>617</v>
      </c>
      <c r="B13" s="10" t="s">
        <v>578</v>
      </c>
      <c r="C13" s="10">
        <v>2</v>
      </c>
      <c r="D13" t="s">
        <v>560</v>
      </c>
      <c r="E13" s="20" t="s">
        <v>471</v>
      </c>
      <c r="F13" s="20" t="s">
        <v>0</v>
      </c>
      <c r="G13" t="s">
        <v>31</v>
      </c>
      <c r="H13" t="s">
        <v>33</v>
      </c>
      <c r="I13" t="s">
        <v>37</v>
      </c>
      <c r="J13" t="s">
        <v>28</v>
      </c>
      <c r="K13" s="56">
        <v>630000</v>
      </c>
      <c r="L13" s="125">
        <v>40000</v>
      </c>
      <c r="M13" s="56">
        <v>38942.659999999996</v>
      </c>
      <c r="N13" s="56">
        <v>0</v>
      </c>
      <c r="O13" s="70">
        <f t="shared" si="0"/>
        <v>0.97356649999999989</v>
      </c>
      <c r="P13" s="57">
        <f t="shared" si="1"/>
        <v>6.1813746031746025E-2</v>
      </c>
      <c r="Q13" s="57" t="e">
        <f t="shared" si="2"/>
        <v>#DIV/0!</v>
      </c>
      <c r="R13" s="39">
        <f t="shared" si="3"/>
        <v>591057.34</v>
      </c>
      <c r="S13" s="58"/>
      <c r="T13" s="58">
        <v>20000</v>
      </c>
      <c r="U13" s="66">
        <v>18432.11</v>
      </c>
      <c r="V13" s="66">
        <v>0</v>
      </c>
      <c r="W13" s="70">
        <f t="shared" si="4"/>
        <v>0.92160550000000008</v>
      </c>
      <c r="X13" s="57">
        <f t="shared" si="5"/>
        <v>2.9257317460317463E-2</v>
      </c>
      <c r="Y13" s="57" t="e">
        <f t="shared" si="6"/>
        <v>#DIV/0!</v>
      </c>
      <c r="Z13" s="39">
        <f t="shared" si="7"/>
        <v>610000</v>
      </c>
    </row>
    <row r="14" spans="1:26" x14ac:dyDescent="0.25">
      <c r="A14" s="20" t="s">
        <v>616</v>
      </c>
      <c r="B14" s="10" t="s">
        <v>579</v>
      </c>
      <c r="C14" s="10">
        <v>2</v>
      </c>
      <c r="D14" t="s">
        <v>560</v>
      </c>
      <c r="E14" s="20" t="s">
        <v>471</v>
      </c>
      <c r="F14" s="20" t="s">
        <v>0</v>
      </c>
      <c r="G14" t="s">
        <v>31</v>
      </c>
      <c r="H14" t="s">
        <v>33</v>
      </c>
      <c r="I14" t="s">
        <v>38</v>
      </c>
      <c r="J14" t="s">
        <v>30</v>
      </c>
      <c r="K14" s="56">
        <v>150000</v>
      </c>
      <c r="L14" s="125">
        <v>900</v>
      </c>
      <c r="M14" s="56">
        <v>844.2</v>
      </c>
      <c r="N14" s="56">
        <v>5000</v>
      </c>
      <c r="O14" s="70">
        <f t="shared" ref="O14:O77" si="8">M14/L14</f>
        <v>0.93800000000000006</v>
      </c>
      <c r="P14" s="57">
        <f t="shared" ref="P14:P77" si="9">M14/K14</f>
        <v>5.6280000000000002E-3</v>
      </c>
      <c r="Q14" s="57">
        <f t="shared" ref="Q14:Q77" si="10">M14/N14</f>
        <v>0.16884000000000002</v>
      </c>
      <c r="R14" s="39">
        <f t="shared" ref="R14:R77" si="11">K14-M14</f>
        <v>149155.79999999999</v>
      </c>
      <c r="S14" s="58"/>
      <c r="T14" s="58">
        <v>1000</v>
      </c>
      <c r="U14" s="66">
        <v>400</v>
      </c>
      <c r="V14" s="66">
        <v>5000</v>
      </c>
      <c r="W14" s="70">
        <f t="shared" si="4"/>
        <v>0.4</v>
      </c>
      <c r="X14" s="57">
        <f t="shared" si="5"/>
        <v>2.6666666666666666E-3</v>
      </c>
      <c r="Y14" s="57">
        <f t="shared" si="6"/>
        <v>0.08</v>
      </c>
      <c r="Z14" s="39">
        <f t="shared" si="7"/>
        <v>149000</v>
      </c>
    </row>
    <row r="15" spans="1:26" x14ac:dyDescent="0.25">
      <c r="A15" s="20" t="s">
        <v>615</v>
      </c>
      <c r="B15" s="10" t="s">
        <v>582</v>
      </c>
      <c r="C15" s="10">
        <v>2</v>
      </c>
      <c r="D15" t="s">
        <v>560</v>
      </c>
      <c r="E15" s="20" t="s">
        <v>471</v>
      </c>
      <c r="F15" s="20" t="s">
        <v>0</v>
      </c>
      <c r="G15" t="s">
        <v>31</v>
      </c>
      <c r="H15" t="s">
        <v>33</v>
      </c>
      <c r="I15" t="s">
        <v>39</v>
      </c>
      <c r="J15" t="s">
        <v>40</v>
      </c>
      <c r="K15" s="56">
        <v>140000</v>
      </c>
      <c r="L15" s="125">
        <v>12500</v>
      </c>
      <c r="M15" s="56">
        <v>12086.400000000001</v>
      </c>
      <c r="N15" s="56">
        <v>6535.4000000000005</v>
      </c>
      <c r="O15" s="70">
        <f t="shared" si="8"/>
        <v>0.9669120000000001</v>
      </c>
      <c r="P15" s="57">
        <f t="shared" si="9"/>
        <v>8.6331428571428587E-2</v>
      </c>
      <c r="Q15" s="57">
        <f t="shared" si="10"/>
        <v>1.8493741775560792</v>
      </c>
      <c r="R15" s="39">
        <f t="shared" si="11"/>
        <v>127913.60000000001</v>
      </c>
      <c r="S15" s="58"/>
      <c r="T15" s="58">
        <v>0</v>
      </c>
      <c r="U15" s="66">
        <v>0</v>
      </c>
      <c r="V15" s="66">
        <v>245</v>
      </c>
      <c r="W15" s="70" t="e">
        <f t="shared" si="4"/>
        <v>#DIV/0!</v>
      </c>
      <c r="X15" s="57">
        <f t="shared" si="5"/>
        <v>0</v>
      </c>
      <c r="Y15" s="57">
        <f t="shared" si="6"/>
        <v>0</v>
      </c>
      <c r="Z15" s="39">
        <f t="shared" si="7"/>
        <v>140000</v>
      </c>
    </row>
    <row r="16" spans="1:26" x14ac:dyDescent="0.25">
      <c r="A16" s="20" t="s">
        <v>620</v>
      </c>
      <c r="B16" s="10" t="s">
        <v>577</v>
      </c>
      <c r="C16" s="10">
        <v>2</v>
      </c>
      <c r="D16" t="s">
        <v>560</v>
      </c>
      <c r="E16" s="20" t="s">
        <v>473</v>
      </c>
      <c r="F16" s="20" t="s">
        <v>0</v>
      </c>
      <c r="G16" t="s">
        <v>41</v>
      </c>
      <c r="H16" t="s">
        <v>43</v>
      </c>
      <c r="I16" t="s">
        <v>42</v>
      </c>
      <c r="J16" t="s">
        <v>26</v>
      </c>
      <c r="K16" s="56">
        <v>340000</v>
      </c>
      <c r="L16" s="125">
        <v>0</v>
      </c>
      <c r="M16" s="56">
        <v>0</v>
      </c>
      <c r="N16" s="56">
        <v>490128</v>
      </c>
      <c r="O16" s="70" t="e">
        <f t="shared" si="8"/>
        <v>#DIV/0!</v>
      </c>
      <c r="P16" s="57">
        <f t="shared" si="9"/>
        <v>0</v>
      </c>
      <c r="Q16" s="57">
        <f t="shared" si="10"/>
        <v>0</v>
      </c>
      <c r="R16" s="39">
        <f t="shared" si="11"/>
        <v>340000</v>
      </c>
      <c r="S16" s="58"/>
      <c r="T16" s="58">
        <v>0</v>
      </c>
      <c r="U16" s="66">
        <v>0</v>
      </c>
      <c r="V16" s="66">
        <v>0</v>
      </c>
      <c r="W16" s="70" t="e">
        <f t="shared" si="4"/>
        <v>#DIV/0!</v>
      </c>
      <c r="X16" s="57">
        <f t="shared" si="5"/>
        <v>0</v>
      </c>
      <c r="Y16" s="57" t="e">
        <f t="shared" si="6"/>
        <v>#DIV/0!</v>
      </c>
      <c r="Z16" s="39">
        <f t="shared" si="7"/>
        <v>340000</v>
      </c>
    </row>
    <row r="17" spans="1:26" x14ac:dyDescent="0.25">
      <c r="A17" s="20" t="s">
        <v>622</v>
      </c>
      <c r="B17" s="10" t="s">
        <v>583</v>
      </c>
      <c r="C17" s="10">
        <v>2</v>
      </c>
      <c r="D17" t="s">
        <v>560</v>
      </c>
      <c r="E17" s="20" t="s">
        <v>473</v>
      </c>
      <c r="F17" s="20" t="s">
        <v>0</v>
      </c>
      <c r="G17" t="s">
        <v>41</v>
      </c>
      <c r="H17" t="s">
        <v>43</v>
      </c>
      <c r="I17" t="s">
        <v>44</v>
      </c>
      <c r="J17" t="s">
        <v>45</v>
      </c>
      <c r="K17" s="56">
        <v>1241000</v>
      </c>
      <c r="L17" s="125">
        <v>165000</v>
      </c>
      <c r="M17" s="56">
        <v>161656.94000000003</v>
      </c>
      <c r="N17" s="56">
        <v>555935.86999999988</v>
      </c>
      <c r="O17" s="70">
        <f t="shared" si="8"/>
        <v>0.97973903030303044</v>
      </c>
      <c r="P17" s="57">
        <f t="shared" si="9"/>
        <v>0.13026344883158744</v>
      </c>
      <c r="Q17" s="57">
        <f t="shared" si="10"/>
        <v>0.29078343154939806</v>
      </c>
      <c r="R17" s="39">
        <f t="shared" si="11"/>
        <v>1079343.06</v>
      </c>
      <c r="S17" s="58"/>
      <c r="T17" s="58">
        <v>120000</v>
      </c>
      <c r="U17" s="66">
        <v>98872.98000000001</v>
      </c>
      <c r="V17" s="66">
        <v>232050.32</v>
      </c>
      <c r="W17" s="70">
        <f t="shared" si="4"/>
        <v>0.8239415000000001</v>
      </c>
      <c r="X17" s="57">
        <f t="shared" si="5"/>
        <v>7.9672022562449651E-2</v>
      </c>
      <c r="Y17" s="57">
        <f t="shared" si="6"/>
        <v>0.42608422173259664</v>
      </c>
      <c r="Z17" s="39">
        <f t="shared" si="7"/>
        <v>1121000</v>
      </c>
    </row>
    <row r="18" spans="1:26" x14ac:dyDescent="0.25">
      <c r="A18" s="20" t="s">
        <v>621</v>
      </c>
      <c r="B18" s="10" t="s">
        <v>488</v>
      </c>
      <c r="C18" s="10">
        <v>1</v>
      </c>
      <c r="D18" t="s">
        <v>560</v>
      </c>
      <c r="E18" s="20" t="s">
        <v>473</v>
      </c>
      <c r="F18" s="20" t="s">
        <v>0</v>
      </c>
      <c r="G18" t="s">
        <v>41</v>
      </c>
      <c r="H18" t="s">
        <v>43</v>
      </c>
      <c r="I18" t="s">
        <v>46</v>
      </c>
      <c r="J18" t="s">
        <v>47</v>
      </c>
      <c r="K18" s="56">
        <v>708000</v>
      </c>
      <c r="L18" s="125">
        <v>190000</v>
      </c>
      <c r="M18" s="56">
        <v>182909.23</v>
      </c>
      <c r="N18" s="56">
        <v>118135.97</v>
      </c>
      <c r="O18" s="70">
        <f t="shared" si="8"/>
        <v>0.96268015789473693</v>
      </c>
      <c r="P18" s="57">
        <f t="shared" si="9"/>
        <v>0.25834637005649719</v>
      </c>
      <c r="Q18" s="57">
        <f t="shared" si="10"/>
        <v>1.5482941393717764</v>
      </c>
      <c r="R18" s="39">
        <f t="shared" si="11"/>
        <v>525090.77</v>
      </c>
      <c r="S18" s="58"/>
      <c r="T18" s="58">
        <v>18000</v>
      </c>
      <c r="U18" s="66">
        <v>16848</v>
      </c>
      <c r="V18" s="66">
        <v>584</v>
      </c>
      <c r="W18" s="70">
        <f t="shared" si="4"/>
        <v>0.93600000000000005</v>
      </c>
      <c r="X18" s="57">
        <f t="shared" si="5"/>
        <v>2.3796610169491524E-2</v>
      </c>
      <c r="Y18" s="57">
        <f t="shared" si="6"/>
        <v>28.849315068493151</v>
      </c>
      <c r="Z18" s="39">
        <f t="shared" si="7"/>
        <v>690000</v>
      </c>
    </row>
    <row r="19" spans="1:26" x14ac:dyDescent="0.25">
      <c r="A19" s="20" t="s">
        <v>623</v>
      </c>
      <c r="B19" s="10" t="s">
        <v>584</v>
      </c>
      <c r="C19" s="10">
        <v>2</v>
      </c>
      <c r="D19" t="s">
        <v>560</v>
      </c>
      <c r="E19" s="20" t="s">
        <v>473</v>
      </c>
      <c r="F19" s="20" t="s">
        <v>0</v>
      </c>
      <c r="G19" t="s">
        <v>41</v>
      </c>
      <c r="H19" t="s">
        <v>43</v>
      </c>
      <c r="I19" t="s">
        <v>48</v>
      </c>
      <c r="J19" t="s">
        <v>49</v>
      </c>
      <c r="K19" s="56">
        <v>2147000</v>
      </c>
      <c r="L19" s="125">
        <v>74000</v>
      </c>
      <c r="M19" s="56">
        <v>72736</v>
      </c>
      <c r="N19" s="56">
        <v>2597904.2000000002</v>
      </c>
      <c r="O19" s="70">
        <f t="shared" si="8"/>
        <v>0.98291891891891892</v>
      </c>
      <c r="P19" s="57">
        <f t="shared" si="9"/>
        <v>3.3877969259431769E-2</v>
      </c>
      <c r="Q19" s="57">
        <f t="shared" si="10"/>
        <v>2.7997953119287461E-2</v>
      </c>
      <c r="R19" s="39">
        <f t="shared" si="11"/>
        <v>2074264</v>
      </c>
      <c r="S19" s="58"/>
      <c r="T19" s="58">
        <v>0</v>
      </c>
      <c r="U19" s="66">
        <v>0</v>
      </c>
      <c r="V19" s="66">
        <v>184.2</v>
      </c>
      <c r="W19" s="70" t="e">
        <f t="shared" si="4"/>
        <v>#DIV/0!</v>
      </c>
      <c r="X19" s="57">
        <f t="shared" si="5"/>
        <v>0</v>
      </c>
      <c r="Y19" s="57">
        <f t="shared" si="6"/>
        <v>0</v>
      </c>
      <c r="Z19" s="39">
        <f t="shared" si="7"/>
        <v>2147000</v>
      </c>
    </row>
    <row r="20" spans="1:26" x14ac:dyDescent="0.25">
      <c r="A20" s="20" t="s">
        <v>623</v>
      </c>
      <c r="B20" s="10" t="s">
        <v>584</v>
      </c>
      <c r="C20" s="10">
        <v>5</v>
      </c>
      <c r="D20" t="s">
        <v>560</v>
      </c>
      <c r="E20" s="20" t="s">
        <v>473</v>
      </c>
      <c r="F20" s="20" t="s">
        <v>0</v>
      </c>
      <c r="G20" t="s">
        <v>41</v>
      </c>
      <c r="H20" t="s">
        <v>43</v>
      </c>
      <c r="I20" t="s">
        <v>891</v>
      </c>
      <c r="J20" t="s">
        <v>49</v>
      </c>
      <c r="K20" s="56">
        <v>0</v>
      </c>
      <c r="L20" s="125">
        <v>0</v>
      </c>
      <c r="M20" s="56">
        <v>0</v>
      </c>
      <c r="N20" s="119">
        <v>1000000</v>
      </c>
      <c r="O20" s="70" t="e">
        <f t="shared" si="8"/>
        <v>#DIV/0!</v>
      </c>
      <c r="P20" s="57" t="e">
        <f t="shared" si="9"/>
        <v>#DIV/0!</v>
      </c>
      <c r="Q20" s="57">
        <f t="shared" si="10"/>
        <v>0</v>
      </c>
      <c r="R20" s="39">
        <f t="shared" si="11"/>
        <v>0</v>
      </c>
      <c r="S20" s="58"/>
      <c r="T20" s="58"/>
      <c r="U20" s="66"/>
      <c r="V20" s="66"/>
      <c r="W20" s="70"/>
      <c r="X20" s="57"/>
      <c r="Y20" s="57"/>
    </row>
    <row r="21" spans="1:26" x14ac:dyDescent="0.25">
      <c r="A21" s="20" t="s">
        <v>625</v>
      </c>
      <c r="B21" s="10" t="s">
        <v>585</v>
      </c>
      <c r="C21" s="10">
        <v>1</v>
      </c>
      <c r="D21" t="s">
        <v>560</v>
      </c>
      <c r="E21" s="20" t="s">
        <v>475</v>
      </c>
      <c r="F21" s="20" t="s">
        <v>0</v>
      </c>
      <c r="G21" t="s">
        <v>50</v>
      </c>
      <c r="H21" t="s">
        <v>52</v>
      </c>
      <c r="I21" t="s">
        <v>51</v>
      </c>
      <c r="J21" t="s">
        <v>53</v>
      </c>
      <c r="K21" s="56">
        <v>1559400</v>
      </c>
      <c r="L21" s="125">
        <v>450000</v>
      </c>
      <c r="M21" s="56">
        <v>443104.59999999992</v>
      </c>
      <c r="N21" s="56">
        <v>206055</v>
      </c>
      <c r="O21" s="70">
        <f t="shared" si="8"/>
        <v>0.98467688888888871</v>
      </c>
      <c r="P21" s="57">
        <f t="shared" si="9"/>
        <v>0.28415069898678974</v>
      </c>
      <c r="Q21" s="57">
        <f t="shared" si="10"/>
        <v>2.1504190628715629</v>
      </c>
      <c r="R21" s="39">
        <f t="shared" si="11"/>
        <v>1116295.4000000001</v>
      </c>
      <c r="S21" s="58"/>
      <c r="T21" s="58">
        <v>23000</v>
      </c>
      <c r="U21" s="66">
        <v>19356.600000000002</v>
      </c>
      <c r="V21" s="66">
        <v>97455</v>
      </c>
      <c r="W21" s="70">
        <f t="shared" si="4"/>
        <v>0.84159130434782614</v>
      </c>
      <c r="X21" s="57">
        <f>U21/K21</f>
        <v>1.2412851096575608E-2</v>
      </c>
      <c r="Y21" s="57">
        <f>U21/V21</f>
        <v>0.19862090195474838</v>
      </c>
      <c r="Z21" s="39">
        <f>K21-T21</f>
        <v>1536400</v>
      </c>
    </row>
    <row r="22" spans="1:26" x14ac:dyDescent="0.25">
      <c r="A22" s="20" t="s">
        <v>626</v>
      </c>
      <c r="B22" s="10" t="s">
        <v>586</v>
      </c>
      <c r="C22" s="10">
        <v>1</v>
      </c>
      <c r="D22" t="s">
        <v>560</v>
      </c>
      <c r="E22" s="20" t="s">
        <v>475</v>
      </c>
      <c r="F22" s="20" t="s">
        <v>0</v>
      </c>
      <c r="G22" t="s">
        <v>50</v>
      </c>
      <c r="H22" t="s">
        <v>52</v>
      </c>
      <c r="I22" t="s">
        <v>54</v>
      </c>
      <c r="J22" t="s">
        <v>55</v>
      </c>
      <c r="K22" s="56">
        <v>12070000</v>
      </c>
      <c r="L22" s="125">
        <v>5500000</v>
      </c>
      <c r="M22" s="56">
        <v>4710742.01</v>
      </c>
      <c r="N22" s="56">
        <v>2834522.6299999994</v>
      </c>
      <c r="O22" s="70">
        <f t="shared" si="8"/>
        <v>0.85649854727272723</v>
      </c>
      <c r="P22" s="57">
        <f t="shared" si="9"/>
        <v>0.39028517067108531</v>
      </c>
      <c r="Q22" s="57">
        <f t="shared" si="10"/>
        <v>1.6619172343669031</v>
      </c>
      <c r="R22" s="39">
        <f t="shared" si="11"/>
        <v>7359257.9900000002</v>
      </c>
      <c r="S22" s="58"/>
      <c r="T22" s="58">
        <v>900000</v>
      </c>
      <c r="U22" s="66">
        <v>861297.84</v>
      </c>
      <c r="V22" s="66">
        <v>658484.86</v>
      </c>
      <c r="W22" s="70">
        <f t="shared" ref="W22:W38" si="12">U22/T22</f>
        <v>0.9569976</v>
      </c>
      <c r="X22" s="57">
        <f t="shared" ref="X22:X38" si="13">U22/K22</f>
        <v>7.1358561723280853E-2</v>
      </c>
      <c r="Y22" s="57">
        <f t="shared" ref="Y22:Y38" si="14">U22/V22</f>
        <v>1.3079994580285415</v>
      </c>
      <c r="Z22" s="39">
        <f t="shared" ref="Z22:Z38" si="15">K22-T22</f>
        <v>11170000</v>
      </c>
    </row>
    <row r="23" spans="1:26" x14ac:dyDescent="0.25">
      <c r="A23" s="20" t="s">
        <v>624</v>
      </c>
      <c r="B23" s="10" t="s">
        <v>587</v>
      </c>
      <c r="C23" s="10">
        <v>1</v>
      </c>
      <c r="D23" t="s">
        <v>560</v>
      </c>
      <c r="E23" s="20" t="s">
        <v>475</v>
      </c>
      <c r="F23" s="20" t="s">
        <v>0</v>
      </c>
      <c r="G23" t="s">
        <v>50</v>
      </c>
      <c r="H23" t="s">
        <v>52</v>
      </c>
      <c r="I23" t="s">
        <v>56</v>
      </c>
      <c r="J23" t="s">
        <v>57</v>
      </c>
      <c r="K23" s="56">
        <v>22162700</v>
      </c>
      <c r="L23" s="125">
        <v>6287500</v>
      </c>
      <c r="M23" s="56">
        <v>5464570.1200000001</v>
      </c>
      <c r="N23" s="56">
        <v>3938709.73</v>
      </c>
      <c r="O23" s="70">
        <f t="shared" si="8"/>
        <v>0.86911652007952289</v>
      </c>
      <c r="P23" s="57">
        <f t="shared" si="9"/>
        <v>0.24656608265238442</v>
      </c>
      <c r="Q23" s="57">
        <f t="shared" si="10"/>
        <v>1.3874010766464886</v>
      </c>
      <c r="R23" s="39">
        <f t="shared" si="11"/>
        <v>16698129.879999999</v>
      </c>
      <c r="S23" s="58"/>
      <c r="T23" s="58">
        <v>2300000</v>
      </c>
      <c r="U23" s="66">
        <v>2107916.63</v>
      </c>
      <c r="V23" s="66">
        <v>1678040</v>
      </c>
      <c r="W23" s="70">
        <f t="shared" si="12"/>
        <v>0.91648549130434775</v>
      </c>
      <c r="X23" s="57">
        <f t="shared" si="13"/>
        <v>9.5111003171996181E-2</v>
      </c>
      <c r="Y23" s="57">
        <f t="shared" si="14"/>
        <v>1.2561778205525493</v>
      </c>
      <c r="Z23" s="39">
        <f t="shared" si="15"/>
        <v>19862700</v>
      </c>
    </row>
    <row r="24" spans="1:26" x14ac:dyDescent="0.25">
      <c r="A24" s="20" t="s">
        <v>631</v>
      </c>
      <c r="B24" s="10" t="s">
        <v>580</v>
      </c>
      <c r="C24" s="10">
        <v>2</v>
      </c>
      <c r="D24" t="s">
        <v>560</v>
      </c>
      <c r="E24" s="20" t="s">
        <v>477</v>
      </c>
      <c r="F24" s="20" t="s">
        <v>0</v>
      </c>
      <c r="G24" t="s">
        <v>58</v>
      </c>
      <c r="H24" t="s">
        <v>60</v>
      </c>
      <c r="I24" t="s">
        <v>59</v>
      </c>
      <c r="J24" t="s">
        <v>34</v>
      </c>
      <c r="K24" s="56">
        <v>930000</v>
      </c>
      <c r="L24" s="125">
        <v>420000</v>
      </c>
      <c r="M24" s="56">
        <v>402500</v>
      </c>
      <c r="N24" s="56">
        <v>366500</v>
      </c>
      <c r="O24" s="70">
        <f t="shared" si="8"/>
        <v>0.95833333333333337</v>
      </c>
      <c r="P24" s="57">
        <f t="shared" si="9"/>
        <v>0.43279569892473119</v>
      </c>
      <c r="Q24" s="57">
        <f t="shared" si="10"/>
        <v>1.0982264665757162</v>
      </c>
      <c r="R24" s="39">
        <f t="shared" si="11"/>
        <v>527500</v>
      </c>
      <c r="S24" s="58"/>
      <c r="T24" s="58">
        <v>190000</v>
      </c>
      <c r="U24" s="66">
        <v>175200</v>
      </c>
      <c r="V24" s="66">
        <v>195000</v>
      </c>
      <c r="W24" s="70">
        <f t="shared" si="12"/>
        <v>0.92210526315789476</v>
      </c>
      <c r="X24" s="57">
        <f t="shared" si="13"/>
        <v>0.18838709677419355</v>
      </c>
      <c r="Y24" s="57">
        <f t="shared" si="14"/>
        <v>0.89846153846153842</v>
      </c>
      <c r="Z24" s="39">
        <f t="shared" si="15"/>
        <v>740000</v>
      </c>
    </row>
    <row r="25" spans="1:26" x14ac:dyDescent="0.25">
      <c r="A25" s="20" t="s">
        <v>633</v>
      </c>
      <c r="B25" s="10" t="s">
        <v>581</v>
      </c>
      <c r="C25" s="10">
        <v>2</v>
      </c>
      <c r="D25" t="s">
        <v>560</v>
      </c>
      <c r="E25" s="20" t="s">
        <v>477</v>
      </c>
      <c r="F25" s="20" t="s">
        <v>0</v>
      </c>
      <c r="G25" t="s">
        <v>58</v>
      </c>
      <c r="H25" t="s">
        <v>60</v>
      </c>
      <c r="I25" t="s">
        <v>61</v>
      </c>
      <c r="J25" t="s">
        <v>36</v>
      </c>
      <c r="K25" s="56">
        <v>4550000</v>
      </c>
      <c r="L25" s="125">
        <v>1100000</v>
      </c>
      <c r="M25" s="56">
        <v>1084000</v>
      </c>
      <c r="N25" s="56">
        <v>914000</v>
      </c>
      <c r="O25" s="70">
        <f t="shared" si="8"/>
        <v>0.98545454545454547</v>
      </c>
      <c r="P25" s="57">
        <f t="shared" si="9"/>
        <v>0.23824175824175825</v>
      </c>
      <c r="Q25" s="57">
        <f t="shared" si="10"/>
        <v>1.1859956236323852</v>
      </c>
      <c r="R25" s="39">
        <f t="shared" si="11"/>
        <v>3466000</v>
      </c>
      <c r="S25" s="58"/>
      <c r="T25" s="58">
        <v>550000</v>
      </c>
      <c r="U25" s="66">
        <v>468000</v>
      </c>
      <c r="V25" s="66">
        <v>752000</v>
      </c>
      <c r="W25" s="70">
        <f t="shared" si="12"/>
        <v>0.85090909090909095</v>
      </c>
      <c r="X25" s="57">
        <f t="shared" si="13"/>
        <v>0.10285714285714286</v>
      </c>
      <c r="Y25" s="57">
        <f t="shared" si="14"/>
        <v>0.62234042553191493</v>
      </c>
      <c r="Z25" s="39">
        <f t="shared" si="15"/>
        <v>4000000</v>
      </c>
    </row>
    <row r="26" spans="1:26" x14ac:dyDescent="0.25">
      <c r="A26" s="20" t="s">
        <v>634</v>
      </c>
      <c r="B26" s="10" t="s">
        <v>588</v>
      </c>
      <c r="C26" s="10">
        <v>2</v>
      </c>
      <c r="D26" t="s">
        <v>560</v>
      </c>
      <c r="E26" s="20" t="s">
        <v>477</v>
      </c>
      <c r="F26" s="20" t="s">
        <v>0</v>
      </c>
      <c r="G26" t="s">
        <v>58</v>
      </c>
      <c r="H26" t="s">
        <v>60</v>
      </c>
      <c r="I26" t="s">
        <v>62</v>
      </c>
      <c r="J26" t="s">
        <v>63</v>
      </c>
      <c r="K26" s="56">
        <v>3600000</v>
      </c>
      <c r="L26" s="125">
        <v>2600000</v>
      </c>
      <c r="M26" s="56">
        <v>2512040</v>
      </c>
      <c r="N26" s="56">
        <v>1406160</v>
      </c>
      <c r="O26" s="70">
        <f t="shared" si="8"/>
        <v>0.96616923076923078</v>
      </c>
      <c r="P26" s="57">
        <f t="shared" si="9"/>
        <v>0.6977888888888889</v>
      </c>
      <c r="Q26" s="57">
        <f t="shared" si="10"/>
        <v>1.7864538886044263</v>
      </c>
      <c r="R26" s="39">
        <f t="shared" si="11"/>
        <v>1087960</v>
      </c>
      <c r="S26" s="58"/>
      <c r="T26" s="58">
        <v>1200000</v>
      </c>
      <c r="U26" s="66">
        <v>978240</v>
      </c>
      <c r="V26" s="66">
        <v>846000</v>
      </c>
      <c r="W26" s="70">
        <f t="shared" si="12"/>
        <v>0.81520000000000004</v>
      </c>
      <c r="X26" s="57">
        <f t="shared" si="13"/>
        <v>0.27173333333333333</v>
      </c>
      <c r="Y26" s="57">
        <f t="shared" si="14"/>
        <v>1.1563120567375886</v>
      </c>
      <c r="Z26" s="39">
        <f t="shared" si="15"/>
        <v>2400000</v>
      </c>
    </row>
    <row r="27" spans="1:26" x14ac:dyDescent="0.25">
      <c r="A27" s="20" t="s">
        <v>628</v>
      </c>
      <c r="B27" s="10" t="s">
        <v>589</v>
      </c>
      <c r="C27" s="10">
        <v>2</v>
      </c>
      <c r="D27" t="s">
        <v>560</v>
      </c>
      <c r="E27" s="20" t="s">
        <v>477</v>
      </c>
      <c r="F27" s="20" t="s">
        <v>0</v>
      </c>
      <c r="G27" t="s">
        <v>58</v>
      </c>
      <c r="H27" t="s">
        <v>60</v>
      </c>
      <c r="I27" t="s">
        <v>64</v>
      </c>
      <c r="J27" t="s">
        <v>65</v>
      </c>
      <c r="K27" s="56">
        <v>10000</v>
      </c>
      <c r="L27" s="125">
        <v>0</v>
      </c>
      <c r="M27" s="56">
        <v>0</v>
      </c>
      <c r="N27" s="56">
        <v>0</v>
      </c>
      <c r="O27" s="70" t="e">
        <f t="shared" si="8"/>
        <v>#DIV/0!</v>
      </c>
      <c r="P27" s="57">
        <f t="shared" si="9"/>
        <v>0</v>
      </c>
      <c r="Q27" s="57" t="e">
        <f t="shared" si="10"/>
        <v>#DIV/0!</v>
      </c>
      <c r="R27" s="39">
        <f t="shared" si="11"/>
        <v>10000</v>
      </c>
      <c r="S27" s="58"/>
      <c r="T27" s="58">
        <v>0</v>
      </c>
      <c r="U27" s="66">
        <v>0</v>
      </c>
      <c r="V27" s="66">
        <v>0</v>
      </c>
      <c r="W27" s="70" t="e">
        <f t="shared" si="12"/>
        <v>#DIV/0!</v>
      </c>
      <c r="X27" s="57">
        <f t="shared" si="13"/>
        <v>0</v>
      </c>
      <c r="Y27" s="57" t="e">
        <f t="shared" si="14"/>
        <v>#DIV/0!</v>
      </c>
      <c r="Z27" s="39">
        <f t="shared" si="15"/>
        <v>10000</v>
      </c>
    </row>
    <row r="28" spans="1:26" x14ac:dyDescent="0.25">
      <c r="A28" s="20" t="s">
        <v>635</v>
      </c>
      <c r="B28" s="10" t="s">
        <v>590</v>
      </c>
      <c r="C28" s="10">
        <v>2</v>
      </c>
      <c r="D28" t="s">
        <v>560</v>
      </c>
      <c r="E28" s="20" t="s">
        <v>477</v>
      </c>
      <c r="F28" s="20" t="s">
        <v>0</v>
      </c>
      <c r="G28" t="s">
        <v>58</v>
      </c>
      <c r="H28" t="s">
        <v>60</v>
      </c>
      <c r="I28" t="s">
        <v>66</v>
      </c>
      <c r="J28" t="s">
        <v>67</v>
      </c>
      <c r="K28" s="56">
        <v>59147400</v>
      </c>
      <c r="L28" s="125">
        <v>32000000</v>
      </c>
      <c r="M28" s="56">
        <v>31155207.800000004</v>
      </c>
      <c r="N28" s="56">
        <v>31797385.830000002</v>
      </c>
      <c r="O28" s="70">
        <f t="shared" si="8"/>
        <v>0.97360024375000009</v>
      </c>
      <c r="P28" s="57">
        <f t="shared" si="9"/>
        <v>0.52673841622793227</v>
      </c>
      <c r="Q28" s="57">
        <f t="shared" si="10"/>
        <v>0.97980406208757831</v>
      </c>
      <c r="R28" s="39">
        <f t="shared" si="11"/>
        <v>27992192.199999996</v>
      </c>
      <c r="S28" s="58"/>
      <c r="T28" s="58">
        <v>16000000</v>
      </c>
      <c r="U28" s="66">
        <v>15081983.799999999</v>
      </c>
      <c r="V28" s="66">
        <v>15948233.540000001</v>
      </c>
      <c r="W28" s="70">
        <f t="shared" si="12"/>
        <v>0.94262398749999998</v>
      </c>
      <c r="X28" s="57">
        <f t="shared" si="13"/>
        <v>0.25498980174952746</v>
      </c>
      <c r="Y28" s="57">
        <f t="shared" si="14"/>
        <v>0.94568365594676373</v>
      </c>
      <c r="Z28" s="39">
        <f t="shared" si="15"/>
        <v>43147400</v>
      </c>
    </row>
    <row r="29" spans="1:26" x14ac:dyDescent="0.25">
      <c r="A29" s="20" t="s">
        <v>635</v>
      </c>
      <c r="B29" s="10" t="s">
        <v>590</v>
      </c>
      <c r="C29" s="10">
        <v>3</v>
      </c>
      <c r="D29" t="s">
        <v>560</v>
      </c>
      <c r="E29" s="20" t="s">
        <v>477</v>
      </c>
      <c r="F29" s="20" t="s">
        <v>0</v>
      </c>
      <c r="G29" t="s">
        <v>58</v>
      </c>
      <c r="H29" t="s">
        <v>60</v>
      </c>
      <c r="I29" t="s">
        <v>68</v>
      </c>
      <c r="J29" t="s">
        <v>67</v>
      </c>
      <c r="K29" s="56">
        <v>5805000</v>
      </c>
      <c r="L29" s="125">
        <v>1350000</v>
      </c>
      <c r="M29" s="56">
        <v>1305797.28</v>
      </c>
      <c r="N29" s="56">
        <v>3855911.64</v>
      </c>
      <c r="O29" s="70">
        <f t="shared" si="8"/>
        <v>0.9672572444444445</v>
      </c>
      <c r="P29" s="57">
        <f t="shared" si="9"/>
        <v>0.22494354521963825</v>
      </c>
      <c r="Q29" s="57">
        <f t="shared" si="10"/>
        <v>0.33864813354488588</v>
      </c>
      <c r="R29" s="39">
        <f t="shared" si="11"/>
        <v>4499202.72</v>
      </c>
      <c r="S29" s="58"/>
      <c r="T29" s="58">
        <v>1000000</v>
      </c>
      <c r="U29" s="66">
        <v>820565.24</v>
      </c>
      <c r="V29" s="66">
        <v>36102</v>
      </c>
      <c r="W29" s="70">
        <f t="shared" si="12"/>
        <v>0.82056523999999997</v>
      </c>
      <c r="X29" s="57">
        <f t="shared" si="13"/>
        <v>0.14135490783807061</v>
      </c>
      <c r="Y29" s="57">
        <f t="shared" si="14"/>
        <v>22.729079829372335</v>
      </c>
      <c r="Z29" s="39">
        <f t="shared" si="15"/>
        <v>4805000</v>
      </c>
    </row>
    <row r="30" spans="1:26" x14ac:dyDescent="0.25">
      <c r="A30" s="20" t="s">
        <v>636</v>
      </c>
      <c r="B30" s="10" t="s">
        <v>591</v>
      </c>
      <c r="C30" s="10">
        <v>1</v>
      </c>
      <c r="D30" t="s">
        <v>560</v>
      </c>
      <c r="E30" s="20" t="s">
        <v>477</v>
      </c>
      <c r="F30" s="20" t="s">
        <v>0</v>
      </c>
      <c r="G30" t="s">
        <v>58</v>
      </c>
      <c r="H30" t="s">
        <v>60</v>
      </c>
      <c r="I30" t="s">
        <v>69</v>
      </c>
      <c r="J30" t="s">
        <v>70</v>
      </c>
      <c r="K30" s="56">
        <v>2277000</v>
      </c>
      <c r="L30" s="125">
        <v>1600000</v>
      </c>
      <c r="M30" s="121">
        <f>1335849.33+167150.67</f>
        <v>1503000</v>
      </c>
      <c r="N30" s="56">
        <v>0</v>
      </c>
      <c r="O30" s="70">
        <f t="shared" si="8"/>
        <v>0.93937499999999996</v>
      </c>
      <c r="P30" s="57">
        <f t="shared" si="9"/>
        <v>0.66007905138339917</v>
      </c>
      <c r="Q30" s="57" t="e">
        <f t="shared" si="10"/>
        <v>#DIV/0!</v>
      </c>
      <c r="R30" s="39">
        <f t="shared" si="11"/>
        <v>774000</v>
      </c>
      <c r="S30" s="58"/>
      <c r="T30" s="58">
        <v>900000</v>
      </c>
      <c r="U30" s="66">
        <v>821428.1</v>
      </c>
      <c r="V30" s="66">
        <v>0</v>
      </c>
      <c r="W30" s="70">
        <f t="shared" si="12"/>
        <v>0.91269788888888881</v>
      </c>
      <c r="X30" s="57">
        <f t="shared" si="13"/>
        <v>0.36075015371102326</v>
      </c>
      <c r="Y30" s="57" t="e">
        <f t="shared" si="14"/>
        <v>#DIV/0!</v>
      </c>
      <c r="Z30" s="39">
        <f t="shared" si="15"/>
        <v>1377000</v>
      </c>
    </row>
    <row r="31" spans="1:26" x14ac:dyDescent="0.25">
      <c r="A31" s="20" t="s">
        <v>630</v>
      </c>
      <c r="B31" s="10" t="s">
        <v>592</v>
      </c>
      <c r="C31" s="10">
        <v>2</v>
      </c>
      <c r="D31" t="s">
        <v>560</v>
      </c>
      <c r="E31" s="20" t="s">
        <v>477</v>
      </c>
      <c r="F31" s="20" t="s">
        <v>0</v>
      </c>
      <c r="G31" t="s">
        <v>58</v>
      </c>
      <c r="H31" t="s">
        <v>60</v>
      </c>
      <c r="I31" t="s">
        <v>71</v>
      </c>
      <c r="J31" t="s">
        <v>72</v>
      </c>
      <c r="K31" s="56">
        <v>1325600</v>
      </c>
      <c r="L31" s="125">
        <v>530000</v>
      </c>
      <c r="M31" s="56">
        <v>502989.18000000005</v>
      </c>
      <c r="N31" s="120">
        <f>122585.01+2980</f>
        <v>125565.01</v>
      </c>
      <c r="O31" s="70">
        <f t="shared" si="8"/>
        <v>0.94903618867924533</v>
      </c>
      <c r="P31" s="57">
        <f t="shared" si="9"/>
        <v>0.37944265238382624</v>
      </c>
      <c r="Q31" s="57">
        <f t="shared" si="10"/>
        <v>4.0058068724718776</v>
      </c>
      <c r="R31" s="39">
        <f t="shared" si="11"/>
        <v>822610.82</v>
      </c>
      <c r="S31" s="58"/>
      <c r="T31" s="58">
        <v>210000</v>
      </c>
      <c r="U31" s="66">
        <v>189346.05999999997</v>
      </c>
      <c r="V31" s="68">
        <f>56300.45+2980</f>
        <v>59280.45</v>
      </c>
      <c r="W31" s="70">
        <f t="shared" si="12"/>
        <v>0.9016479047619046</v>
      </c>
      <c r="X31" s="57">
        <f t="shared" si="13"/>
        <v>0.14283800543150268</v>
      </c>
      <c r="Y31" s="57">
        <f t="shared" si="14"/>
        <v>3.1940725821075917</v>
      </c>
      <c r="Z31" s="39">
        <f t="shared" si="15"/>
        <v>1115600</v>
      </c>
    </row>
    <row r="32" spans="1:26" x14ac:dyDescent="0.25">
      <c r="A32" s="20" t="s">
        <v>632</v>
      </c>
      <c r="B32" s="10" t="s">
        <v>593</v>
      </c>
      <c r="C32" s="10">
        <v>1</v>
      </c>
      <c r="D32" t="s">
        <v>560</v>
      </c>
      <c r="E32" s="20" t="s">
        <v>477</v>
      </c>
      <c r="F32" s="20" t="s">
        <v>0</v>
      </c>
      <c r="G32" t="s">
        <v>58</v>
      </c>
      <c r="H32" t="s">
        <v>60</v>
      </c>
      <c r="I32" t="s">
        <v>73</v>
      </c>
      <c r="J32" t="s">
        <v>74</v>
      </c>
      <c r="K32" s="56">
        <v>1165000</v>
      </c>
      <c r="L32" s="125">
        <v>220000</v>
      </c>
      <c r="M32" s="121">
        <f>106095.85+106819.15</f>
        <v>212915</v>
      </c>
      <c r="N32" s="56">
        <v>109939.80000000002</v>
      </c>
      <c r="O32" s="70">
        <f t="shared" si="8"/>
        <v>0.96779545454545457</v>
      </c>
      <c r="P32" s="57">
        <f t="shared" si="9"/>
        <v>0.18275965665236052</v>
      </c>
      <c r="Q32" s="57">
        <f t="shared" si="10"/>
        <v>1.9366507852479262</v>
      </c>
      <c r="R32" s="39">
        <f t="shared" si="11"/>
        <v>952085</v>
      </c>
      <c r="S32" s="58"/>
      <c r="T32" s="58">
        <v>0</v>
      </c>
      <c r="U32" s="66">
        <v>0</v>
      </c>
      <c r="V32" s="66">
        <v>53100.73</v>
      </c>
      <c r="W32" s="70" t="e">
        <f t="shared" si="12"/>
        <v>#DIV/0!</v>
      </c>
      <c r="X32" s="57">
        <f t="shared" si="13"/>
        <v>0</v>
      </c>
      <c r="Y32" s="57">
        <f t="shared" si="14"/>
        <v>0</v>
      </c>
      <c r="Z32" s="39">
        <f t="shared" si="15"/>
        <v>1165000</v>
      </c>
    </row>
    <row r="33" spans="1:26" x14ac:dyDescent="0.25">
      <c r="A33" s="20" t="s">
        <v>629</v>
      </c>
      <c r="B33" s="10" t="s">
        <v>594</v>
      </c>
      <c r="C33" s="10">
        <v>1</v>
      </c>
      <c r="D33" t="s">
        <v>560</v>
      </c>
      <c r="E33" s="20" t="s">
        <v>477</v>
      </c>
      <c r="F33" s="20" t="s">
        <v>0</v>
      </c>
      <c r="G33" t="s">
        <v>58</v>
      </c>
      <c r="H33" t="s">
        <v>60</v>
      </c>
      <c r="I33" t="s">
        <v>75</v>
      </c>
      <c r="J33" t="s">
        <v>76</v>
      </c>
      <c r="K33" s="56">
        <v>50000</v>
      </c>
      <c r="L33" s="125">
        <v>3500</v>
      </c>
      <c r="M33" s="56">
        <v>3361.02</v>
      </c>
      <c r="N33" s="56">
        <v>10379.469999999999</v>
      </c>
      <c r="O33" s="70">
        <f t="shared" si="8"/>
        <v>0.96029142857142857</v>
      </c>
      <c r="P33" s="57">
        <f t="shared" si="9"/>
        <v>6.72204E-2</v>
      </c>
      <c r="Q33" s="57">
        <f t="shared" si="10"/>
        <v>0.32381422172808438</v>
      </c>
      <c r="R33" s="39">
        <f t="shared" si="11"/>
        <v>46638.98</v>
      </c>
      <c r="S33" s="58"/>
      <c r="T33" s="58">
        <v>3000</v>
      </c>
      <c r="U33" s="66">
        <v>2630.6</v>
      </c>
      <c r="V33" s="66">
        <v>414.6</v>
      </c>
      <c r="W33" s="70">
        <f t="shared" si="12"/>
        <v>0.87686666666666668</v>
      </c>
      <c r="X33" s="57">
        <f t="shared" si="13"/>
        <v>5.2611999999999999E-2</v>
      </c>
      <c r="Y33" s="57">
        <f t="shared" si="14"/>
        <v>6.3449107573564874</v>
      </c>
      <c r="Z33" s="39">
        <f t="shared" si="15"/>
        <v>47000</v>
      </c>
    </row>
    <row r="34" spans="1:26" x14ac:dyDescent="0.25">
      <c r="A34" s="20" t="s">
        <v>637</v>
      </c>
      <c r="B34" s="10" t="s">
        <v>595</v>
      </c>
      <c r="C34" s="10">
        <v>1</v>
      </c>
      <c r="D34" t="s">
        <v>560</v>
      </c>
      <c r="E34" s="20" t="s">
        <v>480</v>
      </c>
      <c r="F34" s="20" t="s">
        <v>0</v>
      </c>
      <c r="G34" t="s">
        <v>77</v>
      </c>
      <c r="H34" t="s">
        <v>79</v>
      </c>
      <c r="I34" t="s">
        <v>78</v>
      </c>
      <c r="J34" t="s">
        <v>80</v>
      </c>
      <c r="K34" s="56">
        <v>27500</v>
      </c>
      <c r="L34" s="125">
        <v>2300</v>
      </c>
      <c r="M34" s="56">
        <v>2222.08</v>
      </c>
      <c r="N34" s="56">
        <v>25630</v>
      </c>
      <c r="O34" s="70">
        <f t="shared" si="8"/>
        <v>0.96612173913043475</v>
      </c>
      <c r="P34" s="57">
        <f t="shared" si="9"/>
        <v>8.0802909090909092E-2</v>
      </c>
      <c r="Q34" s="57">
        <f t="shared" si="10"/>
        <v>8.6698400312134216E-2</v>
      </c>
      <c r="R34" s="39">
        <f t="shared" si="11"/>
        <v>25277.919999999998</v>
      </c>
      <c r="S34" s="58"/>
      <c r="T34" s="58">
        <v>0</v>
      </c>
      <c r="U34" s="66">
        <v>0</v>
      </c>
      <c r="V34" s="66">
        <v>25630</v>
      </c>
      <c r="W34" s="70" t="e">
        <f t="shared" si="12"/>
        <v>#DIV/0!</v>
      </c>
      <c r="X34" s="57">
        <f t="shared" si="13"/>
        <v>0</v>
      </c>
      <c r="Y34" s="57">
        <f t="shared" si="14"/>
        <v>0</v>
      </c>
      <c r="Z34" s="39">
        <f t="shared" si="15"/>
        <v>27500</v>
      </c>
    </row>
    <row r="35" spans="1:26" x14ac:dyDescent="0.25">
      <c r="A35" s="20" t="s">
        <v>638</v>
      </c>
      <c r="B35" s="10" t="s">
        <v>596</v>
      </c>
      <c r="C35" s="10">
        <v>1</v>
      </c>
      <c r="D35" t="s">
        <v>560</v>
      </c>
      <c r="E35" s="20" t="s">
        <v>480</v>
      </c>
      <c r="F35" s="20" t="s">
        <v>0</v>
      </c>
      <c r="G35" t="s">
        <v>77</v>
      </c>
      <c r="H35" t="s">
        <v>79</v>
      </c>
      <c r="I35" t="s">
        <v>81</v>
      </c>
      <c r="J35" t="s">
        <v>82</v>
      </c>
      <c r="K35" s="56">
        <v>418000</v>
      </c>
      <c r="L35" s="125">
        <v>130000</v>
      </c>
      <c r="M35" s="56">
        <v>129176.31</v>
      </c>
      <c r="N35" s="56">
        <v>3455</v>
      </c>
      <c r="O35" s="70">
        <f t="shared" si="8"/>
        <v>0.99366392307692308</v>
      </c>
      <c r="P35" s="57">
        <f t="shared" si="9"/>
        <v>0.30903423444976075</v>
      </c>
      <c r="Q35" s="57">
        <f t="shared" si="10"/>
        <v>37.388222865412445</v>
      </c>
      <c r="R35" s="39">
        <f t="shared" si="11"/>
        <v>288823.69</v>
      </c>
      <c r="S35" s="58"/>
      <c r="T35" s="58">
        <v>110000</v>
      </c>
      <c r="U35" s="66">
        <v>97226</v>
      </c>
      <c r="V35" s="66">
        <v>0</v>
      </c>
      <c r="W35" s="70">
        <f t="shared" si="12"/>
        <v>0.88387272727272725</v>
      </c>
      <c r="X35" s="57">
        <f t="shared" si="13"/>
        <v>0.23259808612440191</v>
      </c>
      <c r="Y35" s="57" t="e">
        <f t="shared" si="14"/>
        <v>#DIV/0!</v>
      </c>
      <c r="Z35" s="39">
        <f t="shared" si="15"/>
        <v>308000</v>
      </c>
    </row>
    <row r="36" spans="1:26" x14ac:dyDescent="0.25">
      <c r="A36" s="20" t="s">
        <v>652</v>
      </c>
      <c r="B36" s="10" t="s">
        <v>579</v>
      </c>
      <c r="C36" s="10">
        <v>2</v>
      </c>
      <c r="D36" t="s">
        <v>560</v>
      </c>
      <c r="E36" s="20" t="s">
        <v>482</v>
      </c>
      <c r="F36" s="20" t="s">
        <v>0</v>
      </c>
      <c r="G36" t="s">
        <v>83</v>
      </c>
      <c r="H36" t="s">
        <v>85</v>
      </c>
      <c r="I36" t="s">
        <v>84</v>
      </c>
      <c r="J36" t="s">
        <v>30</v>
      </c>
      <c r="K36" s="56">
        <v>0</v>
      </c>
      <c r="L36" s="125">
        <v>0</v>
      </c>
      <c r="M36" s="56">
        <v>0</v>
      </c>
      <c r="N36" s="56">
        <v>0</v>
      </c>
      <c r="O36" s="70" t="e">
        <f t="shared" si="8"/>
        <v>#DIV/0!</v>
      </c>
      <c r="P36" s="57" t="e">
        <f t="shared" si="9"/>
        <v>#DIV/0!</v>
      </c>
      <c r="Q36" s="57" t="e">
        <f t="shared" si="10"/>
        <v>#DIV/0!</v>
      </c>
      <c r="R36" s="39">
        <f t="shared" si="11"/>
        <v>0</v>
      </c>
      <c r="S36" s="58"/>
      <c r="T36" s="58">
        <v>0</v>
      </c>
      <c r="U36" s="66">
        <v>0</v>
      </c>
      <c r="V36" s="66">
        <v>0</v>
      </c>
      <c r="W36" s="70" t="e">
        <f t="shared" si="12"/>
        <v>#DIV/0!</v>
      </c>
      <c r="X36" s="57" t="e">
        <f t="shared" si="13"/>
        <v>#DIV/0!</v>
      </c>
      <c r="Y36" s="57" t="e">
        <f t="shared" si="14"/>
        <v>#DIV/0!</v>
      </c>
      <c r="Z36" s="39">
        <f t="shared" si="15"/>
        <v>0</v>
      </c>
    </row>
    <row r="37" spans="1:26" x14ac:dyDescent="0.25">
      <c r="A37" s="20" t="s">
        <v>642</v>
      </c>
      <c r="B37" s="10" t="s">
        <v>597</v>
      </c>
      <c r="C37" s="10">
        <v>1</v>
      </c>
      <c r="D37" t="s">
        <v>560</v>
      </c>
      <c r="E37" s="20" t="s">
        <v>482</v>
      </c>
      <c r="F37" s="20" t="s">
        <v>0</v>
      </c>
      <c r="G37" t="s">
        <v>83</v>
      </c>
      <c r="H37" t="s">
        <v>85</v>
      </c>
      <c r="I37" t="s">
        <v>86</v>
      </c>
      <c r="J37" t="s">
        <v>87</v>
      </c>
      <c r="K37" s="56">
        <v>1436500</v>
      </c>
      <c r="L37" s="125">
        <v>400000</v>
      </c>
      <c r="M37" s="56">
        <v>396810</v>
      </c>
      <c r="N37" s="56">
        <v>283721.40000000002</v>
      </c>
      <c r="O37" s="70">
        <f t="shared" si="8"/>
        <v>0.99202500000000005</v>
      </c>
      <c r="P37" s="57">
        <f t="shared" si="9"/>
        <v>0.2762339018447616</v>
      </c>
      <c r="Q37" s="57">
        <f t="shared" si="10"/>
        <v>1.3985903072521142</v>
      </c>
      <c r="R37" s="39">
        <f t="shared" si="11"/>
        <v>1039690</v>
      </c>
      <c r="S37" s="58"/>
      <c r="T37" s="58">
        <v>100000</v>
      </c>
      <c r="U37" s="66">
        <v>83230</v>
      </c>
      <c r="V37" s="66">
        <v>63574.399999999994</v>
      </c>
      <c r="W37" s="70">
        <f t="shared" si="12"/>
        <v>0.83230000000000004</v>
      </c>
      <c r="X37" s="57">
        <f t="shared" si="13"/>
        <v>5.7939436129481381E-2</v>
      </c>
      <c r="Y37" s="57">
        <f t="shared" si="14"/>
        <v>1.3091747621684202</v>
      </c>
      <c r="Z37" s="39">
        <f t="shared" si="15"/>
        <v>1336500</v>
      </c>
    </row>
    <row r="38" spans="1:26" x14ac:dyDescent="0.25">
      <c r="A38" s="20" t="s">
        <v>640</v>
      </c>
      <c r="B38" s="10" t="s">
        <v>598</v>
      </c>
      <c r="C38" s="10">
        <v>1</v>
      </c>
      <c r="D38" t="s">
        <v>560</v>
      </c>
      <c r="E38" s="20" t="s">
        <v>482</v>
      </c>
      <c r="F38" s="20" t="s">
        <v>0</v>
      </c>
      <c r="G38" t="s">
        <v>83</v>
      </c>
      <c r="H38" t="s">
        <v>85</v>
      </c>
      <c r="I38" t="s">
        <v>88</v>
      </c>
      <c r="J38" t="s">
        <v>89</v>
      </c>
      <c r="K38" s="56">
        <v>368600</v>
      </c>
      <c r="L38" s="125">
        <v>54000</v>
      </c>
      <c r="M38" s="56">
        <v>52788</v>
      </c>
      <c r="N38" s="56">
        <v>48868</v>
      </c>
      <c r="O38" s="70">
        <f t="shared" si="8"/>
        <v>0.97755555555555551</v>
      </c>
      <c r="P38" s="57">
        <f t="shared" si="9"/>
        <v>0.14321215409658167</v>
      </c>
      <c r="Q38" s="57">
        <f t="shared" si="10"/>
        <v>1.0802160923303594</v>
      </c>
      <c r="R38" s="39">
        <f t="shared" si="11"/>
        <v>315812</v>
      </c>
      <c r="S38" s="58"/>
      <c r="T38" s="58">
        <v>17000</v>
      </c>
      <c r="U38" s="66">
        <v>13888</v>
      </c>
      <c r="V38" s="66">
        <v>16980</v>
      </c>
      <c r="W38" s="70">
        <f t="shared" si="12"/>
        <v>0.81694117647058828</v>
      </c>
      <c r="X38" s="57">
        <f t="shared" si="13"/>
        <v>3.7677699403147046E-2</v>
      </c>
      <c r="Y38" s="57">
        <f t="shared" si="14"/>
        <v>0.81790341578327441</v>
      </c>
      <c r="Z38" s="39">
        <f t="shared" si="15"/>
        <v>351600</v>
      </c>
    </row>
    <row r="39" spans="1:26" x14ac:dyDescent="0.25">
      <c r="A39" s="20" t="s">
        <v>641</v>
      </c>
      <c r="B39" s="10" t="s">
        <v>599</v>
      </c>
      <c r="C39" s="10">
        <v>1</v>
      </c>
      <c r="D39" t="s">
        <v>560</v>
      </c>
      <c r="E39" s="20" t="s">
        <v>482</v>
      </c>
      <c r="F39" s="20" t="s">
        <v>0</v>
      </c>
      <c r="G39" t="s">
        <v>83</v>
      </c>
      <c r="H39" t="s">
        <v>85</v>
      </c>
      <c r="I39" t="s">
        <v>90</v>
      </c>
      <c r="J39" t="s">
        <v>91</v>
      </c>
      <c r="K39" s="56">
        <v>5417000</v>
      </c>
      <c r="L39" s="125">
        <v>1700000</v>
      </c>
      <c r="M39" s="56">
        <v>1648348</v>
      </c>
      <c r="N39" s="56">
        <v>1246746.79</v>
      </c>
      <c r="O39" s="70">
        <f t="shared" si="8"/>
        <v>0.9696164705882353</v>
      </c>
      <c r="P39" s="57">
        <f t="shared" si="9"/>
        <v>0.30429167435850102</v>
      </c>
      <c r="Q39" s="57">
        <f t="shared" si="10"/>
        <v>1.3221193053964069</v>
      </c>
      <c r="R39" s="39">
        <f t="shared" si="11"/>
        <v>3768652</v>
      </c>
      <c r="S39" s="58"/>
      <c r="T39" s="58">
        <v>40000</v>
      </c>
      <c r="U39" s="66">
        <v>34240</v>
      </c>
      <c r="V39" s="66">
        <v>242713.5</v>
      </c>
      <c r="W39" s="70">
        <f t="shared" ref="W39:W112" si="16">U39/T39</f>
        <v>0.85599999999999998</v>
      </c>
      <c r="X39" s="57">
        <f t="shared" ref="X39:X112" si="17">U39/K39</f>
        <v>6.3208417943511168E-3</v>
      </c>
      <c r="Y39" s="57">
        <f t="shared" ref="Y39:Y112" si="18">U39/V39</f>
        <v>0.14107167504073734</v>
      </c>
      <c r="Z39" s="39">
        <f t="shared" ref="Z39:Z112" si="19">K39-T39</f>
        <v>5377000</v>
      </c>
    </row>
    <row r="40" spans="1:26" x14ac:dyDescent="0.25">
      <c r="A40" s="20" t="s">
        <v>639</v>
      </c>
      <c r="B40" s="10" t="s">
        <v>600</v>
      </c>
      <c r="C40" s="10">
        <v>1</v>
      </c>
      <c r="D40" t="s">
        <v>560</v>
      </c>
      <c r="E40" s="20" t="s">
        <v>482</v>
      </c>
      <c r="F40" s="20" t="s">
        <v>0</v>
      </c>
      <c r="G40" t="s">
        <v>83</v>
      </c>
      <c r="H40" t="s">
        <v>85</v>
      </c>
      <c r="I40" t="s">
        <v>92</v>
      </c>
      <c r="J40" t="s">
        <v>93</v>
      </c>
      <c r="K40" s="56">
        <v>4296000</v>
      </c>
      <c r="L40" s="125">
        <v>1200000</v>
      </c>
      <c r="M40" s="56">
        <v>1155044.33</v>
      </c>
      <c r="N40" s="56">
        <v>868616.69000000006</v>
      </c>
      <c r="O40" s="70">
        <f t="shared" si="8"/>
        <v>0.9625369416666667</v>
      </c>
      <c r="P40" s="57">
        <f t="shared" si="9"/>
        <v>0.2688650675046555</v>
      </c>
      <c r="Q40" s="57">
        <f t="shared" si="10"/>
        <v>1.3297514810589237</v>
      </c>
      <c r="R40" s="39">
        <f t="shared" si="11"/>
        <v>3140955.67</v>
      </c>
      <c r="S40" s="58"/>
      <c r="T40" s="58">
        <v>500000</v>
      </c>
      <c r="U40" s="66">
        <v>435327.8</v>
      </c>
      <c r="V40" s="66">
        <v>116731</v>
      </c>
      <c r="W40" s="70">
        <f t="shared" si="16"/>
        <v>0.87065559999999997</v>
      </c>
      <c r="X40" s="57">
        <f t="shared" si="17"/>
        <v>0.10133328677839851</v>
      </c>
      <c r="Y40" s="57">
        <f t="shared" si="18"/>
        <v>3.7293246866727774</v>
      </c>
      <c r="Z40" s="39">
        <f t="shared" si="19"/>
        <v>3796000</v>
      </c>
    </row>
    <row r="41" spans="1:26" x14ac:dyDescent="0.25">
      <c r="A41" s="20" t="s">
        <v>645</v>
      </c>
      <c r="B41" s="10" t="s">
        <v>601</v>
      </c>
      <c r="C41" s="10">
        <v>2</v>
      </c>
      <c r="D41" t="s">
        <v>560</v>
      </c>
      <c r="E41" s="20" t="s">
        <v>484</v>
      </c>
      <c r="F41" s="20" t="s">
        <v>0</v>
      </c>
      <c r="G41" t="s">
        <v>94</v>
      </c>
      <c r="H41" t="s">
        <v>96</v>
      </c>
      <c r="I41" t="s">
        <v>95</v>
      </c>
      <c r="J41" t="s">
        <v>97</v>
      </c>
      <c r="K41" s="56">
        <v>8639800</v>
      </c>
      <c r="L41" s="125">
        <v>1800000</v>
      </c>
      <c r="M41" s="56">
        <v>1707268.7400000002</v>
      </c>
      <c r="N41" s="56">
        <v>707213.49</v>
      </c>
      <c r="O41" s="70">
        <f t="shared" si="8"/>
        <v>0.94848263333333349</v>
      </c>
      <c r="P41" s="57">
        <f t="shared" si="9"/>
        <v>0.19760512280376863</v>
      </c>
      <c r="Q41" s="57">
        <f t="shared" si="10"/>
        <v>2.4140783004577591</v>
      </c>
      <c r="R41" s="39">
        <f t="shared" si="11"/>
        <v>6932531.2599999998</v>
      </c>
      <c r="S41" s="58"/>
      <c r="T41" s="58">
        <v>550000</v>
      </c>
      <c r="U41" s="66">
        <v>466725.49999999994</v>
      </c>
      <c r="V41" s="66">
        <v>72059.100000000006</v>
      </c>
      <c r="W41" s="70">
        <f t="shared" si="16"/>
        <v>0.84859181818181806</v>
      </c>
      <c r="X41" s="57">
        <f t="shared" si="17"/>
        <v>5.4020405564943627E-2</v>
      </c>
      <c r="Y41" s="57">
        <f t="shared" si="18"/>
        <v>6.4769820883136191</v>
      </c>
      <c r="Z41" s="39">
        <f t="shared" si="19"/>
        <v>8089800</v>
      </c>
    </row>
    <row r="42" spans="1:26" x14ac:dyDescent="0.25">
      <c r="A42" s="20" t="s">
        <v>644</v>
      </c>
      <c r="B42" s="10" t="s">
        <v>602</v>
      </c>
      <c r="C42" s="10">
        <v>2</v>
      </c>
      <c r="D42" t="s">
        <v>560</v>
      </c>
      <c r="E42" s="20" t="s">
        <v>484</v>
      </c>
      <c r="F42" s="20" t="s">
        <v>0</v>
      </c>
      <c r="G42" t="s">
        <v>94</v>
      </c>
      <c r="H42" t="s">
        <v>96</v>
      </c>
      <c r="I42" t="s">
        <v>98</v>
      </c>
      <c r="J42" t="s">
        <v>99</v>
      </c>
      <c r="K42" s="56">
        <v>601200</v>
      </c>
      <c r="L42" s="125">
        <v>50000</v>
      </c>
      <c r="M42" s="56">
        <v>48640</v>
      </c>
      <c r="N42" s="56">
        <v>116547.38</v>
      </c>
      <c r="O42" s="70">
        <f t="shared" si="8"/>
        <v>0.9728</v>
      </c>
      <c r="P42" s="57">
        <f t="shared" si="9"/>
        <v>8.0904856952761145E-2</v>
      </c>
      <c r="Q42" s="57">
        <f t="shared" si="10"/>
        <v>0.4173409989997201</v>
      </c>
      <c r="R42" s="39">
        <f t="shared" si="11"/>
        <v>552560</v>
      </c>
      <c r="S42" s="58"/>
      <c r="T42" s="58">
        <v>60000</v>
      </c>
      <c r="U42" s="66">
        <v>48640</v>
      </c>
      <c r="V42" s="66">
        <v>22984</v>
      </c>
      <c r="W42" s="70">
        <f t="shared" si="16"/>
        <v>0.81066666666666665</v>
      </c>
      <c r="X42" s="57">
        <f t="shared" si="17"/>
        <v>8.0904856952761145E-2</v>
      </c>
      <c r="Y42" s="57">
        <f t="shared" si="18"/>
        <v>2.1162547859380441</v>
      </c>
      <c r="Z42" s="39">
        <f t="shared" si="19"/>
        <v>541200</v>
      </c>
    </row>
    <row r="43" spans="1:26" x14ac:dyDescent="0.25">
      <c r="A43" s="20" t="s">
        <v>643</v>
      </c>
      <c r="B43" s="10" t="s">
        <v>602</v>
      </c>
      <c r="C43" s="10">
        <v>4</v>
      </c>
      <c r="D43" t="s">
        <v>560</v>
      </c>
      <c r="E43" s="20" t="s">
        <v>484</v>
      </c>
      <c r="F43" s="20" t="s">
        <v>0</v>
      </c>
      <c r="G43" t="s">
        <v>94</v>
      </c>
      <c r="H43" t="s">
        <v>96</v>
      </c>
      <c r="I43" t="s">
        <v>100</v>
      </c>
      <c r="J43" t="s">
        <v>99</v>
      </c>
      <c r="K43" s="56">
        <v>250000</v>
      </c>
      <c r="L43" s="125">
        <v>35000</v>
      </c>
      <c r="M43" s="56">
        <v>33517.339999999997</v>
      </c>
      <c r="N43" s="56">
        <v>133406.71</v>
      </c>
      <c r="O43" s="70">
        <f t="shared" si="8"/>
        <v>0.95763828571428566</v>
      </c>
      <c r="P43" s="57">
        <f t="shared" si="9"/>
        <v>0.13406936</v>
      </c>
      <c r="Q43" s="57">
        <f t="shared" si="10"/>
        <v>0.25124178536446928</v>
      </c>
      <c r="R43" s="39">
        <f t="shared" si="11"/>
        <v>216482.66</v>
      </c>
      <c r="S43" s="58"/>
      <c r="T43" s="58">
        <v>0</v>
      </c>
      <c r="U43" s="66">
        <v>0</v>
      </c>
      <c r="V43" s="66">
        <v>0</v>
      </c>
      <c r="W43" s="70" t="e">
        <f t="shared" si="16"/>
        <v>#DIV/0!</v>
      </c>
      <c r="X43" s="57">
        <f t="shared" si="17"/>
        <v>0</v>
      </c>
      <c r="Y43" s="57" t="e">
        <f t="shared" si="18"/>
        <v>#DIV/0!</v>
      </c>
      <c r="Z43" s="39">
        <f t="shared" si="19"/>
        <v>250000</v>
      </c>
    </row>
    <row r="44" spans="1:26" x14ac:dyDescent="0.25">
      <c r="A44" s="20" t="s">
        <v>647</v>
      </c>
      <c r="B44" s="10" t="s">
        <v>585</v>
      </c>
      <c r="C44" s="10">
        <v>1</v>
      </c>
      <c r="D44" t="s">
        <v>560</v>
      </c>
      <c r="E44" s="20" t="s">
        <v>486</v>
      </c>
      <c r="F44" s="20" t="s">
        <v>0</v>
      </c>
      <c r="G44" t="s">
        <v>101</v>
      </c>
      <c r="H44" t="s">
        <v>103</v>
      </c>
      <c r="I44" t="s">
        <v>102</v>
      </c>
      <c r="J44" t="s">
        <v>53</v>
      </c>
      <c r="K44" s="56">
        <v>1730000</v>
      </c>
      <c r="L44" s="125">
        <v>190000</v>
      </c>
      <c r="M44" s="121">
        <f>137075.81+48571.43</f>
        <v>185647.24</v>
      </c>
      <c r="N44" s="56">
        <v>28099.999999999996</v>
      </c>
      <c r="O44" s="70">
        <f t="shared" si="8"/>
        <v>0.97709073684210523</v>
      </c>
      <c r="P44" s="57">
        <f t="shared" si="9"/>
        <v>0.10731054335260115</v>
      </c>
      <c r="Q44" s="57">
        <f t="shared" si="10"/>
        <v>6.60666334519573</v>
      </c>
      <c r="R44" s="39">
        <f t="shared" si="11"/>
        <v>1544352.76</v>
      </c>
      <c r="S44" s="58"/>
      <c r="T44" s="58">
        <v>55000</v>
      </c>
      <c r="U44" s="66">
        <v>47386.26</v>
      </c>
      <c r="V44" s="66">
        <v>0</v>
      </c>
      <c r="W44" s="70">
        <f t="shared" si="16"/>
        <v>0.86156836363636369</v>
      </c>
      <c r="X44" s="57">
        <f t="shared" si="17"/>
        <v>2.7390901734104047E-2</v>
      </c>
      <c r="Y44" s="57" t="e">
        <f t="shared" si="18"/>
        <v>#DIV/0!</v>
      </c>
      <c r="Z44" s="39">
        <f t="shared" si="19"/>
        <v>1675000</v>
      </c>
    </row>
    <row r="45" spans="1:26" x14ac:dyDescent="0.25">
      <c r="A45" s="20" t="s">
        <v>646</v>
      </c>
      <c r="B45" s="10" t="s">
        <v>603</v>
      </c>
      <c r="C45" s="10">
        <v>1</v>
      </c>
      <c r="D45" t="s">
        <v>560</v>
      </c>
      <c r="E45" s="20" t="s">
        <v>486</v>
      </c>
      <c r="F45" s="20" t="s">
        <v>0</v>
      </c>
      <c r="G45" t="s">
        <v>101</v>
      </c>
      <c r="H45" t="s">
        <v>103</v>
      </c>
      <c r="I45" t="s">
        <v>104</v>
      </c>
      <c r="J45" t="s">
        <v>105</v>
      </c>
      <c r="K45" s="56">
        <v>91900</v>
      </c>
      <c r="L45" s="125">
        <v>0</v>
      </c>
      <c r="M45" s="56">
        <v>0</v>
      </c>
      <c r="N45" s="56">
        <v>0</v>
      </c>
      <c r="O45" s="70" t="e">
        <f t="shared" si="8"/>
        <v>#DIV/0!</v>
      </c>
      <c r="P45" s="57">
        <f t="shared" si="9"/>
        <v>0</v>
      </c>
      <c r="Q45" s="57" t="e">
        <f t="shared" si="10"/>
        <v>#DIV/0!</v>
      </c>
      <c r="R45" s="39">
        <f t="shared" si="11"/>
        <v>91900</v>
      </c>
      <c r="S45" s="58"/>
      <c r="T45" s="58">
        <v>0</v>
      </c>
      <c r="U45" s="66">
        <v>0</v>
      </c>
      <c r="V45" s="66">
        <v>0</v>
      </c>
      <c r="W45" s="70" t="e">
        <f t="shared" si="16"/>
        <v>#DIV/0!</v>
      </c>
      <c r="X45" s="57">
        <f t="shared" si="17"/>
        <v>0</v>
      </c>
      <c r="Y45" s="57" t="e">
        <f t="shared" si="18"/>
        <v>#DIV/0!</v>
      </c>
      <c r="Z45" s="39">
        <f t="shared" si="19"/>
        <v>91900</v>
      </c>
    </row>
    <row r="46" spans="1:26" x14ac:dyDescent="0.25">
      <c r="A46" s="20" t="s">
        <v>651</v>
      </c>
      <c r="B46" s="10" t="s">
        <v>604</v>
      </c>
      <c r="C46" s="10">
        <v>2</v>
      </c>
      <c r="D46" t="s">
        <v>560</v>
      </c>
      <c r="E46" s="20" t="s">
        <v>486</v>
      </c>
      <c r="F46" s="20" t="s">
        <v>0</v>
      </c>
      <c r="G46" t="s">
        <v>101</v>
      </c>
      <c r="H46" t="s">
        <v>103</v>
      </c>
      <c r="I46" t="s">
        <v>106</v>
      </c>
      <c r="J46" t="s">
        <v>107</v>
      </c>
      <c r="K46" s="56">
        <v>4450000</v>
      </c>
      <c r="L46" s="125">
        <v>1500000</v>
      </c>
      <c r="M46" s="121">
        <f>1424819.58+52010.41</f>
        <v>1476829.99</v>
      </c>
      <c r="N46" s="56">
        <v>767451.52</v>
      </c>
      <c r="O46" s="70">
        <f t="shared" si="8"/>
        <v>0.98455332666666662</v>
      </c>
      <c r="P46" s="57">
        <f t="shared" si="9"/>
        <v>0.33187190786516851</v>
      </c>
      <c r="Q46" s="57">
        <f t="shared" si="10"/>
        <v>1.9243300084935657</v>
      </c>
      <c r="R46" s="39">
        <f t="shared" si="11"/>
        <v>2973170.01</v>
      </c>
      <c r="S46" s="58"/>
      <c r="T46" s="58">
        <v>145000</v>
      </c>
      <c r="U46" s="66">
        <v>119788.6</v>
      </c>
      <c r="V46" s="66">
        <v>24763.66</v>
      </c>
      <c r="W46" s="70">
        <f t="shared" si="16"/>
        <v>0.82612827586206905</v>
      </c>
      <c r="X46" s="57">
        <f t="shared" si="17"/>
        <v>2.6918786516853935E-2</v>
      </c>
      <c r="Y46" s="57">
        <f t="shared" si="18"/>
        <v>4.8372736501793359</v>
      </c>
      <c r="Z46" s="39">
        <f t="shared" si="19"/>
        <v>4305000</v>
      </c>
    </row>
    <row r="47" spans="1:26" x14ac:dyDescent="0.25">
      <c r="A47" s="20" t="s">
        <v>649</v>
      </c>
      <c r="B47" s="10" t="s">
        <v>588</v>
      </c>
      <c r="C47" s="10">
        <v>2</v>
      </c>
      <c r="D47" t="s">
        <v>560</v>
      </c>
      <c r="E47" s="20" t="s">
        <v>486</v>
      </c>
      <c r="F47" s="20" t="s">
        <v>0</v>
      </c>
      <c r="G47" t="s">
        <v>101</v>
      </c>
      <c r="H47" t="s">
        <v>103</v>
      </c>
      <c r="I47" t="s">
        <v>108</v>
      </c>
      <c r="J47" t="s">
        <v>63</v>
      </c>
      <c r="K47" s="56">
        <v>4734000</v>
      </c>
      <c r="L47" s="125">
        <v>950000</v>
      </c>
      <c r="M47" s="121">
        <f>710539.93+175080.39</f>
        <v>885620.32000000007</v>
      </c>
      <c r="N47" s="56">
        <v>363392.63</v>
      </c>
      <c r="O47" s="70">
        <f t="shared" si="8"/>
        <v>0.93223191578947373</v>
      </c>
      <c r="P47" s="57">
        <f t="shared" si="9"/>
        <v>0.1870765356991973</v>
      </c>
      <c r="Q47" s="57">
        <f t="shared" si="10"/>
        <v>2.4370893818072208</v>
      </c>
      <c r="R47" s="39">
        <f t="shared" si="11"/>
        <v>3848379.6799999997</v>
      </c>
      <c r="S47" s="58"/>
      <c r="T47" s="58">
        <v>30000</v>
      </c>
      <c r="U47" s="66">
        <v>25500</v>
      </c>
      <c r="V47" s="66">
        <v>54000</v>
      </c>
      <c r="W47" s="70">
        <f t="shared" si="16"/>
        <v>0.85</v>
      </c>
      <c r="X47" s="57">
        <f t="shared" si="17"/>
        <v>5.3865652724968318E-3</v>
      </c>
      <c r="Y47" s="57">
        <f t="shared" si="18"/>
        <v>0.47222222222222221</v>
      </c>
      <c r="Z47" s="39">
        <f t="shared" si="19"/>
        <v>4704000</v>
      </c>
    </row>
    <row r="48" spans="1:26" x14ac:dyDescent="0.25">
      <c r="A48" s="20" t="s">
        <v>648</v>
      </c>
      <c r="B48" s="10" t="s">
        <v>588</v>
      </c>
      <c r="C48" s="10">
        <v>4</v>
      </c>
      <c r="D48" t="s">
        <v>560</v>
      </c>
      <c r="E48" s="20" t="s">
        <v>486</v>
      </c>
      <c r="F48" s="20" t="s">
        <v>0</v>
      </c>
      <c r="G48" t="s">
        <v>101</v>
      </c>
      <c r="H48" t="s">
        <v>103</v>
      </c>
      <c r="I48" t="s">
        <v>566</v>
      </c>
      <c r="J48" t="s">
        <v>63</v>
      </c>
      <c r="K48" s="12">
        <v>0</v>
      </c>
      <c r="L48" s="125">
        <v>0</v>
      </c>
      <c r="M48" s="56">
        <v>0</v>
      </c>
      <c r="N48" s="56">
        <v>527978.02</v>
      </c>
      <c r="O48" s="70" t="e">
        <f t="shared" si="8"/>
        <v>#DIV/0!</v>
      </c>
      <c r="P48" s="57" t="e">
        <f t="shared" si="9"/>
        <v>#DIV/0!</v>
      </c>
      <c r="Q48" s="57">
        <f t="shared" si="10"/>
        <v>0</v>
      </c>
      <c r="R48" s="39">
        <f t="shared" si="11"/>
        <v>0</v>
      </c>
      <c r="S48" s="55"/>
      <c r="T48" s="58">
        <v>0</v>
      </c>
      <c r="U48" s="55">
        <v>0</v>
      </c>
      <c r="V48" s="12">
        <v>527978.02</v>
      </c>
      <c r="W48" s="70" t="e">
        <f t="shared" si="16"/>
        <v>#DIV/0!</v>
      </c>
      <c r="X48" s="57" t="e">
        <f t="shared" si="17"/>
        <v>#DIV/0!</v>
      </c>
      <c r="Y48" s="57">
        <f t="shared" si="18"/>
        <v>0</v>
      </c>
      <c r="Z48" s="39">
        <f t="shared" si="19"/>
        <v>0</v>
      </c>
    </row>
    <row r="49" spans="1:26" x14ac:dyDescent="0.25">
      <c r="A49" s="20" t="s">
        <v>650</v>
      </c>
      <c r="B49" s="10" t="s">
        <v>589</v>
      </c>
      <c r="C49" s="10">
        <v>2</v>
      </c>
      <c r="D49" t="s">
        <v>560</v>
      </c>
      <c r="E49" s="20" t="s">
        <v>486</v>
      </c>
      <c r="F49" s="20" t="s">
        <v>0</v>
      </c>
      <c r="G49" t="s">
        <v>101</v>
      </c>
      <c r="H49" t="s">
        <v>103</v>
      </c>
      <c r="I49" t="s">
        <v>109</v>
      </c>
      <c r="J49" t="s">
        <v>65</v>
      </c>
      <c r="K49" s="56">
        <v>2540000</v>
      </c>
      <c r="L49" s="125">
        <v>850000</v>
      </c>
      <c r="M49" s="121">
        <f>695047.39+121575.23</f>
        <v>816622.62</v>
      </c>
      <c r="N49" s="56">
        <v>1022343.8100000004</v>
      </c>
      <c r="O49" s="70">
        <f t="shared" si="8"/>
        <v>0.96073249411764705</v>
      </c>
      <c r="P49" s="57">
        <f t="shared" si="9"/>
        <v>0.32150496850393701</v>
      </c>
      <c r="Q49" s="57">
        <f t="shared" si="10"/>
        <v>0.79877494440935648</v>
      </c>
      <c r="R49" s="39">
        <f t="shared" si="11"/>
        <v>1723377.38</v>
      </c>
      <c r="S49" s="58"/>
      <c r="T49" s="58">
        <v>280000</v>
      </c>
      <c r="U49" s="66">
        <v>243785.35</v>
      </c>
      <c r="V49" s="66">
        <v>0</v>
      </c>
      <c r="W49" s="70">
        <f t="shared" si="16"/>
        <v>0.8706619642857143</v>
      </c>
      <c r="X49" s="57">
        <f t="shared" si="17"/>
        <v>9.5978484251968504E-2</v>
      </c>
      <c r="Y49" s="57" t="e">
        <f t="shared" si="18"/>
        <v>#DIV/0!</v>
      </c>
      <c r="Z49" s="39">
        <f t="shared" si="19"/>
        <v>2260000</v>
      </c>
    </row>
    <row r="50" spans="1:26" x14ac:dyDescent="0.25">
      <c r="A50" s="20" t="s">
        <v>625</v>
      </c>
      <c r="B50" s="10" t="s">
        <v>585</v>
      </c>
      <c r="C50" s="10">
        <v>1</v>
      </c>
      <c r="D50" t="s">
        <v>571</v>
      </c>
      <c r="E50" s="20" t="s">
        <v>487</v>
      </c>
      <c r="F50" s="20" t="s">
        <v>0</v>
      </c>
      <c r="G50" t="s">
        <v>110</v>
      </c>
      <c r="H50" t="s">
        <v>112</v>
      </c>
      <c r="I50" t="s">
        <v>111</v>
      </c>
      <c r="J50" t="s">
        <v>53</v>
      </c>
      <c r="K50" s="56">
        <v>2000</v>
      </c>
      <c r="L50" s="125">
        <v>0</v>
      </c>
      <c r="M50" s="56">
        <v>0</v>
      </c>
      <c r="N50" s="56">
        <v>650</v>
      </c>
      <c r="O50" s="70" t="e">
        <f t="shared" si="8"/>
        <v>#DIV/0!</v>
      </c>
      <c r="P50" s="57">
        <f t="shared" si="9"/>
        <v>0</v>
      </c>
      <c r="Q50" s="57">
        <f t="shared" si="10"/>
        <v>0</v>
      </c>
      <c r="R50" s="39">
        <f t="shared" si="11"/>
        <v>2000</v>
      </c>
      <c r="S50" s="58"/>
      <c r="T50" s="58">
        <v>0</v>
      </c>
      <c r="U50" s="66">
        <v>0</v>
      </c>
      <c r="V50" s="66">
        <v>650</v>
      </c>
      <c r="W50" s="70" t="e">
        <f t="shared" si="16"/>
        <v>#DIV/0!</v>
      </c>
      <c r="X50" s="57">
        <f t="shared" si="17"/>
        <v>0</v>
      </c>
      <c r="Y50" s="57">
        <f t="shared" si="18"/>
        <v>0</v>
      </c>
      <c r="Z50" s="39">
        <f t="shared" si="19"/>
        <v>2000</v>
      </c>
    </row>
    <row r="51" spans="1:26" x14ac:dyDescent="0.25">
      <c r="A51" s="20" t="s">
        <v>609</v>
      </c>
      <c r="B51" s="10" t="s">
        <v>573</v>
      </c>
      <c r="C51" s="10">
        <v>1</v>
      </c>
      <c r="D51" t="s">
        <v>571</v>
      </c>
      <c r="E51" s="20" t="s">
        <v>487</v>
      </c>
      <c r="F51" s="20" t="s">
        <v>0</v>
      </c>
      <c r="G51" t="s">
        <v>110</v>
      </c>
      <c r="H51" t="s">
        <v>112</v>
      </c>
      <c r="I51" t="s">
        <v>113</v>
      </c>
      <c r="J51" t="s">
        <v>16</v>
      </c>
      <c r="K51" s="56">
        <v>20000</v>
      </c>
      <c r="L51" s="125">
        <v>4300</v>
      </c>
      <c r="M51" s="56">
        <v>4256</v>
      </c>
      <c r="N51" s="56">
        <v>1753.9</v>
      </c>
      <c r="O51" s="70">
        <f t="shared" si="8"/>
        <v>0.98976744186046517</v>
      </c>
      <c r="P51" s="57">
        <f t="shared" si="9"/>
        <v>0.21279999999999999</v>
      </c>
      <c r="Q51" s="57">
        <f t="shared" si="10"/>
        <v>2.4265921660299901</v>
      </c>
      <c r="R51" s="39">
        <f t="shared" si="11"/>
        <v>15744</v>
      </c>
      <c r="S51" s="58"/>
      <c r="T51" s="58">
        <v>3000</v>
      </c>
      <c r="U51" s="66">
        <v>2721</v>
      </c>
      <c r="V51" s="66">
        <v>1753.9</v>
      </c>
      <c r="W51" s="70">
        <f t="shared" si="16"/>
        <v>0.90700000000000003</v>
      </c>
      <c r="X51" s="57">
        <f t="shared" si="17"/>
        <v>0.13605</v>
      </c>
      <c r="Y51" s="57">
        <f t="shared" si="18"/>
        <v>1.5513997377273503</v>
      </c>
      <c r="Z51" s="39">
        <f t="shared" si="19"/>
        <v>17000</v>
      </c>
    </row>
    <row r="52" spans="1:26" x14ac:dyDescent="0.25">
      <c r="A52" s="20" t="s">
        <v>608</v>
      </c>
      <c r="B52" s="10" t="s">
        <v>574</v>
      </c>
      <c r="C52" s="10">
        <v>1</v>
      </c>
      <c r="D52" t="s">
        <v>571</v>
      </c>
      <c r="E52" s="20" t="s">
        <v>487</v>
      </c>
      <c r="F52" s="20" t="s">
        <v>0</v>
      </c>
      <c r="G52" t="s">
        <v>110</v>
      </c>
      <c r="H52" t="s">
        <v>112</v>
      </c>
      <c r="I52" t="s">
        <v>114</v>
      </c>
      <c r="J52" t="s">
        <v>18</v>
      </c>
      <c r="K52" s="56">
        <v>32500</v>
      </c>
      <c r="L52" s="125">
        <v>4500</v>
      </c>
      <c r="M52" s="56">
        <v>3986.3</v>
      </c>
      <c r="N52" s="56">
        <v>21019</v>
      </c>
      <c r="O52" s="70">
        <f t="shared" si="8"/>
        <v>0.88584444444444443</v>
      </c>
      <c r="P52" s="57">
        <f t="shared" si="9"/>
        <v>0.12265538461538462</v>
      </c>
      <c r="Q52" s="57">
        <f t="shared" si="10"/>
        <v>0.18965221942052429</v>
      </c>
      <c r="R52" s="39">
        <f t="shared" si="11"/>
        <v>28513.7</v>
      </c>
      <c r="S52" s="58"/>
      <c r="T52" s="58">
        <v>4500</v>
      </c>
      <c r="U52" s="66">
        <v>3986.3</v>
      </c>
      <c r="V52" s="66">
        <v>6413.7000000000007</v>
      </c>
      <c r="W52" s="70">
        <f t="shared" si="16"/>
        <v>0.88584444444444443</v>
      </c>
      <c r="X52" s="57">
        <f t="shared" si="17"/>
        <v>0.12265538461538462</v>
      </c>
      <c r="Y52" s="57">
        <f t="shared" si="18"/>
        <v>0.62152891466704085</v>
      </c>
      <c r="Z52" s="39">
        <f t="shared" si="19"/>
        <v>28000</v>
      </c>
    </row>
    <row r="53" spans="1:26" x14ac:dyDescent="0.25">
      <c r="A53" s="20" t="s">
        <v>628</v>
      </c>
      <c r="B53" s="10" t="s">
        <v>589</v>
      </c>
      <c r="C53" s="10">
        <v>2</v>
      </c>
      <c r="D53" t="s">
        <v>571</v>
      </c>
      <c r="E53" s="20" t="s">
        <v>487</v>
      </c>
      <c r="F53" s="20" t="s">
        <v>0</v>
      </c>
      <c r="G53" t="s">
        <v>110</v>
      </c>
      <c r="H53" t="s">
        <v>112</v>
      </c>
      <c r="I53" t="s">
        <v>115</v>
      </c>
      <c r="J53" t="s">
        <v>65</v>
      </c>
      <c r="K53" s="56">
        <v>15000</v>
      </c>
      <c r="L53" s="125">
        <v>3400</v>
      </c>
      <c r="M53" s="56">
        <v>3238.95</v>
      </c>
      <c r="N53" s="56">
        <v>552.5</v>
      </c>
      <c r="O53" s="70">
        <f t="shared" si="8"/>
        <v>0.95263235294117643</v>
      </c>
      <c r="P53" s="57">
        <f t="shared" si="9"/>
        <v>0.21592999999999998</v>
      </c>
      <c r="Q53" s="57">
        <f t="shared" si="10"/>
        <v>5.8623529411764705</v>
      </c>
      <c r="R53" s="39">
        <f t="shared" si="11"/>
        <v>11761.05</v>
      </c>
      <c r="S53" s="58"/>
      <c r="T53" s="58">
        <v>0</v>
      </c>
      <c r="U53" s="66">
        <v>0</v>
      </c>
      <c r="V53" s="66">
        <v>425</v>
      </c>
      <c r="W53" s="70" t="e">
        <f t="shared" si="16"/>
        <v>#DIV/0!</v>
      </c>
      <c r="X53" s="57">
        <f t="shared" si="17"/>
        <v>0</v>
      </c>
      <c r="Y53" s="57">
        <f t="shared" si="18"/>
        <v>0</v>
      </c>
      <c r="Z53" s="39">
        <f t="shared" si="19"/>
        <v>15000</v>
      </c>
    </row>
    <row r="54" spans="1:26" x14ac:dyDescent="0.25">
      <c r="A54" s="20" t="s">
        <v>636</v>
      </c>
      <c r="B54" s="10" t="s">
        <v>591</v>
      </c>
      <c r="C54" s="10">
        <v>1</v>
      </c>
      <c r="D54" t="s">
        <v>571</v>
      </c>
      <c r="E54" s="20" t="s">
        <v>487</v>
      </c>
      <c r="F54" s="20" t="s">
        <v>0</v>
      </c>
      <c r="G54" t="s">
        <v>110</v>
      </c>
      <c r="H54" t="s">
        <v>112</v>
      </c>
      <c r="I54" t="s">
        <v>116</v>
      </c>
      <c r="J54" t="s">
        <v>70</v>
      </c>
      <c r="K54" s="56">
        <v>520500</v>
      </c>
      <c r="L54" s="125">
        <v>410000</v>
      </c>
      <c r="M54" s="56">
        <v>404514.00000000006</v>
      </c>
      <c r="N54" s="56">
        <v>180921.59999999998</v>
      </c>
      <c r="O54" s="70">
        <f t="shared" si="8"/>
        <v>0.98661951219512212</v>
      </c>
      <c r="P54" s="57">
        <f t="shared" si="9"/>
        <v>0.77716426512968306</v>
      </c>
      <c r="Q54" s="57">
        <f t="shared" si="10"/>
        <v>2.2358524355300866</v>
      </c>
      <c r="R54" s="39">
        <f t="shared" si="11"/>
        <v>115985.99999999994</v>
      </c>
      <c r="S54" s="58"/>
      <c r="T54" s="58">
        <v>155000</v>
      </c>
      <c r="U54" s="66">
        <v>149148</v>
      </c>
      <c r="V54" s="66">
        <v>154450.79999999999</v>
      </c>
      <c r="W54" s="70">
        <f t="shared" si="16"/>
        <v>0.96224516129032256</v>
      </c>
      <c r="X54" s="57">
        <f t="shared" si="17"/>
        <v>0.28654755043227664</v>
      </c>
      <c r="Y54" s="57">
        <f t="shared" si="18"/>
        <v>0.96566673659184676</v>
      </c>
      <c r="Z54" s="39">
        <f t="shared" si="19"/>
        <v>365500</v>
      </c>
    </row>
    <row r="55" spans="1:26" x14ac:dyDescent="0.25">
      <c r="A55" s="20" t="s">
        <v>630</v>
      </c>
      <c r="B55" s="10" t="s">
        <v>592</v>
      </c>
      <c r="C55" s="10">
        <v>2</v>
      </c>
      <c r="D55" t="s">
        <v>571</v>
      </c>
      <c r="E55" s="20" t="s">
        <v>487</v>
      </c>
      <c r="F55" s="20" t="s">
        <v>0</v>
      </c>
      <c r="G55" t="s">
        <v>110</v>
      </c>
      <c r="H55" t="s">
        <v>112</v>
      </c>
      <c r="I55" t="s">
        <v>117</v>
      </c>
      <c r="J55" t="s">
        <v>118</v>
      </c>
      <c r="K55" s="56">
        <v>22900</v>
      </c>
      <c r="L55" s="125">
        <v>4000</v>
      </c>
      <c r="M55" s="56">
        <v>3997</v>
      </c>
      <c r="N55" s="56">
        <v>6461.21</v>
      </c>
      <c r="O55" s="70">
        <f t="shared" si="8"/>
        <v>0.99924999999999997</v>
      </c>
      <c r="P55" s="57">
        <f t="shared" si="9"/>
        <v>0.17454148471615721</v>
      </c>
      <c r="Q55" s="57">
        <f t="shared" si="10"/>
        <v>0.61861477958462885</v>
      </c>
      <c r="R55" s="39">
        <f t="shared" si="11"/>
        <v>18903</v>
      </c>
      <c r="S55" s="58"/>
      <c r="T55" s="58">
        <v>4500</v>
      </c>
      <c r="U55" s="66">
        <v>3997</v>
      </c>
      <c r="V55" s="66">
        <v>0</v>
      </c>
      <c r="W55" s="70">
        <f t="shared" si="16"/>
        <v>0.88822222222222225</v>
      </c>
      <c r="X55" s="57">
        <f t="shared" si="17"/>
        <v>0.17454148471615721</v>
      </c>
      <c r="Y55" s="57" t="e">
        <f t="shared" si="18"/>
        <v>#DIV/0!</v>
      </c>
      <c r="Z55" s="39">
        <f t="shared" si="19"/>
        <v>18400</v>
      </c>
    </row>
    <row r="56" spans="1:26" x14ac:dyDescent="0.25">
      <c r="A56" s="20" t="s">
        <v>625</v>
      </c>
      <c r="B56" s="10" t="s">
        <v>585</v>
      </c>
      <c r="C56" s="10">
        <v>1</v>
      </c>
      <c r="D56" t="s">
        <v>571</v>
      </c>
      <c r="E56" s="20" t="s">
        <v>488</v>
      </c>
      <c r="F56" s="20" t="s">
        <v>0</v>
      </c>
      <c r="G56" t="s">
        <v>119</v>
      </c>
      <c r="H56" t="s">
        <v>121</v>
      </c>
      <c r="I56" t="s">
        <v>120</v>
      </c>
      <c r="J56" t="s">
        <v>53</v>
      </c>
      <c r="K56" s="56">
        <v>14700</v>
      </c>
      <c r="L56" s="125">
        <v>0</v>
      </c>
      <c r="M56" s="56">
        <v>0</v>
      </c>
      <c r="N56" s="56">
        <v>0</v>
      </c>
      <c r="O56" s="70" t="e">
        <f t="shared" si="8"/>
        <v>#DIV/0!</v>
      </c>
      <c r="P56" s="57">
        <f t="shared" si="9"/>
        <v>0</v>
      </c>
      <c r="Q56" s="57" t="e">
        <f t="shared" si="10"/>
        <v>#DIV/0!</v>
      </c>
      <c r="R56" s="39">
        <f t="shared" si="11"/>
        <v>14700</v>
      </c>
      <c r="S56" s="58"/>
      <c r="T56" s="58">
        <v>0</v>
      </c>
      <c r="U56" s="66">
        <v>0</v>
      </c>
      <c r="V56" s="66">
        <v>0</v>
      </c>
      <c r="W56" s="70" t="e">
        <f t="shared" si="16"/>
        <v>#DIV/0!</v>
      </c>
      <c r="X56" s="57">
        <f t="shared" si="17"/>
        <v>0</v>
      </c>
      <c r="Y56" s="57" t="e">
        <f t="shared" si="18"/>
        <v>#DIV/0!</v>
      </c>
      <c r="Z56" s="39">
        <f t="shared" si="19"/>
        <v>14700</v>
      </c>
    </row>
    <row r="57" spans="1:26" x14ac:dyDescent="0.25">
      <c r="A57" s="20" t="s">
        <v>607</v>
      </c>
      <c r="B57" s="10" t="s">
        <v>572</v>
      </c>
      <c r="C57" s="10">
        <v>1</v>
      </c>
      <c r="D57" t="s">
        <v>571</v>
      </c>
      <c r="E57" s="20" t="s">
        <v>488</v>
      </c>
      <c r="F57" s="20" t="s">
        <v>0</v>
      </c>
      <c r="G57" t="s">
        <v>119</v>
      </c>
      <c r="H57" t="s">
        <v>121</v>
      </c>
      <c r="I57" t="s">
        <v>875</v>
      </c>
      <c r="J57" t="s">
        <v>12</v>
      </c>
      <c r="K57" s="12">
        <v>0</v>
      </c>
      <c r="L57" s="125">
        <v>0</v>
      </c>
      <c r="M57" s="56">
        <v>0</v>
      </c>
      <c r="N57" s="12">
        <v>9331.4500000000007</v>
      </c>
      <c r="O57" s="70" t="e">
        <f t="shared" si="8"/>
        <v>#DIV/0!</v>
      </c>
      <c r="P57" s="57" t="e">
        <f t="shared" si="9"/>
        <v>#DIV/0!</v>
      </c>
      <c r="Q57" s="57">
        <f t="shared" si="10"/>
        <v>0</v>
      </c>
      <c r="R57" s="39">
        <f t="shared" si="11"/>
        <v>0</v>
      </c>
      <c r="S57" s="58"/>
      <c r="T57" s="58"/>
      <c r="U57" s="66"/>
      <c r="V57" s="66"/>
      <c r="W57" s="70"/>
      <c r="X57" s="57"/>
      <c r="Y57" s="57"/>
    </row>
    <row r="58" spans="1:26" x14ac:dyDescent="0.25">
      <c r="A58" s="20" t="s">
        <v>609</v>
      </c>
      <c r="B58" s="10" t="s">
        <v>573</v>
      </c>
      <c r="C58" s="10">
        <v>1</v>
      </c>
      <c r="D58" t="s">
        <v>571</v>
      </c>
      <c r="E58" s="20" t="s">
        <v>488</v>
      </c>
      <c r="F58" s="20" t="s">
        <v>0</v>
      </c>
      <c r="G58" t="s">
        <v>119</v>
      </c>
      <c r="H58" t="s">
        <v>121</v>
      </c>
      <c r="I58" t="s">
        <v>122</v>
      </c>
      <c r="J58" t="s">
        <v>16</v>
      </c>
      <c r="K58" s="56">
        <v>20000</v>
      </c>
      <c r="L58" s="125">
        <v>5500</v>
      </c>
      <c r="M58" s="56">
        <v>5351.2000000000007</v>
      </c>
      <c r="N58" s="56">
        <v>3863.95</v>
      </c>
      <c r="O58" s="70">
        <f t="shared" si="8"/>
        <v>0.97294545454545467</v>
      </c>
      <c r="P58" s="57">
        <f t="shared" si="9"/>
        <v>0.26756000000000002</v>
      </c>
      <c r="Q58" s="57">
        <f t="shared" si="10"/>
        <v>1.3849040489654372</v>
      </c>
      <c r="R58" s="39">
        <f t="shared" si="11"/>
        <v>14648.8</v>
      </c>
      <c r="S58" s="58"/>
      <c r="T58" s="58">
        <v>200</v>
      </c>
      <c r="U58" s="66">
        <v>100</v>
      </c>
      <c r="V58" s="66">
        <v>3863.95</v>
      </c>
      <c r="W58" s="70">
        <f t="shared" si="16"/>
        <v>0.5</v>
      </c>
      <c r="X58" s="57">
        <f t="shared" si="17"/>
        <v>5.0000000000000001E-3</v>
      </c>
      <c r="Y58" s="57">
        <f t="shared" si="18"/>
        <v>2.5880252073655199E-2</v>
      </c>
      <c r="Z58" s="39">
        <f t="shared" si="19"/>
        <v>19800</v>
      </c>
    </row>
    <row r="59" spans="1:26" x14ac:dyDescent="0.25">
      <c r="A59" s="20" t="s">
        <v>608</v>
      </c>
      <c r="B59" s="10" t="s">
        <v>574</v>
      </c>
      <c r="C59" s="10">
        <v>1</v>
      </c>
      <c r="D59" t="s">
        <v>571</v>
      </c>
      <c r="E59" s="20" t="s">
        <v>488</v>
      </c>
      <c r="F59" s="20" t="s">
        <v>0</v>
      </c>
      <c r="G59" t="s">
        <v>119</v>
      </c>
      <c r="H59" t="s">
        <v>121</v>
      </c>
      <c r="I59" t="s">
        <v>123</v>
      </c>
      <c r="J59" t="s">
        <v>18</v>
      </c>
      <c r="K59" s="56">
        <v>37000</v>
      </c>
      <c r="L59" s="125">
        <v>4500</v>
      </c>
      <c r="M59" s="56">
        <v>4485.7999999999993</v>
      </c>
      <c r="N59" s="56">
        <v>6154.6</v>
      </c>
      <c r="O59" s="70">
        <f t="shared" si="8"/>
        <v>0.99684444444444431</v>
      </c>
      <c r="P59" s="57">
        <f t="shared" si="9"/>
        <v>0.12123783783783781</v>
      </c>
      <c r="Q59" s="57">
        <f t="shared" si="10"/>
        <v>0.72885321548110338</v>
      </c>
      <c r="R59" s="39">
        <f t="shared" si="11"/>
        <v>32514.2</v>
      </c>
      <c r="S59" s="58"/>
      <c r="T59" s="58">
        <v>9000</v>
      </c>
      <c r="U59" s="66">
        <v>8401.85</v>
      </c>
      <c r="V59" s="66">
        <v>6154.6</v>
      </c>
      <c r="W59" s="70">
        <f t="shared" si="16"/>
        <v>0.93353888888888892</v>
      </c>
      <c r="X59" s="57">
        <f t="shared" si="17"/>
        <v>0.22707702702702703</v>
      </c>
      <c r="Y59" s="57">
        <f t="shared" si="18"/>
        <v>1.3651333961589704</v>
      </c>
      <c r="Z59" s="39">
        <f t="shared" si="19"/>
        <v>28000</v>
      </c>
    </row>
    <row r="60" spans="1:26" x14ac:dyDescent="0.25">
      <c r="A60" s="20" t="s">
        <v>628</v>
      </c>
      <c r="B60" s="10" t="s">
        <v>589</v>
      </c>
      <c r="C60" s="10">
        <v>2</v>
      </c>
      <c r="D60" t="s">
        <v>571</v>
      </c>
      <c r="E60" s="20" t="s">
        <v>488</v>
      </c>
      <c r="F60" s="20" t="s">
        <v>0</v>
      </c>
      <c r="G60" t="s">
        <v>119</v>
      </c>
      <c r="H60" t="s">
        <v>121</v>
      </c>
      <c r="I60" t="s">
        <v>124</v>
      </c>
      <c r="J60" t="s">
        <v>65</v>
      </c>
      <c r="K60" s="56">
        <v>40000</v>
      </c>
      <c r="L60" s="125">
        <v>11000</v>
      </c>
      <c r="M60" s="56">
        <v>10875</v>
      </c>
      <c r="N60" s="56">
        <v>14400</v>
      </c>
      <c r="O60" s="70">
        <f t="shared" si="8"/>
        <v>0.98863636363636365</v>
      </c>
      <c r="P60" s="57">
        <f t="shared" si="9"/>
        <v>0.27187499999999998</v>
      </c>
      <c r="Q60" s="57">
        <f t="shared" si="10"/>
        <v>0.75520833333333337</v>
      </c>
      <c r="R60" s="39">
        <f t="shared" si="11"/>
        <v>29125</v>
      </c>
      <c r="S60" s="58"/>
      <c r="T60" s="58">
        <v>5300</v>
      </c>
      <c r="U60" s="66">
        <v>4350</v>
      </c>
      <c r="V60" s="66">
        <v>4350</v>
      </c>
      <c r="W60" s="70">
        <f t="shared" si="16"/>
        <v>0.82075471698113212</v>
      </c>
      <c r="X60" s="57">
        <f t="shared" si="17"/>
        <v>0.10875</v>
      </c>
      <c r="Y60" s="57">
        <f t="shared" si="18"/>
        <v>1</v>
      </c>
      <c r="Z60" s="39">
        <f t="shared" si="19"/>
        <v>34700</v>
      </c>
    </row>
    <row r="61" spans="1:26" x14ac:dyDescent="0.25">
      <c r="A61" s="20" t="s">
        <v>636</v>
      </c>
      <c r="B61" s="10" t="s">
        <v>591</v>
      </c>
      <c r="C61" s="10">
        <v>1</v>
      </c>
      <c r="D61" t="s">
        <v>571</v>
      </c>
      <c r="E61" s="20" t="s">
        <v>488</v>
      </c>
      <c r="F61" s="20" t="s">
        <v>0</v>
      </c>
      <c r="G61" t="s">
        <v>119</v>
      </c>
      <c r="H61" t="s">
        <v>121</v>
      </c>
      <c r="I61" t="s">
        <v>125</v>
      </c>
      <c r="J61" t="s">
        <v>70</v>
      </c>
      <c r="K61" s="56">
        <v>598000</v>
      </c>
      <c r="L61" s="125">
        <v>340000</v>
      </c>
      <c r="M61" s="56">
        <v>332369.29000000004</v>
      </c>
      <c r="N61" s="56">
        <v>263682</v>
      </c>
      <c r="O61" s="70">
        <f t="shared" si="8"/>
        <v>0.9775567352941178</v>
      </c>
      <c r="P61" s="57">
        <f t="shared" si="9"/>
        <v>0.55580148829431442</v>
      </c>
      <c r="Q61" s="57">
        <f t="shared" si="10"/>
        <v>1.260492904331733</v>
      </c>
      <c r="R61" s="39">
        <f t="shared" si="11"/>
        <v>265630.70999999996</v>
      </c>
      <c r="S61" s="58"/>
      <c r="T61" s="58">
        <v>120000</v>
      </c>
      <c r="U61" s="66">
        <v>111293.29</v>
      </c>
      <c r="V61" s="66">
        <v>131436</v>
      </c>
      <c r="W61" s="70">
        <f t="shared" si="16"/>
        <v>0.92744408333333328</v>
      </c>
      <c r="X61" s="57">
        <f t="shared" si="17"/>
        <v>0.18610918060200668</v>
      </c>
      <c r="Y61" s="57">
        <f t="shared" si="18"/>
        <v>0.84674891201801628</v>
      </c>
      <c r="Z61" s="39">
        <f t="shared" si="19"/>
        <v>478000</v>
      </c>
    </row>
    <row r="62" spans="1:26" x14ac:dyDescent="0.25">
      <c r="A62" s="20" t="s">
        <v>630</v>
      </c>
      <c r="B62" s="10" t="s">
        <v>592</v>
      </c>
      <c r="C62" s="10">
        <v>2</v>
      </c>
      <c r="D62" t="s">
        <v>571</v>
      </c>
      <c r="E62" s="20" t="s">
        <v>488</v>
      </c>
      <c r="F62" s="20" t="s">
        <v>0</v>
      </c>
      <c r="G62" t="s">
        <v>119</v>
      </c>
      <c r="H62" t="s">
        <v>121</v>
      </c>
      <c r="I62" t="s">
        <v>126</v>
      </c>
      <c r="J62" t="s">
        <v>118</v>
      </c>
      <c r="K62" s="56">
        <v>30800</v>
      </c>
      <c r="L62" s="125">
        <v>27000</v>
      </c>
      <c r="M62" s="56">
        <v>25449.189999999995</v>
      </c>
      <c r="N62" s="56">
        <v>19674.34</v>
      </c>
      <c r="O62" s="70">
        <f t="shared" si="8"/>
        <v>0.94256259259259245</v>
      </c>
      <c r="P62" s="57">
        <f t="shared" si="9"/>
        <v>0.82627240259740242</v>
      </c>
      <c r="Q62" s="57">
        <f t="shared" si="10"/>
        <v>1.2935219173807098</v>
      </c>
      <c r="R62" s="39">
        <f t="shared" si="11"/>
        <v>5350.8100000000049</v>
      </c>
      <c r="S62" s="58"/>
      <c r="T62" s="58">
        <v>17000</v>
      </c>
      <c r="U62" s="66">
        <v>14281.519999999999</v>
      </c>
      <c r="V62" s="66">
        <v>11736.380000000001</v>
      </c>
      <c r="W62" s="70">
        <f t="shared" si="16"/>
        <v>0.84008941176470575</v>
      </c>
      <c r="X62" s="57">
        <f t="shared" si="17"/>
        <v>0.46368571428571426</v>
      </c>
      <c r="Y62" s="57">
        <f t="shared" si="18"/>
        <v>1.2168590314901184</v>
      </c>
      <c r="Z62" s="39">
        <f t="shared" si="19"/>
        <v>13800</v>
      </c>
    </row>
    <row r="63" spans="1:26" x14ac:dyDescent="0.25">
      <c r="A63" s="20" t="s">
        <v>625</v>
      </c>
      <c r="B63" s="10" t="s">
        <v>585</v>
      </c>
      <c r="C63" s="10">
        <v>1</v>
      </c>
      <c r="D63" t="s">
        <v>571</v>
      </c>
      <c r="E63" s="20" t="s">
        <v>489</v>
      </c>
      <c r="F63" s="20" t="s">
        <v>0</v>
      </c>
      <c r="G63" t="s">
        <v>127</v>
      </c>
      <c r="H63" t="s">
        <v>128</v>
      </c>
      <c r="I63" t="s">
        <v>606</v>
      </c>
      <c r="J63" t="s">
        <v>53</v>
      </c>
      <c r="K63" s="56">
        <v>14700</v>
      </c>
      <c r="L63" s="125">
        <v>0</v>
      </c>
      <c r="M63" s="56">
        <v>0</v>
      </c>
      <c r="N63" s="56">
        <v>0</v>
      </c>
      <c r="O63" s="70" t="e">
        <f t="shared" si="8"/>
        <v>#DIV/0!</v>
      </c>
      <c r="P63" s="57">
        <f t="shared" si="9"/>
        <v>0</v>
      </c>
      <c r="Q63" s="57" t="e">
        <f t="shared" si="10"/>
        <v>#DIV/0!</v>
      </c>
      <c r="R63" s="39">
        <f t="shared" si="11"/>
        <v>14700</v>
      </c>
      <c r="S63" s="58"/>
      <c r="T63" s="58">
        <v>0</v>
      </c>
      <c r="U63" s="66">
        <v>0</v>
      </c>
      <c r="V63" s="66">
        <v>0</v>
      </c>
      <c r="W63" s="70" t="e">
        <f t="shared" si="16"/>
        <v>#DIV/0!</v>
      </c>
      <c r="X63" s="57">
        <f t="shared" si="17"/>
        <v>0</v>
      </c>
      <c r="Y63" s="57" t="e">
        <f t="shared" si="18"/>
        <v>#DIV/0!</v>
      </c>
      <c r="Z63" s="39">
        <f t="shared" si="19"/>
        <v>14700</v>
      </c>
    </row>
    <row r="64" spans="1:26" x14ac:dyDescent="0.25">
      <c r="A64" s="20" t="s">
        <v>607</v>
      </c>
      <c r="B64" s="10" t="s">
        <v>572</v>
      </c>
      <c r="C64" s="10">
        <v>1</v>
      </c>
      <c r="D64" t="s">
        <v>571</v>
      </c>
      <c r="E64" s="20" t="s">
        <v>489</v>
      </c>
      <c r="F64" s="20" t="s">
        <v>0</v>
      </c>
      <c r="G64" t="s">
        <v>127</v>
      </c>
      <c r="H64" t="s">
        <v>128</v>
      </c>
      <c r="I64" t="s">
        <v>561</v>
      </c>
      <c r="J64" t="s">
        <v>12</v>
      </c>
      <c r="K64" s="12">
        <v>0</v>
      </c>
      <c r="L64" s="125">
        <v>0</v>
      </c>
      <c r="M64" s="56">
        <v>0</v>
      </c>
      <c r="N64" s="56">
        <v>6767.35</v>
      </c>
      <c r="O64" s="70" t="e">
        <f t="shared" si="8"/>
        <v>#DIV/0!</v>
      </c>
      <c r="P64" s="57" t="e">
        <f t="shared" si="9"/>
        <v>#DIV/0!</v>
      </c>
      <c r="Q64" s="57">
        <f t="shared" si="10"/>
        <v>0</v>
      </c>
      <c r="R64" s="39">
        <f t="shared" si="11"/>
        <v>0</v>
      </c>
      <c r="T64" s="58">
        <v>0</v>
      </c>
      <c r="V64" s="12">
        <v>6767.35</v>
      </c>
      <c r="W64" s="70" t="e">
        <f t="shared" si="16"/>
        <v>#DIV/0!</v>
      </c>
      <c r="X64" s="57" t="e">
        <f t="shared" si="17"/>
        <v>#DIV/0!</v>
      </c>
      <c r="Y64" s="57">
        <f t="shared" si="18"/>
        <v>0</v>
      </c>
      <c r="Z64" s="39">
        <f t="shared" si="19"/>
        <v>0</v>
      </c>
    </row>
    <row r="65" spans="1:26" x14ac:dyDescent="0.25">
      <c r="A65" s="20" t="s">
        <v>646</v>
      </c>
      <c r="B65" s="10" t="s">
        <v>603</v>
      </c>
      <c r="C65" s="10">
        <v>1</v>
      </c>
      <c r="D65" t="s">
        <v>571</v>
      </c>
      <c r="E65" s="20" t="s">
        <v>489</v>
      </c>
      <c r="F65" s="20" t="s">
        <v>0</v>
      </c>
      <c r="G65" t="s">
        <v>127</v>
      </c>
      <c r="H65" t="s">
        <v>128</v>
      </c>
      <c r="I65" t="s">
        <v>129</v>
      </c>
      <c r="J65" t="s">
        <v>105</v>
      </c>
      <c r="K65" s="56">
        <v>6000</v>
      </c>
      <c r="L65" s="125">
        <v>0</v>
      </c>
      <c r="M65" s="56">
        <v>0</v>
      </c>
      <c r="N65" s="56">
        <v>3798</v>
      </c>
      <c r="O65" s="70" t="e">
        <f t="shared" si="8"/>
        <v>#DIV/0!</v>
      </c>
      <c r="P65" s="57">
        <f t="shared" si="9"/>
        <v>0</v>
      </c>
      <c r="Q65" s="57">
        <f t="shared" si="10"/>
        <v>0</v>
      </c>
      <c r="R65" s="39">
        <f t="shared" si="11"/>
        <v>6000</v>
      </c>
      <c r="S65" s="58"/>
      <c r="T65" s="58">
        <v>0</v>
      </c>
      <c r="U65" s="66">
        <v>0</v>
      </c>
      <c r="V65" s="66">
        <v>0</v>
      </c>
      <c r="W65" s="70" t="e">
        <f t="shared" si="16"/>
        <v>#DIV/0!</v>
      </c>
      <c r="X65" s="57">
        <f t="shared" si="17"/>
        <v>0</v>
      </c>
      <c r="Y65" s="57" t="e">
        <f t="shared" si="18"/>
        <v>#DIV/0!</v>
      </c>
      <c r="Z65" s="39">
        <f t="shared" si="19"/>
        <v>6000</v>
      </c>
    </row>
    <row r="66" spans="1:26" x14ac:dyDescent="0.25">
      <c r="A66" s="20" t="s">
        <v>609</v>
      </c>
      <c r="B66" s="10" t="s">
        <v>573</v>
      </c>
      <c r="C66" s="10">
        <v>1</v>
      </c>
      <c r="D66" t="s">
        <v>571</v>
      </c>
      <c r="E66" s="20" t="s">
        <v>489</v>
      </c>
      <c r="F66" s="20" t="s">
        <v>0</v>
      </c>
      <c r="G66" t="s">
        <v>127</v>
      </c>
      <c r="H66" t="s">
        <v>128</v>
      </c>
      <c r="I66" t="s">
        <v>130</v>
      </c>
      <c r="J66" t="s">
        <v>16</v>
      </c>
      <c r="K66" s="56">
        <v>25000</v>
      </c>
      <c r="L66" s="125">
        <v>200</v>
      </c>
      <c r="M66" s="56">
        <v>176.60000000000002</v>
      </c>
      <c r="N66" s="56">
        <v>8619</v>
      </c>
      <c r="O66" s="70">
        <f t="shared" si="8"/>
        <v>0.88300000000000012</v>
      </c>
      <c r="P66" s="57">
        <f t="shared" si="9"/>
        <v>7.0640000000000008E-3</v>
      </c>
      <c r="Q66" s="57">
        <f t="shared" si="10"/>
        <v>2.0489615964729091E-2</v>
      </c>
      <c r="R66" s="39">
        <f t="shared" si="11"/>
        <v>24823.4</v>
      </c>
      <c r="S66" s="58"/>
      <c r="T66" s="58">
        <v>300</v>
      </c>
      <c r="U66" s="66">
        <v>176.60000000000002</v>
      </c>
      <c r="V66" s="66">
        <v>0</v>
      </c>
      <c r="W66" s="70">
        <f t="shared" si="16"/>
        <v>0.58866666666666678</v>
      </c>
      <c r="X66" s="57">
        <f t="shared" si="17"/>
        <v>7.0640000000000008E-3</v>
      </c>
      <c r="Y66" s="57" t="e">
        <f t="shared" si="18"/>
        <v>#DIV/0!</v>
      </c>
      <c r="Z66" s="39">
        <f t="shared" si="19"/>
        <v>24700</v>
      </c>
    </row>
    <row r="67" spans="1:26" x14ac:dyDescent="0.25">
      <c r="A67" s="20" t="s">
        <v>608</v>
      </c>
      <c r="B67" s="10" t="s">
        <v>574</v>
      </c>
      <c r="C67" s="10">
        <v>1</v>
      </c>
      <c r="D67" t="s">
        <v>571</v>
      </c>
      <c r="E67" s="20" t="s">
        <v>489</v>
      </c>
      <c r="F67" s="20" t="s">
        <v>0</v>
      </c>
      <c r="G67" t="s">
        <v>127</v>
      </c>
      <c r="H67" t="s">
        <v>128</v>
      </c>
      <c r="I67" t="s">
        <v>131</v>
      </c>
      <c r="J67" t="s">
        <v>18</v>
      </c>
      <c r="K67" s="56">
        <v>41500</v>
      </c>
      <c r="L67" s="125">
        <v>19000</v>
      </c>
      <c r="M67" s="56">
        <v>18237.05</v>
      </c>
      <c r="N67" s="56">
        <v>31976.099999999995</v>
      </c>
      <c r="O67" s="70">
        <f t="shared" si="8"/>
        <v>0.95984473684210525</v>
      </c>
      <c r="P67" s="57">
        <f t="shared" si="9"/>
        <v>0.4394469879518072</v>
      </c>
      <c r="Q67" s="57">
        <f t="shared" si="10"/>
        <v>0.57033378054234263</v>
      </c>
      <c r="R67" s="39">
        <f t="shared" si="11"/>
        <v>23262.95</v>
      </c>
      <c r="S67" s="58"/>
      <c r="T67" s="58">
        <v>7000</v>
      </c>
      <c r="U67" s="66">
        <v>6224.3</v>
      </c>
      <c r="V67" s="66">
        <v>12462.4</v>
      </c>
      <c r="W67" s="70">
        <f t="shared" si="16"/>
        <v>0.88918571428571436</v>
      </c>
      <c r="X67" s="57">
        <f t="shared" si="17"/>
        <v>0.14998313253012049</v>
      </c>
      <c r="Y67" s="57">
        <f t="shared" si="18"/>
        <v>0.4994463345743998</v>
      </c>
      <c r="Z67" s="39">
        <f t="shared" si="19"/>
        <v>34500</v>
      </c>
    </row>
    <row r="68" spans="1:26" x14ac:dyDescent="0.25">
      <c r="A68" s="20" t="s">
        <v>628</v>
      </c>
      <c r="B68" s="10" t="s">
        <v>589</v>
      </c>
      <c r="C68" s="10">
        <v>2</v>
      </c>
      <c r="D68" t="s">
        <v>571</v>
      </c>
      <c r="E68" s="20" t="s">
        <v>489</v>
      </c>
      <c r="F68" s="20" t="s">
        <v>0</v>
      </c>
      <c r="G68" t="s">
        <v>127</v>
      </c>
      <c r="H68" t="s">
        <v>128</v>
      </c>
      <c r="I68" t="s">
        <v>132</v>
      </c>
      <c r="J68" t="s">
        <v>65</v>
      </c>
      <c r="K68" s="56">
        <v>40000</v>
      </c>
      <c r="L68" s="125">
        <v>12500</v>
      </c>
      <c r="M68" s="56">
        <v>12033.7</v>
      </c>
      <c r="N68" s="56">
        <v>15259.45</v>
      </c>
      <c r="O68" s="70">
        <f t="shared" si="8"/>
        <v>0.96269600000000011</v>
      </c>
      <c r="P68" s="57">
        <f t="shared" si="9"/>
        <v>0.30084250000000001</v>
      </c>
      <c r="Q68" s="57">
        <f t="shared" si="10"/>
        <v>0.78860640455586539</v>
      </c>
      <c r="R68" s="39">
        <f t="shared" si="11"/>
        <v>27966.3</v>
      </c>
      <c r="S68" s="58"/>
      <c r="T68" s="58">
        <v>1200</v>
      </c>
      <c r="U68" s="66">
        <v>1000</v>
      </c>
      <c r="V68" s="66">
        <v>1970</v>
      </c>
      <c r="W68" s="70">
        <f t="shared" si="16"/>
        <v>0.83333333333333337</v>
      </c>
      <c r="X68" s="57">
        <f t="shared" si="17"/>
        <v>2.5000000000000001E-2</v>
      </c>
      <c r="Y68" s="57">
        <f t="shared" si="18"/>
        <v>0.50761421319796951</v>
      </c>
      <c r="Z68" s="39">
        <f t="shared" si="19"/>
        <v>38800</v>
      </c>
    </row>
    <row r="69" spans="1:26" x14ac:dyDescent="0.25">
      <c r="A69" s="20" t="s">
        <v>636</v>
      </c>
      <c r="B69" s="10" t="s">
        <v>591</v>
      </c>
      <c r="C69" s="10">
        <v>1</v>
      </c>
      <c r="D69" t="s">
        <v>571</v>
      </c>
      <c r="E69" s="20" t="s">
        <v>489</v>
      </c>
      <c r="F69" s="20" t="s">
        <v>0</v>
      </c>
      <c r="G69" t="s">
        <v>127</v>
      </c>
      <c r="H69" t="s">
        <v>128</v>
      </c>
      <c r="I69" t="s">
        <v>133</v>
      </c>
      <c r="J69" t="s">
        <v>70</v>
      </c>
      <c r="K69" s="56">
        <v>1150000</v>
      </c>
      <c r="L69" s="125">
        <v>800000</v>
      </c>
      <c r="M69" s="56">
        <v>750535.2</v>
      </c>
      <c r="N69" s="56">
        <v>344466</v>
      </c>
      <c r="O69" s="70">
        <f t="shared" si="8"/>
        <v>0.93816899999999992</v>
      </c>
      <c r="P69" s="57">
        <f t="shared" si="9"/>
        <v>0.65263930434782602</v>
      </c>
      <c r="Q69" s="57">
        <f t="shared" si="10"/>
        <v>2.1788368082771594</v>
      </c>
      <c r="R69" s="39">
        <f t="shared" si="11"/>
        <v>399464.80000000005</v>
      </c>
      <c r="S69" s="58"/>
      <c r="T69" s="58">
        <v>150000</v>
      </c>
      <c r="U69" s="66">
        <v>121662</v>
      </c>
      <c r="V69" s="66">
        <v>156870</v>
      </c>
      <c r="W69" s="70">
        <f t="shared" si="16"/>
        <v>0.81108000000000002</v>
      </c>
      <c r="X69" s="57">
        <f t="shared" si="17"/>
        <v>0.10579304347826086</v>
      </c>
      <c r="Y69" s="57">
        <f t="shared" si="18"/>
        <v>0.77555938037865746</v>
      </c>
      <c r="Z69" s="39">
        <f t="shared" si="19"/>
        <v>1000000</v>
      </c>
    </row>
    <row r="70" spans="1:26" x14ac:dyDescent="0.25">
      <c r="A70" s="20" t="s">
        <v>630</v>
      </c>
      <c r="B70" s="10" t="s">
        <v>592</v>
      </c>
      <c r="C70" s="10">
        <v>2</v>
      </c>
      <c r="D70" t="s">
        <v>571</v>
      </c>
      <c r="E70" s="20" t="s">
        <v>489</v>
      </c>
      <c r="F70" s="20" t="s">
        <v>0</v>
      </c>
      <c r="G70" t="s">
        <v>127</v>
      </c>
      <c r="H70" t="s">
        <v>128</v>
      </c>
      <c r="I70" t="s">
        <v>134</v>
      </c>
      <c r="J70" t="s">
        <v>118</v>
      </c>
      <c r="K70" s="56">
        <v>124500</v>
      </c>
      <c r="L70" s="125">
        <v>46000</v>
      </c>
      <c r="M70" s="56">
        <v>44378.8</v>
      </c>
      <c r="N70" s="56">
        <v>35749.760000000002</v>
      </c>
      <c r="O70" s="70">
        <f t="shared" si="8"/>
        <v>0.96475652173913051</v>
      </c>
      <c r="P70" s="57">
        <f t="shared" si="9"/>
        <v>0.35645622489959844</v>
      </c>
      <c r="Q70" s="57">
        <f t="shared" si="10"/>
        <v>1.241373368660377</v>
      </c>
      <c r="R70" s="39">
        <f t="shared" si="11"/>
        <v>80121.2</v>
      </c>
      <c r="S70" s="58"/>
      <c r="T70" s="58">
        <v>20000</v>
      </c>
      <c r="U70" s="66">
        <v>17861.21</v>
      </c>
      <c r="V70" s="66">
        <v>23809.759999999991</v>
      </c>
      <c r="W70" s="70">
        <f t="shared" si="16"/>
        <v>0.89306049999999992</v>
      </c>
      <c r="X70" s="57">
        <f t="shared" si="17"/>
        <v>0.14346353413654617</v>
      </c>
      <c r="Y70" s="57">
        <f t="shared" si="18"/>
        <v>0.7501633783792867</v>
      </c>
      <c r="Z70" s="39">
        <f t="shared" si="19"/>
        <v>104500</v>
      </c>
    </row>
    <row r="71" spans="1:26" x14ac:dyDescent="0.25">
      <c r="A71" s="20" t="s">
        <v>625</v>
      </c>
      <c r="B71" s="10" t="s">
        <v>585</v>
      </c>
      <c r="C71" s="10">
        <v>1</v>
      </c>
      <c r="D71" t="s">
        <v>571</v>
      </c>
      <c r="E71" s="20" t="s">
        <v>490</v>
      </c>
      <c r="F71" s="20" t="s">
        <v>0</v>
      </c>
      <c r="G71" t="s">
        <v>135</v>
      </c>
      <c r="H71" t="s">
        <v>137</v>
      </c>
      <c r="I71" t="s">
        <v>136</v>
      </c>
      <c r="J71" t="s">
        <v>53</v>
      </c>
      <c r="K71" s="56">
        <v>3900</v>
      </c>
      <c r="L71" s="125">
        <v>0</v>
      </c>
      <c r="M71" s="56">
        <v>0</v>
      </c>
      <c r="N71" s="56">
        <v>11700</v>
      </c>
      <c r="O71" s="70" t="e">
        <f t="shared" si="8"/>
        <v>#DIV/0!</v>
      </c>
      <c r="P71" s="57">
        <f t="shared" si="9"/>
        <v>0</v>
      </c>
      <c r="Q71" s="57">
        <f t="shared" si="10"/>
        <v>0</v>
      </c>
      <c r="R71" s="39">
        <f t="shared" si="11"/>
        <v>3900</v>
      </c>
      <c r="S71" s="58"/>
      <c r="T71" s="58">
        <v>0</v>
      </c>
      <c r="U71" s="66">
        <v>0</v>
      </c>
      <c r="V71" s="66">
        <v>850</v>
      </c>
      <c r="W71" s="70" t="e">
        <f t="shared" si="16"/>
        <v>#DIV/0!</v>
      </c>
      <c r="X71" s="57">
        <f t="shared" si="17"/>
        <v>0</v>
      </c>
      <c r="Y71" s="57">
        <f t="shared" si="18"/>
        <v>0</v>
      </c>
      <c r="Z71" s="39">
        <f t="shared" si="19"/>
        <v>3900</v>
      </c>
    </row>
    <row r="72" spans="1:26" x14ac:dyDescent="0.25">
      <c r="A72" s="20" t="s">
        <v>646</v>
      </c>
      <c r="B72" s="10" t="s">
        <v>603</v>
      </c>
      <c r="C72" s="10">
        <v>1</v>
      </c>
      <c r="D72" t="s">
        <v>571</v>
      </c>
      <c r="E72" s="20" t="s">
        <v>490</v>
      </c>
      <c r="F72" s="20" t="s">
        <v>0</v>
      </c>
      <c r="G72" t="s">
        <v>135</v>
      </c>
      <c r="H72" t="s">
        <v>137</v>
      </c>
      <c r="I72" t="s">
        <v>563</v>
      </c>
      <c r="J72" t="s">
        <v>105</v>
      </c>
      <c r="K72" s="12">
        <v>0</v>
      </c>
      <c r="L72" s="125">
        <v>0</v>
      </c>
      <c r="M72" s="56">
        <v>0</v>
      </c>
      <c r="N72" s="56">
        <v>2600</v>
      </c>
      <c r="O72" s="70" t="e">
        <f t="shared" si="8"/>
        <v>#DIV/0!</v>
      </c>
      <c r="P72" s="57" t="e">
        <f t="shared" si="9"/>
        <v>#DIV/0!</v>
      </c>
      <c r="Q72" s="57">
        <f t="shared" si="10"/>
        <v>0</v>
      </c>
      <c r="R72" s="39">
        <f t="shared" si="11"/>
        <v>0</v>
      </c>
      <c r="T72" s="58">
        <v>0</v>
      </c>
      <c r="V72" s="12">
        <v>2600</v>
      </c>
      <c r="W72" s="70" t="e">
        <f t="shared" si="16"/>
        <v>#DIV/0!</v>
      </c>
      <c r="X72" s="57" t="e">
        <f t="shared" si="17"/>
        <v>#DIV/0!</v>
      </c>
      <c r="Y72" s="57">
        <f t="shared" si="18"/>
        <v>0</v>
      </c>
      <c r="Z72" s="39">
        <f t="shared" si="19"/>
        <v>0</v>
      </c>
    </row>
    <row r="73" spans="1:26" x14ac:dyDescent="0.25">
      <c r="A73" s="20" t="s">
        <v>609</v>
      </c>
      <c r="B73" s="10" t="s">
        <v>573</v>
      </c>
      <c r="C73" s="10">
        <v>1</v>
      </c>
      <c r="D73" t="s">
        <v>571</v>
      </c>
      <c r="E73" s="20" t="s">
        <v>490</v>
      </c>
      <c r="F73" s="20" t="s">
        <v>0</v>
      </c>
      <c r="G73" t="s">
        <v>135</v>
      </c>
      <c r="H73" t="s">
        <v>137</v>
      </c>
      <c r="I73" t="s">
        <v>138</v>
      </c>
      <c r="J73" t="s">
        <v>16</v>
      </c>
      <c r="K73" s="56">
        <v>25000</v>
      </c>
      <c r="L73" s="125">
        <v>0</v>
      </c>
      <c r="M73" s="56">
        <v>0</v>
      </c>
      <c r="N73" s="56">
        <v>19331</v>
      </c>
      <c r="O73" s="70" t="e">
        <f t="shared" si="8"/>
        <v>#DIV/0!</v>
      </c>
      <c r="P73" s="57">
        <f t="shared" si="9"/>
        <v>0</v>
      </c>
      <c r="Q73" s="57">
        <f t="shared" si="10"/>
        <v>0</v>
      </c>
      <c r="R73" s="39">
        <f t="shared" si="11"/>
        <v>25000</v>
      </c>
      <c r="S73" s="58"/>
      <c r="T73" s="58">
        <v>0</v>
      </c>
      <c r="U73" s="66">
        <v>0</v>
      </c>
      <c r="V73" s="66">
        <v>2291</v>
      </c>
      <c r="W73" s="70" t="e">
        <f t="shared" si="16"/>
        <v>#DIV/0!</v>
      </c>
      <c r="X73" s="57">
        <f t="shared" si="17"/>
        <v>0</v>
      </c>
      <c r="Y73" s="57">
        <f t="shared" si="18"/>
        <v>0</v>
      </c>
      <c r="Z73" s="39">
        <f t="shared" si="19"/>
        <v>25000</v>
      </c>
    </row>
    <row r="74" spans="1:26" x14ac:dyDescent="0.25">
      <c r="A74" s="20" t="s">
        <v>608</v>
      </c>
      <c r="B74" s="10" t="s">
        <v>574</v>
      </c>
      <c r="C74" s="10">
        <v>1</v>
      </c>
      <c r="D74" t="s">
        <v>571</v>
      </c>
      <c r="E74" s="20" t="s">
        <v>490</v>
      </c>
      <c r="F74" s="20" t="s">
        <v>0</v>
      </c>
      <c r="G74" t="s">
        <v>135</v>
      </c>
      <c r="H74" t="s">
        <v>137</v>
      </c>
      <c r="I74" t="s">
        <v>139</v>
      </c>
      <c r="J74" t="s">
        <v>18</v>
      </c>
      <c r="K74" s="56">
        <v>41500</v>
      </c>
      <c r="L74" s="125">
        <v>13000</v>
      </c>
      <c r="M74" s="56">
        <v>12470.96</v>
      </c>
      <c r="N74" s="56">
        <v>19838.37</v>
      </c>
      <c r="O74" s="70">
        <f t="shared" si="8"/>
        <v>0.95930461538461531</v>
      </c>
      <c r="P74" s="57">
        <f t="shared" si="9"/>
        <v>0.30050506024096385</v>
      </c>
      <c r="Q74" s="57">
        <f t="shared" si="10"/>
        <v>0.62862825927734989</v>
      </c>
      <c r="R74" s="39">
        <f t="shared" si="11"/>
        <v>29029.040000000001</v>
      </c>
      <c r="S74" s="58"/>
      <c r="T74" s="58">
        <v>1300</v>
      </c>
      <c r="U74" s="66">
        <v>1057.75</v>
      </c>
      <c r="V74" s="66">
        <v>6470.62</v>
      </c>
      <c r="W74" s="70">
        <f t="shared" si="16"/>
        <v>0.81365384615384617</v>
      </c>
      <c r="X74" s="57">
        <f t="shared" si="17"/>
        <v>2.5487951807228914E-2</v>
      </c>
      <c r="Y74" s="57">
        <f t="shared" si="18"/>
        <v>0.16346965205807171</v>
      </c>
      <c r="Z74" s="39">
        <f t="shared" si="19"/>
        <v>40200</v>
      </c>
    </row>
    <row r="75" spans="1:26" x14ac:dyDescent="0.25">
      <c r="A75" s="20" t="s">
        <v>628</v>
      </c>
      <c r="B75" s="10" t="s">
        <v>589</v>
      </c>
      <c r="C75" s="10">
        <v>2</v>
      </c>
      <c r="D75" t="s">
        <v>571</v>
      </c>
      <c r="E75" s="20" t="s">
        <v>490</v>
      </c>
      <c r="F75" s="20" t="s">
        <v>0</v>
      </c>
      <c r="G75" t="s">
        <v>135</v>
      </c>
      <c r="H75" t="s">
        <v>137</v>
      </c>
      <c r="I75" t="s">
        <v>140</v>
      </c>
      <c r="J75" t="s">
        <v>65</v>
      </c>
      <c r="K75" s="56">
        <v>40000</v>
      </c>
      <c r="L75" s="125">
        <v>3400</v>
      </c>
      <c r="M75" s="56">
        <v>3395</v>
      </c>
      <c r="N75" s="56">
        <v>9561.9500000000007</v>
      </c>
      <c r="O75" s="70">
        <f t="shared" si="8"/>
        <v>0.99852941176470589</v>
      </c>
      <c r="P75" s="57">
        <f t="shared" si="9"/>
        <v>8.4875000000000006E-2</v>
      </c>
      <c r="Q75" s="57">
        <f t="shared" si="10"/>
        <v>0.35505310109339622</v>
      </c>
      <c r="R75" s="39">
        <f t="shared" si="11"/>
        <v>36605</v>
      </c>
      <c r="S75" s="58"/>
      <c r="T75" s="58">
        <v>0</v>
      </c>
      <c r="U75" s="66">
        <v>0</v>
      </c>
      <c r="V75" s="66">
        <v>2200</v>
      </c>
      <c r="W75" s="70" t="e">
        <f t="shared" si="16"/>
        <v>#DIV/0!</v>
      </c>
      <c r="X75" s="57">
        <f t="shared" si="17"/>
        <v>0</v>
      </c>
      <c r="Y75" s="57">
        <f t="shared" si="18"/>
        <v>0</v>
      </c>
      <c r="Z75" s="39">
        <f t="shared" si="19"/>
        <v>40000</v>
      </c>
    </row>
    <row r="76" spans="1:26" x14ac:dyDescent="0.25">
      <c r="A76" s="20" t="s">
        <v>636</v>
      </c>
      <c r="B76" s="10" t="s">
        <v>591</v>
      </c>
      <c r="C76" s="10">
        <v>1</v>
      </c>
      <c r="D76" t="s">
        <v>571</v>
      </c>
      <c r="E76" s="20" t="s">
        <v>490</v>
      </c>
      <c r="F76" s="20" t="s">
        <v>0</v>
      </c>
      <c r="G76" t="s">
        <v>135</v>
      </c>
      <c r="H76" t="s">
        <v>137</v>
      </c>
      <c r="I76" t="s">
        <v>141</v>
      </c>
      <c r="J76" t="s">
        <v>70</v>
      </c>
      <c r="K76" s="56">
        <v>644000</v>
      </c>
      <c r="L76" s="125">
        <v>330000</v>
      </c>
      <c r="M76" s="56">
        <v>319430.03999999998</v>
      </c>
      <c r="N76" s="56">
        <v>229608</v>
      </c>
      <c r="O76" s="70">
        <f t="shared" si="8"/>
        <v>0.96796981818181815</v>
      </c>
      <c r="P76" s="57">
        <f t="shared" si="9"/>
        <v>0.49600937888198754</v>
      </c>
      <c r="Q76" s="57">
        <f t="shared" si="10"/>
        <v>1.3911973450402424</v>
      </c>
      <c r="R76" s="39">
        <f t="shared" si="11"/>
        <v>324569.96000000002</v>
      </c>
      <c r="S76" s="58"/>
      <c r="T76" s="58">
        <v>135000</v>
      </c>
      <c r="U76" s="66">
        <v>126468</v>
      </c>
      <c r="V76" s="66">
        <v>124686</v>
      </c>
      <c r="W76" s="70">
        <f t="shared" si="16"/>
        <v>0.93679999999999997</v>
      </c>
      <c r="X76" s="57">
        <f t="shared" si="17"/>
        <v>0.19637888198757764</v>
      </c>
      <c r="Y76" s="57">
        <f t="shared" si="18"/>
        <v>1.014291901255955</v>
      </c>
      <c r="Z76" s="39">
        <f t="shared" si="19"/>
        <v>509000</v>
      </c>
    </row>
    <row r="77" spans="1:26" x14ac:dyDescent="0.25">
      <c r="A77" s="20" t="s">
        <v>630</v>
      </c>
      <c r="B77" s="10" t="s">
        <v>592</v>
      </c>
      <c r="C77" s="10">
        <v>2</v>
      </c>
      <c r="D77" t="s">
        <v>571</v>
      </c>
      <c r="E77" s="20" t="s">
        <v>490</v>
      </c>
      <c r="F77" s="20" t="s">
        <v>0</v>
      </c>
      <c r="G77" t="s">
        <v>135</v>
      </c>
      <c r="H77" t="s">
        <v>137</v>
      </c>
      <c r="I77" t="s">
        <v>142</v>
      </c>
      <c r="J77" t="s">
        <v>118</v>
      </c>
      <c r="K77" s="56">
        <v>39600</v>
      </c>
      <c r="L77" s="125">
        <v>8500</v>
      </c>
      <c r="M77" s="56">
        <v>8278.9599999999991</v>
      </c>
      <c r="N77" s="56">
        <v>10985.49</v>
      </c>
      <c r="O77" s="70">
        <f t="shared" si="8"/>
        <v>0.97399529411764696</v>
      </c>
      <c r="P77" s="57">
        <f t="shared" si="9"/>
        <v>0.20906464646464645</v>
      </c>
      <c r="Q77" s="57">
        <f t="shared" si="10"/>
        <v>0.7536268295724633</v>
      </c>
      <c r="R77" s="39">
        <f t="shared" si="11"/>
        <v>31321.040000000001</v>
      </c>
      <c r="S77" s="58"/>
      <c r="T77" s="58">
        <v>3500</v>
      </c>
      <c r="U77" s="66">
        <v>3009.6200000000003</v>
      </c>
      <c r="V77" s="66">
        <v>3764.92</v>
      </c>
      <c r="W77" s="70">
        <f t="shared" si="16"/>
        <v>0.85989142857142864</v>
      </c>
      <c r="X77" s="57">
        <f t="shared" si="17"/>
        <v>7.6000505050505054E-2</v>
      </c>
      <c r="Y77" s="57">
        <f t="shared" si="18"/>
        <v>0.79938484748679928</v>
      </c>
      <c r="Z77" s="39">
        <f t="shared" si="19"/>
        <v>36100</v>
      </c>
    </row>
    <row r="78" spans="1:26" x14ac:dyDescent="0.25">
      <c r="A78" s="20" t="s">
        <v>641</v>
      </c>
      <c r="B78" s="10" t="s">
        <v>599</v>
      </c>
      <c r="C78" s="10">
        <v>1</v>
      </c>
      <c r="D78" t="s">
        <v>571</v>
      </c>
      <c r="E78" s="20" t="s">
        <v>490</v>
      </c>
      <c r="F78" s="20" t="s">
        <v>0</v>
      </c>
      <c r="G78" t="s">
        <v>135</v>
      </c>
      <c r="H78" t="s">
        <v>137</v>
      </c>
      <c r="I78" t="s">
        <v>735</v>
      </c>
      <c r="J78" t="s">
        <v>91</v>
      </c>
      <c r="K78" s="12">
        <v>28900</v>
      </c>
      <c r="L78" s="125">
        <v>0</v>
      </c>
      <c r="M78" s="56">
        <v>0</v>
      </c>
      <c r="N78" s="56">
        <v>0</v>
      </c>
      <c r="O78" s="70" t="e">
        <f t="shared" ref="O78:O141" si="20">M78/L78</f>
        <v>#DIV/0!</v>
      </c>
      <c r="P78" s="57">
        <f t="shared" ref="P78:P141" si="21">M78/K78</f>
        <v>0</v>
      </c>
      <c r="Q78" s="57" t="e">
        <f t="shared" ref="Q78:Q141" si="22">M78/N78</f>
        <v>#DIV/0!</v>
      </c>
      <c r="R78" s="39">
        <f t="shared" ref="R78:R141" si="23">K78-M78</f>
        <v>28900</v>
      </c>
      <c r="S78" s="58"/>
      <c r="T78" s="58"/>
      <c r="U78" s="66"/>
      <c r="V78" s="66"/>
      <c r="W78" s="70"/>
      <c r="X78" s="57"/>
      <c r="Y78" s="57"/>
    </row>
    <row r="79" spans="1:26" x14ac:dyDescent="0.25">
      <c r="A79" s="20" t="s">
        <v>639</v>
      </c>
      <c r="B79" s="10" t="s">
        <v>600</v>
      </c>
      <c r="C79" s="10">
        <v>1</v>
      </c>
      <c r="D79" t="s">
        <v>571</v>
      </c>
      <c r="E79" s="20" t="s">
        <v>490</v>
      </c>
      <c r="F79" s="20" t="s">
        <v>0</v>
      </c>
      <c r="G79" t="s">
        <v>135</v>
      </c>
      <c r="H79" t="s">
        <v>137</v>
      </c>
      <c r="I79" t="s">
        <v>569</v>
      </c>
      <c r="J79" t="s">
        <v>93</v>
      </c>
      <c r="K79" s="12">
        <v>0</v>
      </c>
      <c r="L79" s="125">
        <v>0</v>
      </c>
      <c r="M79" s="56">
        <v>0</v>
      </c>
      <c r="N79" s="56">
        <v>2280</v>
      </c>
      <c r="O79" s="70" t="e">
        <f t="shared" si="20"/>
        <v>#DIV/0!</v>
      </c>
      <c r="P79" s="57" t="e">
        <f t="shared" si="21"/>
        <v>#DIV/0!</v>
      </c>
      <c r="Q79" s="57">
        <f t="shared" si="22"/>
        <v>0</v>
      </c>
      <c r="R79" s="39">
        <f t="shared" si="23"/>
        <v>0</v>
      </c>
      <c r="T79" s="58">
        <v>0</v>
      </c>
      <c r="V79" s="12">
        <v>1500</v>
      </c>
      <c r="W79" s="70" t="e">
        <f t="shared" si="16"/>
        <v>#DIV/0!</v>
      </c>
      <c r="X79" s="57" t="e">
        <f t="shared" si="17"/>
        <v>#DIV/0!</v>
      </c>
      <c r="Y79" s="57">
        <f t="shared" si="18"/>
        <v>0</v>
      </c>
      <c r="Z79" s="39">
        <f t="shared" si="19"/>
        <v>0</v>
      </c>
    </row>
    <row r="80" spans="1:26" x14ac:dyDescent="0.25">
      <c r="A80" s="20" t="s">
        <v>625</v>
      </c>
      <c r="B80" s="10" t="s">
        <v>585</v>
      </c>
      <c r="C80" s="10">
        <v>1</v>
      </c>
      <c r="D80" t="s">
        <v>571</v>
      </c>
      <c r="E80" s="20" t="s">
        <v>491</v>
      </c>
      <c r="F80" s="20" t="s">
        <v>0</v>
      </c>
      <c r="G80" t="s">
        <v>143</v>
      </c>
      <c r="H80" t="s">
        <v>145</v>
      </c>
      <c r="I80" t="s">
        <v>144</v>
      </c>
      <c r="J80" t="s">
        <v>53</v>
      </c>
      <c r="K80" s="56">
        <v>21600</v>
      </c>
      <c r="L80" s="125">
        <v>1700</v>
      </c>
      <c r="M80" s="56">
        <v>1700</v>
      </c>
      <c r="N80" s="56">
        <v>4450</v>
      </c>
      <c r="O80" s="70">
        <f t="shared" si="20"/>
        <v>1</v>
      </c>
      <c r="P80" s="57">
        <f t="shared" si="21"/>
        <v>7.8703703703703706E-2</v>
      </c>
      <c r="Q80" s="57">
        <f t="shared" si="22"/>
        <v>0.38202247191011235</v>
      </c>
      <c r="R80" s="39">
        <f t="shared" si="23"/>
        <v>19900</v>
      </c>
      <c r="S80" s="58"/>
      <c r="T80" s="58">
        <v>1000</v>
      </c>
      <c r="U80" s="66">
        <v>850</v>
      </c>
      <c r="V80" s="66">
        <v>2550</v>
      </c>
      <c r="W80" s="70">
        <f t="shared" si="16"/>
        <v>0.85</v>
      </c>
      <c r="X80" s="57">
        <f t="shared" si="17"/>
        <v>3.9351851851851853E-2</v>
      </c>
      <c r="Y80" s="57">
        <f t="shared" si="18"/>
        <v>0.33333333333333331</v>
      </c>
      <c r="Z80" s="39">
        <f t="shared" si="19"/>
        <v>20600</v>
      </c>
    </row>
    <row r="81" spans="1:26" x14ac:dyDescent="0.25">
      <c r="A81" s="20" t="s">
        <v>609</v>
      </c>
      <c r="B81" s="10" t="s">
        <v>573</v>
      </c>
      <c r="C81" s="10">
        <v>1</v>
      </c>
      <c r="D81" t="s">
        <v>571</v>
      </c>
      <c r="E81" s="20" t="s">
        <v>491</v>
      </c>
      <c r="F81" s="20" t="s">
        <v>0</v>
      </c>
      <c r="G81" t="s">
        <v>143</v>
      </c>
      <c r="H81" t="s">
        <v>145</v>
      </c>
      <c r="I81" t="s">
        <v>146</v>
      </c>
      <c r="J81" t="s">
        <v>16</v>
      </c>
      <c r="K81" s="56">
        <v>25000</v>
      </c>
      <c r="L81" s="125">
        <v>0</v>
      </c>
      <c r="M81" s="56">
        <v>0</v>
      </c>
      <c r="N81" s="56">
        <v>0</v>
      </c>
      <c r="O81" s="70" t="e">
        <f t="shared" si="20"/>
        <v>#DIV/0!</v>
      </c>
      <c r="P81" s="57">
        <f t="shared" si="21"/>
        <v>0</v>
      </c>
      <c r="Q81" s="57" t="e">
        <f t="shared" si="22"/>
        <v>#DIV/0!</v>
      </c>
      <c r="R81" s="39">
        <f t="shared" si="23"/>
        <v>25000</v>
      </c>
      <c r="S81" s="58"/>
      <c r="T81" s="58">
        <v>0</v>
      </c>
      <c r="U81" s="66">
        <v>0</v>
      </c>
      <c r="V81" s="66">
        <v>0</v>
      </c>
      <c r="W81" s="70" t="e">
        <f t="shared" si="16"/>
        <v>#DIV/0!</v>
      </c>
      <c r="X81" s="57">
        <f t="shared" si="17"/>
        <v>0</v>
      </c>
      <c r="Y81" s="57" t="e">
        <f t="shared" si="18"/>
        <v>#DIV/0!</v>
      </c>
      <c r="Z81" s="39">
        <f t="shared" si="19"/>
        <v>25000</v>
      </c>
    </row>
    <row r="82" spans="1:26" x14ac:dyDescent="0.25">
      <c r="A82" s="20" t="s">
        <v>608</v>
      </c>
      <c r="B82" s="10" t="s">
        <v>574</v>
      </c>
      <c r="C82" s="10">
        <v>1</v>
      </c>
      <c r="D82" t="s">
        <v>571</v>
      </c>
      <c r="E82" s="20" t="s">
        <v>491</v>
      </c>
      <c r="F82" s="20" t="s">
        <v>0</v>
      </c>
      <c r="G82" t="s">
        <v>143</v>
      </c>
      <c r="H82" t="s">
        <v>145</v>
      </c>
      <c r="I82" t="s">
        <v>147</v>
      </c>
      <c r="J82" t="s">
        <v>18</v>
      </c>
      <c r="K82" s="56">
        <v>55000</v>
      </c>
      <c r="L82" s="125">
        <v>25000</v>
      </c>
      <c r="M82" s="56">
        <v>23923.87</v>
      </c>
      <c r="N82" s="56">
        <v>25258.89</v>
      </c>
      <c r="O82" s="70">
        <f t="shared" si="20"/>
        <v>0.95695479999999999</v>
      </c>
      <c r="P82" s="57">
        <f t="shared" si="21"/>
        <v>0.4349794545454545</v>
      </c>
      <c r="Q82" s="57">
        <f t="shared" si="22"/>
        <v>0.94714652940014388</v>
      </c>
      <c r="R82" s="39">
        <f t="shared" si="23"/>
        <v>31076.13</v>
      </c>
      <c r="S82" s="58"/>
      <c r="T82" s="58">
        <v>8000</v>
      </c>
      <c r="U82" s="66">
        <v>7174.0700000000006</v>
      </c>
      <c r="V82" s="66">
        <v>7604</v>
      </c>
      <c r="W82" s="70">
        <f t="shared" si="16"/>
        <v>0.89675875000000005</v>
      </c>
      <c r="X82" s="57">
        <f t="shared" si="17"/>
        <v>0.13043763636363637</v>
      </c>
      <c r="Y82" s="57">
        <f t="shared" si="18"/>
        <v>0.94346002104155713</v>
      </c>
      <c r="Z82" s="39">
        <f t="shared" si="19"/>
        <v>47000</v>
      </c>
    </row>
    <row r="83" spans="1:26" x14ac:dyDescent="0.25">
      <c r="A83" s="20" t="s">
        <v>628</v>
      </c>
      <c r="B83" s="10" t="s">
        <v>589</v>
      </c>
      <c r="C83" s="10">
        <v>2</v>
      </c>
      <c r="D83" t="s">
        <v>571</v>
      </c>
      <c r="E83" s="20" t="s">
        <v>491</v>
      </c>
      <c r="F83" s="20" t="s">
        <v>0</v>
      </c>
      <c r="G83" t="s">
        <v>143</v>
      </c>
      <c r="H83" t="s">
        <v>145</v>
      </c>
      <c r="I83" t="s">
        <v>148</v>
      </c>
      <c r="J83" t="s">
        <v>65</v>
      </c>
      <c r="K83" s="56">
        <v>90000</v>
      </c>
      <c r="L83" s="125">
        <v>16000</v>
      </c>
      <c r="M83" s="56">
        <v>15330</v>
      </c>
      <c r="N83" s="56">
        <v>19881</v>
      </c>
      <c r="O83" s="70">
        <f t="shared" si="20"/>
        <v>0.958125</v>
      </c>
      <c r="P83" s="57">
        <f t="shared" si="21"/>
        <v>0.17033333333333334</v>
      </c>
      <c r="Q83" s="57">
        <f t="shared" si="22"/>
        <v>0.77108797344197977</v>
      </c>
      <c r="R83" s="39">
        <f t="shared" si="23"/>
        <v>74670</v>
      </c>
      <c r="S83" s="58"/>
      <c r="T83" s="58">
        <v>0</v>
      </c>
      <c r="U83" s="66">
        <v>0</v>
      </c>
      <c r="V83" s="66">
        <v>9936</v>
      </c>
      <c r="W83" s="70" t="e">
        <f t="shared" si="16"/>
        <v>#DIV/0!</v>
      </c>
      <c r="X83" s="57">
        <f t="shared" si="17"/>
        <v>0</v>
      </c>
      <c r="Y83" s="57">
        <f t="shared" si="18"/>
        <v>0</v>
      </c>
      <c r="Z83" s="39">
        <f t="shared" si="19"/>
        <v>90000</v>
      </c>
    </row>
    <row r="84" spans="1:26" x14ac:dyDescent="0.25">
      <c r="A84" s="20" t="s">
        <v>636</v>
      </c>
      <c r="B84" s="10" t="s">
        <v>591</v>
      </c>
      <c r="C84" s="10">
        <v>1</v>
      </c>
      <c r="D84" t="s">
        <v>571</v>
      </c>
      <c r="E84" s="20" t="s">
        <v>491</v>
      </c>
      <c r="F84" s="20" t="s">
        <v>0</v>
      </c>
      <c r="G84" t="s">
        <v>143</v>
      </c>
      <c r="H84" t="s">
        <v>145</v>
      </c>
      <c r="I84" t="s">
        <v>149</v>
      </c>
      <c r="J84" t="s">
        <v>70</v>
      </c>
      <c r="K84" s="56">
        <v>2898000</v>
      </c>
      <c r="L84" s="125">
        <v>1600000</v>
      </c>
      <c r="M84" s="56">
        <v>1515024.0000000037</v>
      </c>
      <c r="N84" s="56">
        <v>457898.39999999997</v>
      </c>
      <c r="O84" s="70">
        <f t="shared" si="20"/>
        <v>0.94689000000000234</v>
      </c>
      <c r="P84" s="57">
        <f t="shared" si="21"/>
        <v>0.52278260869565341</v>
      </c>
      <c r="Q84" s="57">
        <f t="shared" si="22"/>
        <v>3.3086466342752101</v>
      </c>
      <c r="R84" s="39">
        <f t="shared" si="23"/>
        <v>1382975.9999999963</v>
      </c>
      <c r="S84" s="58"/>
      <c r="T84" s="58">
        <v>550000</v>
      </c>
      <c r="U84" s="66">
        <v>501524.99999999988</v>
      </c>
      <c r="V84" s="66">
        <v>95385.600000000006</v>
      </c>
      <c r="W84" s="70">
        <f t="shared" si="16"/>
        <v>0.9118636363636361</v>
      </c>
      <c r="X84" s="57">
        <f t="shared" si="17"/>
        <v>0.17305900621118009</v>
      </c>
      <c r="Y84" s="57">
        <f t="shared" si="18"/>
        <v>5.257869112318839</v>
      </c>
      <c r="Z84" s="39">
        <f t="shared" si="19"/>
        <v>2348000</v>
      </c>
    </row>
    <row r="85" spans="1:26" x14ac:dyDescent="0.25">
      <c r="A85" s="20" t="s">
        <v>630</v>
      </c>
      <c r="B85" s="10" t="s">
        <v>592</v>
      </c>
      <c r="C85" s="10">
        <v>2</v>
      </c>
      <c r="D85" t="s">
        <v>571</v>
      </c>
      <c r="E85" s="20" t="s">
        <v>491</v>
      </c>
      <c r="F85" s="20" t="s">
        <v>0</v>
      </c>
      <c r="G85" t="s">
        <v>143</v>
      </c>
      <c r="H85" t="s">
        <v>145</v>
      </c>
      <c r="I85" t="s">
        <v>150</v>
      </c>
      <c r="J85" t="s">
        <v>118</v>
      </c>
      <c r="K85" s="56">
        <v>108700</v>
      </c>
      <c r="L85" s="125">
        <v>58000</v>
      </c>
      <c r="M85" s="56">
        <v>56432.81</v>
      </c>
      <c r="N85" s="56">
        <v>34136.339999999997</v>
      </c>
      <c r="O85" s="70">
        <f t="shared" si="20"/>
        <v>0.97297948275862067</v>
      </c>
      <c r="P85" s="57">
        <f t="shared" si="21"/>
        <v>0.51916108555657769</v>
      </c>
      <c r="Q85" s="57">
        <f t="shared" si="22"/>
        <v>1.6531593603766543</v>
      </c>
      <c r="R85" s="39">
        <f t="shared" si="23"/>
        <v>52267.19</v>
      </c>
      <c r="S85" s="58"/>
      <c r="T85" s="58">
        <v>22000</v>
      </c>
      <c r="U85" s="66">
        <v>19873.62</v>
      </c>
      <c r="V85" s="66">
        <v>15080.59</v>
      </c>
      <c r="W85" s="70">
        <f t="shared" si="16"/>
        <v>0.90334636363636356</v>
      </c>
      <c r="X85" s="57">
        <f t="shared" si="17"/>
        <v>0.18282999080036796</v>
      </c>
      <c r="Y85" s="57">
        <f t="shared" si="18"/>
        <v>1.3178277507710241</v>
      </c>
      <c r="Z85" s="39">
        <f t="shared" si="19"/>
        <v>86700</v>
      </c>
    </row>
    <row r="86" spans="1:26" x14ac:dyDescent="0.25">
      <c r="A86" s="20" t="s">
        <v>641</v>
      </c>
      <c r="B86" s="10" t="s">
        <v>599</v>
      </c>
      <c r="C86" s="10">
        <v>1</v>
      </c>
      <c r="D86" t="s">
        <v>571</v>
      </c>
      <c r="E86" s="20" t="s">
        <v>491</v>
      </c>
      <c r="F86" s="20" t="s">
        <v>0</v>
      </c>
      <c r="G86" t="s">
        <v>143</v>
      </c>
      <c r="H86" t="s">
        <v>145</v>
      </c>
      <c r="I86" t="s">
        <v>736</v>
      </c>
      <c r="J86" t="s">
        <v>91</v>
      </c>
      <c r="K86" s="119">
        <v>54000</v>
      </c>
      <c r="L86" s="125">
        <v>0</v>
      </c>
      <c r="M86" s="56">
        <v>0</v>
      </c>
      <c r="N86" s="56">
        <v>0</v>
      </c>
      <c r="O86" s="70" t="e">
        <f t="shared" si="20"/>
        <v>#DIV/0!</v>
      </c>
      <c r="P86" s="57">
        <f t="shared" si="21"/>
        <v>0</v>
      </c>
      <c r="Q86" s="57" t="e">
        <f t="shared" si="22"/>
        <v>#DIV/0!</v>
      </c>
      <c r="R86" s="39">
        <f t="shared" si="23"/>
        <v>54000</v>
      </c>
      <c r="S86" s="58"/>
      <c r="T86" s="58"/>
      <c r="U86" s="66"/>
      <c r="V86" s="66"/>
      <c r="W86" s="70"/>
      <c r="X86" s="57"/>
      <c r="Y86" s="57"/>
    </row>
    <row r="87" spans="1:26" x14ac:dyDescent="0.25">
      <c r="A87" s="20" t="s">
        <v>558</v>
      </c>
      <c r="B87" s="10" t="s">
        <v>559</v>
      </c>
      <c r="C87" s="10">
        <v>1</v>
      </c>
      <c r="D87" t="s">
        <v>571</v>
      </c>
      <c r="E87" s="20" t="s">
        <v>491</v>
      </c>
      <c r="F87" s="20" t="s">
        <v>0</v>
      </c>
      <c r="G87" t="s">
        <v>143</v>
      </c>
      <c r="H87" t="s">
        <v>145</v>
      </c>
      <c r="I87" t="s">
        <v>739</v>
      </c>
      <c r="J87" t="s">
        <v>7</v>
      </c>
      <c r="K87" s="119">
        <v>10000</v>
      </c>
      <c r="L87" s="125">
        <v>0</v>
      </c>
      <c r="M87" s="56">
        <v>0</v>
      </c>
      <c r="N87" s="56">
        <v>10000</v>
      </c>
      <c r="O87" s="70" t="e">
        <f t="shared" si="20"/>
        <v>#DIV/0!</v>
      </c>
      <c r="P87" s="57">
        <f t="shared" si="21"/>
        <v>0</v>
      </c>
      <c r="Q87" s="57">
        <f t="shared" si="22"/>
        <v>0</v>
      </c>
      <c r="R87" s="39">
        <f t="shared" si="23"/>
        <v>10000</v>
      </c>
      <c r="S87" s="58"/>
      <c r="T87" s="58"/>
      <c r="U87" s="66"/>
      <c r="V87" s="66"/>
      <c r="W87" s="70"/>
      <c r="X87" s="57"/>
      <c r="Y87" s="57"/>
    </row>
    <row r="88" spans="1:26" x14ac:dyDescent="0.25">
      <c r="A88" s="20" t="s">
        <v>625</v>
      </c>
      <c r="B88" s="10" t="s">
        <v>585</v>
      </c>
      <c r="C88" s="10">
        <v>1</v>
      </c>
      <c r="D88" t="s">
        <v>571</v>
      </c>
      <c r="E88" s="20" t="s">
        <v>493</v>
      </c>
      <c r="F88" s="20" t="s">
        <v>0</v>
      </c>
      <c r="G88" t="s">
        <v>151</v>
      </c>
      <c r="H88" t="s">
        <v>153</v>
      </c>
      <c r="I88" t="s">
        <v>152</v>
      </c>
      <c r="J88" t="s">
        <v>53</v>
      </c>
      <c r="K88" s="56">
        <v>33800</v>
      </c>
      <c r="L88" s="125">
        <v>700</v>
      </c>
      <c r="M88" s="56">
        <v>650</v>
      </c>
      <c r="N88" s="56">
        <v>15896.8</v>
      </c>
      <c r="O88" s="70">
        <f t="shared" si="20"/>
        <v>0.9285714285714286</v>
      </c>
      <c r="P88" s="57">
        <f t="shared" si="21"/>
        <v>1.9230769230769232E-2</v>
      </c>
      <c r="Q88" s="57">
        <f t="shared" si="22"/>
        <v>4.0888732323486492E-2</v>
      </c>
      <c r="R88" s="39">
        <f t="shared" si="23"/>
        <v>33150</v>
      </c>
      <c r="S88" s="58"/>
      <c r="T88" s="58">
        <v>0</v>
      </c>
      <c r="U88" s="66">
        <v>0</v>
      </c>
      <c r="V88" s="66">
        <v>850</v>
      </c>
      <c r="W88" s="70" t="e">
        <f t="shared" si="16"/>
        <v>#DIV/0!</v>
      </c>
      <c r="X88" s="57">
        <f t="shared" si="17"/>
        <v>0</v>
      </c>
      <c r="Y88" s="57">
        <f t="shared" si="18"/>
        <v>0</v>
      </c>
      <c r="Z88" s="39">
        <f t="shared" si="19"/>
        <v>33800</v>
      </c>
    </row>
    <row r="89" spans="1:26" x14ac:dyDescent="0.25">
      <c r="A89" s="20" t="s">
        <v>646</v>
      </c>
      <c r="B89" s="10" t="s">
        <v>603</v>
      </c>
      <c r="C89" s="10">
        <v>1</v>
      </c>
      <c r="D89" t="s">
        <v>571</v>
      </c>
      <c r="E89" s="20" t="s">
        <v>493</v>
      </c>
      <c r="F89" s="20" t="s">
        <v>0</v>
      </c>
      <c r="G89" t="s">
        <v>151</v>
      </c>
      <c r="H89" t="s">
        <v>153</v>
      </c>
      <c r="I89" t="s">
        <v>878</v>
      </c>
      <c r="J89" t="s">
        <v>105</v>
      </c>
      <c r="K89" s="12">
        <v>0</v>
      </c>
      <c r="L89" s="125">
        <v>0</v>
      </c>
      <c r="M89" s="12">
        <v>0</v>
      </c>
      <c r="N89" s="119">
        <v>322.39999999999998</v>
      </c>
      <c r="O89" s="70" t="e">
        <f t="shared" si="20"/>
        <v>#DIV/0!</v>
      </c>
      <c r="P89" s="57" t="e">
        <f t="shared" si="21"/>
        <v>#DIV/0!</v>
      </c>
      <c r="Q89" s="57">
        <f t="shared" si="22"/>
        <v>0</v>
      </c>
      <c r="R89" s="39">
        <f t="shared" si="23"/>
        <v>0</v>
      </c>
      <c r="S89" s="58"/>
      <c r="T89" s="58"/>
      <c r="U89" s="66"/>
      <c r="V89" s="66"/>
      <c r="W89" s="70"/>
      <c r="X89" s="57"/>
      <c r="Y89" s="57"/>
    </row>
    <row r="90" spans="1:26" x14ac:dyDescent="0.25">
      <c r="A90" s="20" t="s">
        <v>609</v>
      </c>
      <c r="B90" s="10" t="s">
        <v>573</v>
      </c>
      <c r="C90" s="10">
        <v>1</v>
      </c>
      <c r="D90" t="s">
        <v>571</v>
      </c>
      <c r="E90" s="20" t="s">
        <v>493</v>
      </c>
      <c r="F90" s="20" t="s">
        <v>0</v>
      </c>
      <c r="G90" t="s">
        <v>151</v>
      </c>
      <c r="H90" t="s">
        <v>153</v>
      </c>
      <c r="I90" t="s">
        <v>154</v>
      </c>
      <c r="J90" t="s">
        <v>16</v>
      </c>
      <c r="K90" s="56">
        <v>25000</v>
      </c>
      <c r="L90" s="125">
        <v>3100</v>
      </c>
      <c r="M90" s="56">
        <v>2997.7</v>
      </c>
      <c r="N90" s="56">
        <v>0</v>
      </c>
      <c r="O90" s="70">
        <f t="shared" si="20"/>
        <v>0.96699999999999997</v>
      </c>
      <c r="P90" s="57">
        <f t="shared" si="21"/>
        <v>0.11990799999999999</v>
      </c>
      <c r="Q90" s="57" t="e">
        <f t="shared" si="22"/>
        <v>#DIV/0!</v>
      </c>
      <c r="R90" s="39">
        <f t="shared" si="23"/>
        <v>22002.3</v>
      </c>
      <c r="S90" s="58"/>
      <c r="T90" s="58">
        <v>0</v>
      </c>
      <c r="U90" s="66">
        <v>0</v>
      </c>
      <c r="V90" s="66">
        <v>0</v>
      </c>
      <c r="W90" s="70" t="e">
        <f t="shared" si="16"/>
        <v>#DIV/0!</v>
      </c>
      <c r="X90" s="57">
        <f t="shared" si="17"/>
        <v>0</v>
      </c>
      <c r="Y90" s="57" t="e">
        <f t="shared" si="18"/>
        <v>#DIV/0!</v>
      </c>
      <c r="Z90" s="39">
        <f t="shared" si="19"/>
        <v>25000</v>
      </c>
    </row>
    <row r="91" spans="1:26" x14ac:dyDescent="0.25">
      <c r="A91" s="20" t="s">
        <v>608</v>
      </c>
      <c r="B91" s="10" t="s">
        <v>574</v>
      </c>
      <c r="C91" s="10">
        <v>1</v>
      </c>
      <c r="D91" t="s">
        <v>571</v>
      </c>
      <c r="E91" s="20" t="s">
        <v>493</v>
      </c>
      <c r="F91" s="20" t="s">
        <v>0</v>
      </c>
      <c r="G91" t="s">
        <v>151</v>
      </c>
      <c r="H91" t="s">
        <v>153</v>
      </c>
      <c r="I91" t="s">
        <v>155</v>
      </c>
      <c r="J91" t="s">
        <v>18</v>
      </c>
      <c r="K91" s="56">
        <v>55000</v>
      </c>
      <c r="L91" s="125">
        <v>27000</v>
      </c>
      <c r="M91" s="56">
        <v>25684.05</v>
      </c>
      <c r="N91" s="56">
        <v>21747.949999999997</v>
      </c>
      <c r="O91" s="70">
        <f t="shared" si="20"/>
        <v>0.95126111111111111</v>
      </c>
      <c r="P91" s="57">
        <f t="shared" si="21"/>
        <v>0.46698272727272727</v>
      </c>
      <c r="Q91" s="57">
        <f t="shared" si="22"/>
        <v>1.1809871735037096</v>
      </c>
      <c r="R91" s="39">
        <f t="shared" si="23"/>
        <v>29315.95</v>
      </c>
      <c r="S91" s="58"/>
      <c r="T91" s="58">
        <v>16000</v>
      </c>
      <c r="U91" s="66">
        <v>14609.05</v>
      </c>
      <c r="V91" s="66">
        <v>18464.849999999999</v>
      </c>
      <c r="W91" s="70">
        <f t="shared" si="16"/>
        <v>0.91306562499999999</v>
      </c>
      <c r="X91" s="57">
        <f t="shared" si="17"/>
        <v>0.26561909090909092</v>
      </c>
      <c r="Y91" s="57">
        <f t="shared" si="18"/>
        <v>0.79118162346295806</v>
      </c>
      <c r="Z91" s="39">
        <f t="shared" si="19"/>
        <v>39000</v>
      </c>
    </row>
    <row r="92" spans="1:26" x14ac:dyDescent="0.25">
      <c r="A92" s="20" t="s">
        <v>631</v>
      </c>
      <c r="B92" s="10" t="s">
        <v>580</v>
      </c>
      <c r="C92" s="10">
        <v>2</v>
      </c>
      <c r="D92" t="s">
        <v>571</v>
      </c>
      <c r="E92" s="20" t="s">
        <v>493</v>
      </c>
      <c r="F92" s="20" t="s">
        <v>0</v>
      </c>
      <c r="G92" t="s">
        <v>151</v>
      </c>
      <c r="H92" t="s">
        <v>153</v>
      </c>
      <c r="I92" t="s">
        <v>884</v>
      </c>
      <c r="J92" t="s">
        <v>34</v>
      </c>
      <c r="K92" s="56">
        <v>0</v>
      </c>
      <c r="L92" s="125">
        <v>0</v>
      </c>
      <c r="M92" s="56">
        <v>0</v>
      </c>
      <c r="N92" s="119">
        <v>1870</v>
      </c>
      <c r="O92" s="70" t="e">
        <f t="shared" si="20"/>
        <v>#DIV/0!</v>
      </c>
      <c r="P92" s="57" t="e">
        <f t="shared" si="21"/>
        <v>#DIV/0!</v>
      </c>
      <c r="Q92" s="57">
        <f t="shared" si="22"/>
        <v>0</v>
      </c>
      <c r="R92" s="39">
        <f t="shared" si="23"/>
        <v>0</v>
      </c>
      <c r="S92" s="58"/>
      <c r="T92" s="58"/>
      <c r="U92" s="66"/>
      <c r="V92" s="66"/>
      <c r="W92" s="70"/>
      <c r="X92" s="57"/>
      <c r="Y92" s="57"/>
    </row>
    <row r="93" spans="1:26" x14ac:dyDescent="0.25">
      <c r="A93" s="20" t="s">
        <v>628</v>
      </c>
      <c r="B93" s="10" t="s">
        <v>589</v>
      </c>
      <c r="C93" s="10">
        <v>2</v>
      </c>
      <c r="D93" t="s">
        <v>571</v>
      </c>
      <c r="E93" s="20" t="s">
        <v>493</v>
      </c>
      <c r="F93" s="20" t="s">
        <v>0</v>
      </c>
      <c r="G93" t="s">
        <v>151</v>
      </c>
      <c r="H93" t="s">
        <v>153</v>
      </c>
      <c r="I93" t="s">
        <v>156</v>
      </c>
      <c r="J93" t="s">
        <v>65</v>
      </c>
      <c r="K93" s="56">
        <v>90000</v>
      </c>
      <c r="L93" s="125">
        <v>28000</v>
      </c>
      <c r="M93" s="56">
        <v>26630</v>
      </c>
      <c r="N93" s="56">
        <v>33391.300000000003</v>
      </c>
      <c r="O93" s="70">
        <f t="shared" si="20"/>
        <v>0.95107142857142857</v>
      </c>
      <c r="P93" s="57">
        <f t="shared" si="21"/>
        <v>0.29588888888888887</v>
      </c>
      <c r="Q93" s="57">
        <f t="shared" si="22"/>
        <v>0.79751312467618807</v>
      </c>
      <c r="R93" s="39">
        <f t="shared" si="23"/>
        <v>63370</v>
      </c>
      <c r="S93" s="58"/>
      <c r="T93" s="58">
        <v>7000</v>
      </c>
      <c r="U93" s="66">
        <v>6657.5</v>
      </c>
      <c r="V93" s="66">
        <v>14344.3</v>
      </c>
      <c r="W93" s="70">
        <f t="shared" si="16"/>
        <v>0.95107142857142857</v>
      </c>
      <c r="X93" s="57">
        <f t="shared" si="17"/>
        <v>7.3972222222222217E-2</v>
      </c>
      <c r="Y93" s="57">
        <f t="shared" si="18"/>
        <v>0.46412163716598231</v>
      </c>
      <c r="Z93" s="39">
        <f t="shared" si="19"/>
        <v>83000</v>
      </c>
    </row>
    <row r="94" spans="1:26" x14ac:dyDescent="0.25">
      <c r="A94" s="20" t="s">
        <v>636</v>
      </c>
      <c r="B94" s="10" t="s">
        <v>591</v>
      </c>
      <c r="C94" s="10">
        <v>1</v>
      </c>
      <c r="D94" t="s">
        <v>571</v>
      </c>
      <c r="E94" s="20" t="s">
        <v>493</v>
      </c>
      <c r="F94" s="20" t="s">
        <v>0</v>
      </c>
      <c r="G94" t="s">
        <v>151</v>
      </c>
      <c r="H94" t="s">
        <v>153</v>
      </c>
      <c r="I94" t="s">
        <v>157</v>
      </c>
      <c r="J94" t="s">
        <v>70</v>
      </c>
      <c r="K94" s="56">
        <v>3042500</v>
      </c>
      <c r="L94" s="125">
        <v>2000000</v>
      </c>
      <c r="M94" s="56">
        <v>1973991.6000000031</v>
      </c>
      <c r="N94" s="56">
        <v>349693.1999999999</v>
      </c>
      <c r="O94" s="70">
        <f t="shared" si="20"/>
        <v>0.98699580000000153</v>
      </c>
      <c r="P94" s="57">
        <f t="shared" si="21"/>
        <v>0.64880578471651706</v>
      </c>
      <c r="Q94" s="57">
        <f t="shared" si="22"/>
        <v>5.6449241792519951</v>
      </c>
      <c r="R94" s="39">
        <f t="shared" si="23"/>
        <v>1068508.3999999969</v>
      </c>
      <c r="S94" s="58"/>
      <c r="T94" s="58">
        <v>900000</v>
      </c>
      <c r="U94" s="66">
        <v>836811.00000000012</v>
      </c>
      <c r="V94" s="66">
        <v>145000.79999999999</v>
      </c>
      <c r="W94" s="70">
        <f t="shared" si="16"/>
        <v>0.92979000000000012</v>
      </c>
      <c r="X94" s="57">
        <f t="shared" si="17"/>
        <v>0.27504059161873462</v>
      </c>
      <c r="Y94" s="57">
        <f t="shared" si="18"/>
        <v>5.7710785043944597</v>
      </c>
      <c r="Z94" s="39">
        <f t="shared" si="19"/>
        <v>2142500</v>
      </c>
    </row>
    <row r="95" spans="1:26" x14ac:dyDescent="0.25">
      <c r="A95" s="20" t="s">
        <v>630</v>
      </c>
      <c r="B95" s="10" t="s">
        <v>592</v>
      </c>
      <c r="C95" s="10">
        <v>2</v>
      </c>
      <c r="D95" t="s">
        <v>571</v>
      </c>
      <c r="E95" s="20" t="s">
        <v>493</v>
      </c>
      <c r="F95" s="20" t="s">
        <v>0</v>
      </c>
      <c r="G95" t="s">
        <v>151</v>
      </c>
      <c r="H95" t="s">
        <v>153</v>
      </c>
      <c r="I95" t="s">
        <v>158</v>
      </c>
      <c r="J95" t="s">
        <v>118</v>
      </c>
      <c r="K95" s="56">
        <v>104300</v>
      </c>
      <c r="L95" s="125">
        <v>40000</v>
      </c>
      <c r="M95" s="56">
        <v>35736.979999999996</v>
      </c>
      <c r="N95" s="56">
        <v>41738.1</v>
      </c>
      <c r="O95" s="70">
        <f t="shared" si="20"/>
        <v>0.89342449999999984</v>
      </c>
      <c r="P95" s="57">
        <f t="shared" si="21"/>
        <v>0.34263643336529237</v>
      </c>
      <c r="Q95" s="57">
        <f t="shared" si="22"/>
        <v>0.8562196170884635</v>
      </c>
      <c r="R95" s="39">
        <f t="shared" si="23"/>
        <v>68563.02</v>
      </c>
      <c r="S95" s="58"/>
      <c r="T95" s="58">
        <v>14000</v>
      </c>
      <c r="U95" s="66">
        <v>12242.39</v>
      </c>
      <c r="V95" s="66">
        <v>28017.54</v>
      </c>
      <c r="W95" s="70">
        <f t="shared" si="16"/>
        <v>0.87445642857142858</v>
      </c>
      <c r="X95" s="57">
        <f t="shared" si="17"/>
        <v>0.11737670182166826</v>
      </c>
      <c r="Y95" s="57">
        <f t="shared" si="18"/>
        <v>0.43695449350656762</v>
      </c>
      <c r="Z95" s="39">
        <f t="shared" si="19"/>
        <v>90300</v>
      </c>
    </row>
    <row r="96" spans="1:26" x14ac:dyDescent="0.25">
      <c r="A96" s="20" t="s">
        <v>641</v>
      </c>
      <c r="B96" s="10" t="s">
        <v>599</v>
      </c>
      <c r="C96" s="10">
        <v>1</v>
      </c>
      <c r="D96" t="s">
        <v>571</v>
      </c>
      <c r="E96" s="20" t="s">
        <v>493</v>
      </c>
      <c r="F96" s="20" t="s">
        <v>0</v>
      </c>
      <c r="G96" t="s">
        <v>151</v>
      </c>
      <c r="H96" t="s">
        <v>153</v>
      </c>
      <c r="I96" t="s">
        <v>737</v>
      </c>
      <c r="J96" t="s">
        <v>91</v>
      </c>
      <c r="K96" s="119">
        <v>31100</v>
      </c>
      <c r="L96" s="125">
        <v>0</v>
      </c>
      <c r="M96" s="56">
        <v>0</v>
      </c>
      <c r="N96" s="56">
        <v>0</v>
      </c>
      <c r="O96" s="70" t="e">
        <f t="shared" si="20"/>
        <v>#DIV/0!</v>
      </c>
      <c r="P96" s="57">
        <f t="shared" si="21"/>
        <v>0</v>
      </c>
      <c r="Q96" s="57" t="e">
        <f t="shared" si="22"/>
        <v>#DIV/0!</v>
      </c>
      <c r="R96" s="39">
        <f t="shared" si="23"/>
        <v>31100</v>
      </c>
      <c r="S96" s="58"/>
      <c r="T96" s="58"/>
      <c r="U96" s="66"/>
      <c r="V96" s="66"/>
      <c r="W96" s="70"/>
      <c r="X96" s="57"/>
      <c r="Y96" s="57"/>
    </row>
    <row r="97" spans="1:26" x14ac:dyDescent="0.25">
      <c r="A97" s="20" t="s">
        <v>625</v>
      </c>
      <c r="B97" s="10" t="s">
        <v>585</v>
      </c>
      <c r="C97" s="10">
        <v>1</v>
      </c>
      <c r="D97" t="s">
        <v>571</v>
      </c>
      <c r="E97" s="20" t="s">
        <v>495</v>
      </c>
      <c r="F97" s="20" t="s">
        <v>0</v>
      </c>
      <c r="G97" t="s">
        <v>159</v>
      </c>
      <c r="H97" t="s">
        <v>161</v>
      </c>
      <c r="I97" t="s">
        <v>160</v>
      </c>
      <c r="J97" t="s">
        <v>53</v>
      </c>
      <c r="K97" s="56">
        <v>18400</v>
      </c>
      <c r="L97" s="125">
        <v>10500</v>
      </c>
      <c r="M97" s="56">
        <v>10109.910000000002</v>
      </c>
      <c r="N97" s="56">
        <v>1950</v>
      </c>
      <c r="O97" s="70">
        <f t="shared" si="20"/>
        <v>0.96284857142857161</v>
      </c>
      <c r="P97" s="57">
        <f t="shared" si="21"/>
        <v>0.54945163043478273</v>
      </c>
      <c r="Q97" s="57">
        <f t="shared" si="22"/>
        <v>5.1845692307692319</v>
      </c>
      <c r="R97" s="39">
        <f t="shared" si="23"/>
        <v>8290.0899999999983</v>
      </c>
      <c r="S97" s="58"/>
      <c r="T97" s="58">
        <v>800</v>
      </c>
      <c r="U97" s="66">
        <v>650</v>
      </c>
      <c r="V97" s="66">
        <v>1300</v>
      </c>
      <c r="W97" s="70">
        <f t="shared" si="16"/>
        <v>0.8125</v>
      </c>
      <c r="X97" s="57">
        <f t="shared" si="17"/>
        <v>3.5326086956521736E-2</v>
      </c>
      <c r="Y97" s="57">
        <f t="shared" si="18"/>
        <v>0.5</v>
      </c>
      <c r="Z97" s="39">
        <f t="shared" si="19"/>
        <v>17600</v>
      </c>
    </row>
    <row r="98" spans="1:26" x14ac:dyDescent="0.25">
      <c r="A98" s="20" t="s">
        <v>607</v>
      </c>
      <c r="B98" s="10" t="s">
        <v>572</v>
      </c>
      <c r="C98" s="10">
        <v>1</v>
      </c>
      <c r="D98" t="s">
        <v>571</v>
      </c>
      <c r="E98" s="20" t="s">
        <v>495</v>
      </c>
      <c r="F98" s="20" t="s">
        <v>0</v>
      </c>
      <c r="G98" t="s">
        <v>159</v>
      </c>
      <c r="H98" t="s">
        <v>161</v>
      </c>
      <c r="I98" t="s">
        <v>876</v>
      </c>
      <c r="J98" t="s">
        <v>12</v>
      </c>
      <c r="K98" s="12">
        <v>0</v>
      </c>
      <c r="L98" s="125">
        <v>0</v>
      </c>
      <c r="M98" s="12">
        <v>0</v>
      </c>
      <c r="N98" s="119">
        <v>5000</v>
      </c>
      <c r="O98" s="70" t="e">
        <f t="shared" si="20"/>
        <v>#DIV/0!</v>
      </c>
      <c r="P98" s="57" t="e">
        <f t="shared" si="21"/>
        <v>#DIV/0!</v>
      </c>
      <c r="Q98" s="57">
        <f t="shared" si="22"/>
        <v>0</v>
      </c>
      <c r="R98" s="39">
        <f t="shared" si="23"/>
        <v>0</v>
      </c>
      <c r="S98" s="58"/>
      <c r="T98" s="58"/>
      <c r="U98" s="66"/>
      <c r="V98" s="66"/>
      <c r="W98" s="70"/>
      <c r="X98" s="57"/>
      <c r="Y98" s="57"/>
    </row>
    <row r="99" spans="1:26" x14ac:dyDescent="0.25">
      <c r="A99" s="20" t="s">
        <v>646</v>
      </c>
      <c r="B99" s="10" t="s">
        <v>603</v>
      </c>
      <c r="C99" s="10">
        <v>1</v>
      </c>
      <c r="D99" t="s">
        <v>571</v>
      </c>
      <c r="E99" s="20" t="s">
        <v>495</v>
      </c>
      <c r="F99" s="20" t="s">
        <v>0</v>
      </c>
      <c r="G99" t="s">
        <v>159</v>
      </c>
      <c r="H99" t="s">
        <v>161</v>
      </c>
      <c r="I99" t="s">
        <v>162</v>
      </c>
      <c r="J99" t="s">
        <v>105</v>
      </c>
      <c r="K99" s="56">
        <v>14100</v>
      </c>
      <c r="L99" s="125">
        <v>0</v>
      </c>
      <c r="M99" s="56">
        <v>0</v>
      </c>
      <c r="N99" s="56">
        <v>0</v>
      </c>
      <c r="O99" s="70" t="e">
        <f t="shared" si="20"/>
        <v>#DIV/0!</v>
      </c>
      <c r="P99" s="57">
        <f t="shared" si="21"/>
        <v>0</v>
      </c>
      <c r="Q99" s="57" t="e">
        <f t="shared" si="22"/>
        <v>#DIV/0!</v>
      </c>
      <c r="R99" s="39">
        <f t="shared" si="23"/>
        <v>14100</v>
      </c>
      <c r="S99" s="58"/>
      <c r="T99" s="58">
        <v>0</v>
      </c>
      <c r="U99" s="66">
        <v>0</v>
      </c>
      <c r="V99" s="66">
        <v>0</v>
      </c>
      <c r="W99" s="70" t="e">
        <f t="shared" si="16"/>
        <v>#DIV/0!</v>
      </c>
      <c r="X99" s="57">
        <f t="shared" si="17"/>
        <v>0</v>
      </c>
      <c r="Y99" s="57" t="e">
        <f t="shared" si="18"/>
        <v>#DIV/0!</v>
      </c>
      <c r="Z99" s="39">
        <f t="shared" si="19"/>
        <v>14100</v>
      </c>
    </row>
    <row r="100" spans="1:26" x14ac:dyDescent="0.25">
      <c r="A100" s="20" t="s">
        <v>613</v>
      </c>
      <c r="B100" s="10" t="s">
        <v>575</v>
      </c>
      <c r="C100" s="10">
        <v>2</v>
      </c>
      <c r="D100" t="s">
        <v>571</v>
      </c>
      <c r="E100" s="20" t="s">
        <v>495</v>
      </c>
      <c r="F100" s="20" t="s">
        <v>0</v>
      </c>
      <c r="G100" t="s">
        <v>159</v>
      </c>
      <c r="H100" t="s">
        <v>161</v>
      </c>
      <c r="I100" t="s">
        <v>880</v>
      </c>
      <c r="J100" t="s">
        <v>22</v>
      </c>
      <c r="K100" s="56">
        <v>0</v>
      </c>
      <c r="L100" s="125">
        <v>0</v>
      </c>
      <c r="M100" s="56">
        <v>0</v>
      </c>
      <c r="N100" s="119">
        <v>8000</v>
      </c>
      <c r="O100" s="70" t="e">
        <f t="shared" si="20"/>
        <v>#DIV/0!</v>
      </c>
      <c r="P100" s="57" t="e">
        <f t="shared" si="21"/>
        <v>#DIV/0!</v>
      </c>
      <c r="Q100" s="57">
        <f t="shared" si="22"/>
        <v>0</v>
      </c>
      <c r="R100" s="39">
        <f t="shared" si="23"/>
        <v>0</v>
      </c>
      <c r="S100" s="58"/>
      <c r="T100" s="58"/>
      <c r="U100" s="66"/>
      <c r="V100" s="66"/>
      <c r="W100" s="70"/>
      <c r="X100" s="57"/>
      <c r="Y100" s="57"/>
    </row>
    <row r="101" spans="1:26" x14ac:dyDescent="0.25">
      <c r="A101" s="20" t="s">
        <v>609</v>
      </c>
      <c r="B101" s="10" t="s">
        <v>573</v>
      </c>
      <c r="C101" s="10">
        <v>1</v>
      </c>
      <c r="D101" t="s">
        <v>571</v>
      </c>
      <c r="E101" s="20" t="s">
        <v>495</v>
      </c>
      <c r="F101" s="20" t="s">
        <v>0</v>
      </c>
      <c r="G101" t="s">
        <v>159</v>
      </c>
      <c r="H101" t="s">
        <v>161</v>
      </c>
      <c r="I101" t="s">
        <v>163</v>
      </c>
      <c r="J101" t="s">
        <v>16</v>
      </c>
      <c r="K101" s="56">
        <v>20000</v>
      </c>
      <c r="L101" s="125">
        <v>0</v>
      </c>
      <c r="M101" s="56">
        <v>0</v>
      </c>
      <c r="N101" s="56">
        <v>200</v>
      </c>
      <c r="O101" s="70" t="e">
        <f t="shared" si="20"/>
        <v>#DIV/0!</v>
      </c>
      <c r="P101" s="57">
        <f t="shared" si="21"/>
        <v>0</v>
      </c>
      <c r="Q101" s="57">
        <f t="shared" si="22"/>
        <v>0</v>
      </c>
      <c r="R101" s="39">
        <f t="shared" si="23"/>
        <v>20000</v>
      </c>
      <c r="S101" s="58"/>
      <c r="T101" s="58">
        <v>0</v>
      </c>
      <c r="U101" s="66">
        <v>0</v>
      </c>
      <c r="V101" s="66">
        <v>200</v>
      </c>
      <c r="W101" s="70" t="e">
        <f t="shared" si="16"/>
        <v>#DIV/0!</v>
      </c>
      <c r="X101" s="57">
        <f t="shared" si="17"/>
        <v>0</v>
      </c>
      <c r="Y101" s="57">
        <f t="shared" si="18"/>
        <v>0</v>
      </c>
      <c r="Z101" s="39">
        <f t="shared" si="19"/>
        <v>20000</v>
      </c>
    </row>
    <row r="102" spans="1:26" x14ac:dyDescent="0.25">
      <c r="A102" s="20" t="s">
        <v>608</v>
      </c>
      <c r="B102" s="10" t="s">
        <v>574</v>
      </c>
      <c r="C102" s="10">
        <v>1</v>
      </c>
      <c r="D102" t="s">
        <v>571</v>
      </c>
      <c r="E102" s="20" t="s">
        <v>495</v>
      </c>
      <c r="F102" s="20" t="s">
        <v>0</v>
      </c>
      <c r="G102" t="s">
        <v>159</v>
      </c>
      <c r="H102" t="s">
        <v>161</v>
      </c>
      <c r="I102" t="s">
        <v>164</v>
      </c>
      <c r="J102" t="s">
        <v>18</v>
      </c>
      <c r="K102" s="56">
        <v>37000</v>
      </c>
      <c r="L102" s="125">
        <v>17000</v>
      </c>
      <c r="M102" s="56">
        <v>16384.72</v>
      </c>
      <c r="N102" s="56">
        <v>16226.85</v>
      </c>
      <c r="O102" s="70">
        <f t="shared" si="20"/>
        <v>0.96380705882352946</v>
      </c>
      <c r="P102" s="57">
        <f t="shared" si="21"/>
        <v>0.44283027027027028</v>
      </c>
      <c r="Q102" s="57">
        <f t="shared" si="22"/>
        <v>1.0097289369162838</v>
      </c>
      <c r="R102" s="39">
        <f t="shared" si="23"/>
        <v>20615.28</v>
      </c>
      <c r="S102" s="58"/>
      <c r="T102" s="58">
        <v>2200</v>
      </c>
      <c r="U102" s="66">
        <v>1773</v>
      </c>
      <c r="V102" s="66">
        <v>9326.85</v>
      </c>
      <c r="W102" s="70">
        <f t="shared" si="16"/>
        <v>0.80590909090909091</v>
      </c>
      <c r="X102" s="57">
        <f t="shared" si="17"/>
        <v>4.7918918918918918E-2</v>
      </c>
      <c r="Y102" s="57">
        <f t="shared" si="18"/>
        <v>0.19009633477540647</v>
      </c>
      <c r="Z102" s="39">
        <f t="shared" si="19"/>
        <v>34800</v>
      </c>
    </row>
    <row r="103" spans="1:26" x14ac:dyDescent="0.25">
      <c r="A103" s="20" t="s">
        <v>652</v>
      </c>
      <c r="B103" s="10" t="s">
        <v>579</v>
      </c>
      <c r="C103" s="10">
        <v>2</v>
      </c>
      <c r="D103" t="s">
        <v>571</v>
      </c>
      <c r="E103" s="20" t="s">
        <v>495</v>
      </c>
      <c r="F103" s="20" t="s">
        <v>0</v>
      </c>
      <c r="G103" t="s">
        <v>159</v>
      </c>
      <c r="H103" t="s">
        <v>161</v>
      </c>
      <c r="I103" t="s">
        <v>888</v>
      </c>
      <c r="J103" t="s">
        <v>30</v>
      </c>
      <c r="K103" s="56">
        <v>0</v>
      </c>
      <c r="L103" s="125">
        <v>0</v>
      </c>
      <c r="M103" s="56">
        <v>0</v>
      </c>
      <c r="N103" s="119">
        <v>7996</v>
      </c>
      <c r="O103" s="70" t="e">
        <f t="shared" si="20"/>
        <v>#DIV/0!</v>
      </c>
      <c r="P103" s="57" t="e">
        <f t="shared" si="21"/>
        <v>#DIV/0!</v>
      </c>
      <c r="Q103" s="57">
        <f t="shared" si="22"/>
        <v>0</v>
      </c>
      <c r="R103" s="39">
        <f t="shared" si="23"/>
        <v>0</v>
      </c>
      <c r="S103" s="58"/>
      <c r="T103" s="58"/>
      <c r="U103" s="66"/>
      <c r="V103" s="66"/>
      <c r="W103" s="70"/>
      <c r="X103" s="57"/>
      <c r="Y103" s="57"/>
    </row>
    <row r="104" spans="1:26" x14ac:dyDescent="0.25">
      <c r="A104" s="20" t="s">
        <v>628</v>
      </c>
      <c r="B104" s="10" t="s">
        <v>589</v>
      </c>
      <c r="C104" s="10">
        <v>2</v>
      </c>
      <c r="D104" t="s">
        <v>571</v>
      </c>
      <c r="E104" s="20" t="s">
        <v>495</v>
      </c>
      <c r="F104" s="20" t="s">
        <v>0</v>
      </c>
      <c r="G104" t="s">
        <v>159</v>
      </c>
      <c r="H104" t="s">
        <v>161</v>
      </c>
      <c r="I104" t="s">
        <v>165</v>
      </c>
      <c r="J104" t="s">
        <v>65</v>
      </c>
      <c r="K104" s="56">
        <v>40000</v>
      </c>
      <c r="L104" s="125">
        <v>19000</v>
      </c>
      <c r="M104" s="56">
        <v>18271.650000000001</v>
      </c>
      <c r="N104" s="56">
        <v>13200</v>
      </c>
      <c r="O104" s="70">
        <f t="shared" si="20"/>
        <v>0.96166578947368431</v>
      </c>
      <c r="P104" s="57">
        <f t="shared" si="21"/>
        <v>0.45679125000000004</v>
      </c>
      <c r="Q104" s="57">
        <f t="shared" si="22"/>
        <v>1.3842159090909092</v>
      </c>
      <c r="R104" s="39">
        <f t="shared" si="23"/>
        <v>21728.35</v>
      </c>
      <c r="S104" s="58"/>
      <c r="T104" s="58">
        <v>3500</v>
      </c>
      <c r="U104" s="66">
        <v>3000</v>
      </c>
      <c r="V104" s="66">
        <v>10200</v>
      </c>
      <c r="W104" s="70">
        <f t="shared" si="16"/>
        <v>0.8571428571428571</v>
      </c>
      <c r="X104" s="57">
        <f t="shared" si="17"/>
        <v>7.4999999999999997E-2</v>
      </c>
      <c r="Y104" s="57">
        <f t="shared" si="18"/>
        <v>0.29411764705882354</v>
      </c>
      <c r="Z104" s="39">
        <f t="shared" si="19"/>
        <v>36500</v>
      </c>
    </row>
    <row r="105" spans="1:26" x14ac:dyDescent="0.25">
      <c r="A105" s="20" t="s">
        <v>636</v>
      </c>
      <c r="B105" s="10" t="s">
        <v>591</v>
      </c>
      <c r="C105" s="10">
        <v>1</v>
      </c>
      <c r="D105" t="s">
        <v>571</v>
      </c>
      <c r="E105" s="20" t="s">
        <v>495</v>
      </c>
      <c r="F105" s="20" t="s">
        <v>0</v>
      </c>
      <c r="G105" t="s">
        <v>159</v>
      </c>
      <c r="H105" t="s">
        <v>161</v>
      </c>
      <c r="I105" t="s">
        <v>166</v>
      </c>
      <c r="J105" t="s">
        <v>70</v>
      </c>
      <c r="K105" s="56">
        <v>803900</v>
      </c>
      <c r="L105" s="125">
        <v>190000</v>
      </c>
      <c r="M105" s="56">
        <v>180106.19999999998</v>
      </c>
      <c r="N105" s="56">
        <v>137484</v>
      </c>
      <c r="O105" s="70">
        <f t="shared" si="20"/>
        <v>0.94792736842105252</v>
      </c>
      <c r="P105" s="57">
        <f t="shared" si="21"/>
        <v>0.22404055230750092</v>
      </c>
      <c r="Q105" s="57">
        <f t="shared" si="22"/>
        <v>1.3100157109190886</v>
      </c>
      <c r="R105" s="39">
        <f t="shared" si="23"/>
        <v>623793.80000000005</v>
      </c>
      <c r="S105" s="58"/>
      <c r="T105" s="58">
        <v>28000</v>
      </c>
      <c r="U105" s="66">
        <v>23328</v>
      </c>
      <c r="V105" s="66">
        <v>29597.4</v>
      </c>
      <c r="W105" s="70">
        <f t="shared" si="16"/>
        <v>0.83314285714285718</v>
      </c>
      <c r="X105" s="57">
        <f t="shared" si="17"/>
        <v>2.9018534643612391E-2</v>
      </c>
      <c r="Y105" s="57">
        <f t="shared" si="18"/>
        <v>0.78817733990147776</v>
      </c>
      <c r="Z105" s="39">
        <f t="shared" si="19"/>
        <v>775900</v>
      </c>
    </row>
    <row r="106" spans="1:26" x14ac:dyDescent="0.25">
      <c r="A106" s="20" t="s">
        <v>630</v>
      </c>
      <c r="B106" s="10" t="s">
        <v>592</v>
      </c>
      <c r="C106" s="10">
        <v>2</v>
      </c>
      <c r="D106" t="s">
        <v>571</v>
      </c>
      <c r="E106" s="20" t="s">
        <v>495</v>
      </c>
      <c r="F106" s="20" t="s">
        <v>0</v>
      </c>
      <c r="G106" t="s">
        <v>159</v>
      </c>
      <c r="H106" t="s">
        <v>161</v>
      </c>
      <c r="I106" t="s">
        <v>167</v>
      </c>
      <c r="J106" t="s">
        <v>118</v>
      </c>
      <c r="K106" s="56">
        <v>35200</v>
      </c>
      <c r="L106" s="125">
        <v>17000</v>
      </c>
      <c r="M106" s="56">
        <v>16180.21</v>
      </c>
      <c r="N106" s="56">
        <v>6471.3499999999995</v>
      </c>
      <c r="O106" s="70">
        <f t="shared" si="20"/>
        <v>0.95177705882352936</v>
      </c>
      <c r="P106" s="57">
        <f t="shared" si="21"/>
        <v>0.45966505681818182</v>
      </c>
      <c r="Q106" s="57">
        <f t="shared" si="22"/>
        <v>2.5002835575266369</v>
      </c>
      <c r="R106" s="39">
        <f t="shared" si="23"/>
        <v>19019.79</v>
      </c>
      <c r="S106" s="58"/>
      <c r="T106" s="58">
        <v>3300</v>
      </c>
      <c r="U106" s="66">
        <v>2747.46</v>
      </c>
      <c r="V106" s="66">
        <v>3954.5</v>
      </c>
      <c r="W106" s="70">
        <f t="shared" si="16"/>
        <v>0.83256363636363639</v>
      </c>
      <c r="X106" s="57">
        <f t="shared" si="17"/>
        <v>7.8052840909090912E-2</v>
      </c>
      <c r="Y106" s="57">
        <f t="shared" si="18"/>
        <v>0.69476798583891775</v>
      </c>
      <c r="Z106" s="39">
        <f t="shared" si="19"/>
        <v>31900</v>
      </c>
    </row>
    <row r="107" spans="1:26" x14ac:dyDescent="0.25">
      <c r="A107" s="20" t="s">
        <v>640</v>
      </c>
      <c r="B107" s="10" t="s">
        <v>598</v>
      </c>
      <c r="C107" s="10">
        <v>1</v>
      </c>
      <c r="D107" t="s">
        <v>571</v>
      </c>
      <c r="E107" s="20" t="s">
        <v>495</v>
      </c>
      <c r="F107" s="20" t="s">
        <v>0</v>
      </c>
      <c r="G107" t="s">
        <v>159</v>
      </c>
      <c r="H107" t="s">
        <v>161</v>
      </c>
      <c r="I107" t="s">
        <v>168</v>
      </c>
      <c r="J107" t="s">
        <v>89</v>
      </c>
      <c r="K107" s="56">
        <v>15000</v>
      </c>
      <c r="L107" s="125">
        <v>15000</v>
      </c>
      <c r="M107" s="56">
        <v>14330</v>
      </c>
      <c r="N107" s="56">
        <v>10000</v>
      </c>
      <c r="O107" s="70">
        <f t="shared" si="20"/>
        <v>0.95533333333333337</v>
      </c>
      <c r="P107" s="57">
        <f t="shared" si="21"/>
        <v>0.95533333333333337</v>
      </c>
      <c r="Q107" s="57">
        <f t="shared" si="22"/>
        <v>1.4330000000000001</v>
      </c>
      <c r="R107" s="39">
        <f t="shared" si="23"/>
        <v>670</v>
      </c>
      <c r="S107" s="58"/>
      <c r="T107" s="58">
        <v>16000</v>
      </c>
      <c r="U107" s="66">
        <v>14330</v>
      </c>
      <c r="V107" s="66">
        <v>0</v>
      </c>
      <c r="W107" s="70">
        <f t="shared" si="16"/>
        <v>0.895625</v>
      </c>
      <c r="X107" s="57">
        <f t="shared" si="17"/>
        <v>0.95533333333333337</v>
      </c>
      <c r="Y107" s="57" t="e">
        <f t="shared" si="18"/>
        <v>#DIV/0!</v>
      </c>
      <c r="Z107" s="39">
        <f t="shared" si="19"/>
        <v>-1000</v>
      </c>
    </row>
    <row r="108" spans="1:26" x14ac:dyDescent="0.25">
      <c r="A108" s="20" t="s">
        <v>558</v>
      </c>
      <c r="B108" s="10" t="s">
        <v>559</v>
      </c>
      <c r="C108" s="10">
        <v>1</v>
      </c>
      <c r="D108" t="s">
        <v>571</v>
      </c>
      <c r="E108" s="20" t="s">
        <v>495</v>
      </c>
      <c r="F108" s="20" t="s">
        <v>0</v>
      </c>
      <c r="G108" t="s">
        <v>159</v>
      </c>
      <c r="H108" t="s">
        <v>161</v>
      </c>
      <c r="I108" t="s">
        <v>169</v>
      </c>
      <c r="J108" t="s">
        <v>7</v>
      </c>
      <c r="K108" s="56">
        <v>10000</v>
      </c>
      <c r="L108" s="125">
        <v>9500</v>
      </c>
      <c r="M108" s="56">
        <v>9215</v>
      </c>
      <c r="N108" s="56">
        <v>0</v>
      </c>
      <c r="O108" s="70">
        <f t="shared" si="20"/>
        <v>0.97</v>
      </c>
      <c r="P108" s="57">
        <f t="shared" si="21"/>
        <v>0.92149999999999999</v>
      </c>
      <c r="Q108" s="57" t="e">
        <f t="shared" si="22"/>
        <v>#DIV/0!</v>
      </c>
      <c r="R108" s="39">
        <f t="shared" si="23"/>
        <v>785</v>
      </c>
      <c r="S108" s="58"/>
      <c r="T108" s="58">
        <v>0</v>
      </c>
      <c r="U108" s="66">
        <v>0</v>
      </c>
      <c r="V108" s="66">
        <v>0</v>
      </c>
      <c r="W108" s="70" t="e">
        <f t="shared" si="16"/>
        <v>#DIV/0!</v>
      </c>
      <c r="X108" s="57">
        <f t="shared" si="17"/>
        <v>0</v>
      </c>
      <c r="Y108" s="57" t="e">
        <f t="shared" si="18"/>
        <v>#DIV/0!</v>
      </c>
      <c r="Z108" s="39">
        <f t="shared" si="19"/>
        <v>10000</v>
      </c>
    </row>
    <row r="109" spans="1:26" x14ac:dyDescent="0.25">
      <c r="A109" s="20" t="s">
        <v>625</v>
      </c>
      <c r="B109" s="10" t="s">
        <v>585</v>
      </c>
      <c r="C109" s="10">
        <v>1</v>
      </c>
      <c r="D109" t="s">
        <v>571</v>
      </c>
      <c r="E109" s="20" t="s">
        <v>496</v>
      </c>
      <c r="F109" s="20" t="s">
        <v>0</v>
      </c>
      <c r="G109" t="s">
        <v>170</v>
      </c>
      <c r="H109" t="s">
        <v>172</v>
      </c>
      <c r="I109" t="s">
        <v>171</v>
      </c>
      <c r="J109" t="s">
        <v>53</v>
      </c>
      <c r="K109" s="56">
        <v>16200</v>
      </c>
      <c r="L109" s="125">
        <v>2000</v>
      </c>
      <c r="M109" s="56">
        <v>1890</v>
      </c>
      <c r="N109" s="56">
        <v>12680.05</v>
      </c>
      <c r="O109" s="70">
        <f t="shared" si="20"/>
        <v>0.94499999999999995</v>
      </c>
      <c r="P109" s="57">
        <f t="shared" si="21"/>
        <v>0.11666666666666667</v>
      </c>
      <c r="Q109" s="57">
        <f t="shared" si="22"/>
        <v>0.14905304001167188</v>
      </c>
      <c r="R109" s="39">
        <f t="shared" si="23"/>
        <v>14310</v>
      </c>
      <c r="S109" s="58"/>
      <c r="T109" s="58">
        <v>0</v>
      </c>
      <c r="U109" s="66">
        <v>0</v>
      </c>
      <c r="V109" s="66">
        <v>1300</v>
      </c>
      <c r="W109" s="70" t="e">
        <f t="shared" si="16"/>
        <v>#DIV/0!</v>
      </c>
      <c r="X109" s="57">
        <f t="shared" si="17"/>
        <v>0</v>
      </c>
      <c r="Y109" s="57">
        <f t="shared" si="18"/>
        <v>0</v>
      </c>
      <c r="Z109" s="39">
        <f t="shared" si="19"/>
        <v>16200</v>
      </c>
    </row>
    <row r="110" spans="1:26" x14ac:dyDescent="0.25">
      <c r="A110" s="20" t="s">
        <v>607</v>
      </c>
      <c r="B110" s="10" t="s">
        <v>572</v>
      </c>
      <c r="C110" s="10">
        <v>1</v>
      </c>
      <c r="D110" t="s">
        <v>571</v>
      </c>
      <c r="E110" s="20" t="s">
        <v>496</v>
      </c>
      <c r="F110" s="20" t="s">
        <v>0</v>
      </c>
      <c r="G110" t="s">
        <v>170</v>
      </c>
      <c r="H110" t="s">
        <v>172</v>
      </c>
      <c r="I110" t="s">
        <v>173</v>
      </c>
      <c r="J110" t="s">
        <v>12</v>
      </c>
      <c r="K110" s="56">
        <v>10000</v>
      </c>
      <c r="L110" s="125">
        <v>5500</v>
      </c>
      <c r="M110" s="56">
        <v>5420.75</v>
      </c>
      <c r="N110" s="56">
        <v>7063.7</v>
      </c>
      <c r="O110" s="70">
        <f t="shared" si="20"/>
        <v>0.98559090909090907</v>
      </c>
      <c r="P110" s="57">
        <f t="shared" si="21"/>
        <v>0.54207499999999997</v>
      </c>
      <c r="Q110" s="57">
        <f t="shared" si="22"/>
        <v>0.76740943131786454</v>
      </c>
      <c r="R110" s="39">
        <f t="shared" si="23"/>
        <v>4579.25</v>
      </c>
      <c r="S110" s="58"/>
      <c r="T110" s="58">
        <v>5800</v>
      </c>
      <c r="U110" s="66">
        <v>5270.75</v>
      </c>
      <c r="V110" s="66">
        <v>0</v>
      </c>
      <c r="W110" s="70">
        <f t="shared" si="16"/>
        <v>0.90874999999999995</v>
      </c>
      <c r="X110" s="57">
        <f t="shared" si="17"/>
        <v>0.52707499999999996</v>
      </c>
      <c r="Y110" s="57" t="e">
        <f t="shared" si="18"/>
        <v>#DIV/0!</v>
      </c>
      <c r="Z110" s="39">
        <f t="shared" si="19"/>
        <v>4200</v>
      </c>
    </row>
    <row r="111" spans="1:26" x14ac:dyDescent="0.25">
      <c r="A111" s="20" t="s">
        <v>646</v>
      </c>
      <c r="B111" s="10" t="s">
        <v>603</v>
      </c>
      <c r="C111" s="10">
        <v>1</v>
      </c>
      <c r="D111" t="s">
        <v>571</v>
      </c>
      <c r="E111" s="20" t="s">
        <v>496</v>
      </c>
      <c r="F111" s="20" t="s">
        <v>0</v>
      </c>
      <c r="G111" t="s">
        <v>170</v>
      </c>
      <c r="H111" t="s">
        <v>172</v>
      </c>
      <c r="I111" t="s">
        <v>564</v>
      </c>
      <c r="J111" t="s">
        <v>105</v>
      </c>
      <c r="K111" s="12">
        <v>0</v>
      </c>
      <c r="L111" s="125">
        <v>0</v>
      </c>
      <c r="M111" s="56">
        <v>0</v>
      </c>
      <c r="N111" s="56">
        <v>3668</v>
      </c>
      <c r="O111" s="70" t="e">
        <f t="shared" si="20"/>
        <v>#DIV/0!</v>
      </c>
      <c r="P111" s="57" t="e">
        <f t="shared" si="21"/>
        <v>#DIV/0!</v>
      </c>
      <c r="Q111" s="57">
        <f t="shared" si="22"/>
        <v>0</v>
      </c>
      <c r="R111" s="39">
        <f t="shared" si="23"/>
        <v>0</v>
      </c>
      <c r="T111" s="58">
        <v>0</v>
      </c>
      <c r="V111" s="12">
        <v>3668</v>
      </c>
      <c r="W111" s="70" t="e">
        <f t="shared" si="16"/>
        <v>#DIV/0!</v>
      </c>
      <c r="X111" s="57" t="e">
        <f t="shared" si="17"/>
        <v>#DIV/0!</v>
      </c>
      <c r="Y111" s="57">
        <f t="shared" si="18"/>
        <v>0</v>
      </c>
      <c r="Z111" s="39">
        <f t="shared" si="19"/>
        <v>0</v>
      </c>
    </row>
    <row r="112" spans="1:26" x14ac:dyDescent="0.25">
      <c r="A112" s="20" t="s">
        <v>609</v>
      </c>
      <c r="B112" s="10" t="s">
        <v>573</v>
      </c>
      <c r="C112" s="10">
        <v>1</v>
      </c>
      <c r="D112" t="s">
        <v>571</v>
      </c>
      <c r="E112" s="20" t="s">
        <v>496</v>
      </c>
      <c r="F112" s="20" t="s">
        <v>0</v>
      </c>
      <c r="G112" t="s">
        <v>170</v>
      </c>
      <c r="H112" t="s">
        <v>172</v>
      </c>
      <c r="I112" t="s">
        <v>174</v>
      </c>
      <c r="J112" t="s">
        <v>16</v>
      </c>
      <c r="K112" s="56">
        <v>20000</v>
      </c>
      <c r="L112" s="125">
        <v>0</v>
      </c>
      <c r="M112" s="56">
        <v>0</v>
      </c>
      <c r="N112" s="56">
        <v>0</v>
      </c>
      <c r="O112" s="70" t="e">
        <f t="shared" si="20"/>
        <v>#DIV/0!</v>
      </c>
      <c r="P112" s="57">
        <f t="shared" si="21"/>
        <v>0</v>
      </c>
      <c r="Q112" s="57" t="e">
        <f t="shared" si="22"/>
        <v>#DIV/0!</v>
      </c>
      <c r="R112" s="39">
        <f t="shared" si="23"/>
        <v>20000</v>
      </c>
      <c r="S112" s="58"/>
      <c r="T112" s="58">
        <v>0</v>
      </c>
      <c r="U112" s="66">
        <v>0</v>
      </c>
      <c r="V112" s="66">
        <v>0</v>
      </c>
      <c r="W112" s="70" t="e">
        <f t="shared" si="16"/>
        <v>#DIV/0!</v>
      </c>
      <c r="X112" s="57">
        <f t="shared" si="17"/>
        <v>0</v>
      </c>
      <c r="Y112" s="57" t="e">
        <f t="shared" si="18"/>
        <v>#DIV/0!</v>
      </c>
      <c r="Z112" s="39">
        <f t="shared" si="19"/>
        <v>20000</v>
      </c>
    </row>
    <row r="113" spans="1:26" x14ac:dyDescent="0.25">
      <c r="A113" s="20" t="s">
        <v>608</v>
      </c>
      <c r="B113" s="10" t="s">
        <v>574</v>
      </c>
      <c r="C113" s="10">
        <v>1</v>
      </c>
      <c r="D113" t="s">
        <v>571</v>
      </c>
      <c r="E113" s="20" t="s">
        <v>496</v>
      </c>
      <c r="F113" s="20" t="s">
        <v>0</v>
      </c>
      <c r="G113" t="s">
        <v>170</v>
      </c>
      <c r="H113" t="s">
        <v>172</v>
      </c>
      <c r="I113" t="s">
        <v>175</v>
      </c>
      <c r="J113" t="s">
        <v>18</v>
      </c>
      <c r="K113" s="56">
        <v>37000</v>
      </c>
      <c r="L113" s="125">
        <v>18000</v>
      </c>
      <c r="M113" s="56">
        <v>17835.170000000002</v>
      </c>
      <c r="N113" s="56">
        <v>19988.599999999999</v>
      </c>
      <c r="O113" s="70">
        <f t="shared" si="20"/>
        <v>0.99084277777777785</v>
      </c>
      <c r="P113" s="57">
        <f t="shared" si="21"/>
        <v>0.48203162162162166</v>
      </c>
      <c r="Q113" s="57">
        <f t="shared" si="22"/>
        <v>0.89226709224257839</v>
      </c>
      <c r="R113" s="39">
        <f t="shared" si="23"/>
        <v>19164.829999999998</v>
      </c>
      <c r="S113" s="58"/>
      <c r="T113" s="58">
        <v>0</v>
      </c>
      <c r="U113" s="66">
        <v>0</v>
      </c>
      <c r="V113" s="66">
        <v>8981.4</v>
      </c>
      <c r="W113" s="70" t="e">
        <f t="shared" ref="W113:W199" si="24">U113/T113</f>
        <v>#DIV/0!</v>
      </c>
      <c r="X113" s="57">
        <f t="shared" ref="X113:X199" si="25">U113/K113</f>
        <v>0</v>
      </c>
      <c r="Y113" s="57">
        <f t="shared" ref="Y113:Y199" si="26">U113/V113</f>
        <v>0</v>
      </c>
      <c r="Z113" s="39">
        <f t="shared" ref="Z113:Z199" si="27">K113-T113</f>
        <v>37000</v>
      </c>
    </row>
    <row r="114" spans="1:26" x14ac:dyDescent="0.25">
      <c r="A114" s="20" t="s">
        <v>631</v>
      </c>
      <c r="B114" s="10" t="s">
        <v>580</v>
      </c>
      <c r="C114" s="10">
        <v>2</v>
      </c>
      <c r="D114" t="s">
        <v>571</v>
      </c>
      <c r="E114" s="20" t="s">
        <v>496</v>
      </c>
      <c r="F114" s="20" t="s">
        <v>0</v>
      </c>
      <c r="G114" t="s">
        <v>170</v>
      </c>
      <c r="H114" t="s">
        <v>172</v>
      </c>
      <c r="I114" t="s">
        <v>885</v>
      </c>
      <c r="J114" t="s">
        <v>34</v>
      </c>
      <c r="K114" s="56">
        <v>0</v>
      </c>
      <c r="L114" s="125">
        <v>0</v>
      </c>
      <c r="M114" s="56">
        <v>0</v>
      </c>
      <c r="N114" s="119">
        <v>724.55</v>
      </c>
      <c r="O114" s="70" t="e">
        <f t="shared" si="20"/>
        <v>#DIV/0!</v>
      </c>
      <c r="P114" s="57" t="e">
        <f t="shared" si="21"/>
        <v>#DIV/0!</v>
      </c>
      <c r="Q114" s="57">
        <f t="shared" si="22"/>
        <v>0</v>
      </c>
      <c r="R114" s="39">
        <f t="shared" si="23"/>
        <v>0</v>
      </c>
      <c r="S114" s="58"/>
      <c r="T114" s="58"/>
      <c r="U114" s="66"/>
      <c r="V114" s="66"/>
      <c r="W114" s="70"/>
      <c r="X114" s="57"/>
      <c r="Y114" s="57"/>
    </row>
    <row r="115" spans="1:26" x14ac:dyDescent="0.25">
      <c r="A115" s="20" t="s">
        <v>628</v>
      </c>
      <c r="B115" s="10" t="s">
        <v>589</v>
      </c>
      <c r="C115" s="10">
        <v>2</v>
      </c>
      <c r="D115" t="s">
        <v>571</v>
      </c>
      <c r="E115" s="20" t="s">
        <v>496</v>
      </c>
      <c r="F115" s="20" t="s">
        <v>0</v>
      </c>
      <c r="G115" t="s">
        <v>170</v>
      </c>
      <c r="H115" t="s">
        <v>172</v>
      </c>
      <c r="I115" t="s">
        <v>176</v>
      </c>
      <c r="J115" t="s">
        <v>65</v>
      </c>
      <c r="K115" s="56">
        <v>40000</v>
      </c>
      <c r="L115" s="125">
        <v>16000</v>
      </c>
      <c r="M115" s="56">
        <v>15500</v>
      </c>
      <c r="N115" s="56">
        <v>8550</v>
      </c>
      <c r="O115" s="70">
        <f t="shared" si="20"/>
        <v>0.96875</v>
      </c>
      <c r="P115" s="57">
        <f t="shared" si="21"/>
        <v>0.38750000000000001</v>
      </c>
      <c r="Q115" s="57">
        <f t="shared" si="22"/>
        <v>1.8128654970760234</v>
      </c>
      <c r="R115" s="39">
        <f t="shared" si="23"/>
        <v>24500</v>
      </c>
      <c r="S115" s="58"/>
      <c r="T115" s="58">
        <v>5500</v>
      </c>
      <c r="U115" s="66">
        <v>4500</v>
      </c>
      <c r="V115" s="66">
        <v>3150</v>
      </c>
      <c r="W115" s="70">
        <f t="shared" si="24"/>
        <v>0.81818181818181823</v>
      </c>
      <c r="X115" s="57">
        <f t="shared" si="25"/>
        <v>0.1125</v>
      </c>
      <c r="Y115" s="57">
        <f t="shared" si="26"/>
        <v>1.4285714285714286</v>
      </c>
      <c r="Z115" s="39">
        <f t="shared" si="27"/>
        <v>34500</v>
      </c>
    </row>
    <row r="116" spans="1:26" x14ac:dyDescent="0.25">
      <c r="A116" s="20" t="s">
        <v>636</v>
      </c>
      <c r="B116" s="10" t="s">
        <v>591</v>
      </c>
      <c r="C116" s="10">
        <v>1</v>
      </c>
      <c r="D116" t="s">
        <v>571</v>
      </c>
      <c r="E116" s="20" t="s">
        <v>496</v>
      </c>
      <c r="F116" s="20" t="s">
        <v>0</v>
      </c>
      <c r="G116" t="s">
        <v>170</v>
      </c>
      <c r="H116" t="s">
        <v>172</v>
      </c>
      <c r="I116" t="s">
        <v>177</v>
      </c>
      <c r="J116" t="s">
        <v>70</v>
      </c>
      <c r="K116" s="56">
        <v>690000</v>
      </c>
      <c r="L116" s="125">
        <v>440000</v>
      </c>
      <c r="M116" s="56">
        <v>437059.79999999987</v>
      </c>
      <c r="N116" s="56">
        <v>70599.600000000006</v>
      </c>
      <c r="O116" s="70">
        <f t="shared" si="20"/>
        <v>0.99331772727272694</v>
      </c>
      <c r="P116" s="57">
        <f t="shared" si="21"/>
        <v>0.63341999999999976</v>
      </c>
      <c r="Q116" s="57">
        <f t="shared" si="22"/>
        <v>6.1906837999082125</v>
      </c>
      <c r="R116" s="39">
        <f t="shared" si="23"/>
        <v>252940.20000000013</v>
      </c>
      <c r="S116" s="58"/>
      <c r="T116" s="58">
        <v>250000</v>
      </c>
      <c r="U116" s="66">
        <v>236293.19999999992</v>
      </c>
      <c r="V116" s="66">
        <v>28803.599999999999</v>
      </c>
      <c r="W116" s="70">
        <f t="shared" si="24"/>
        <v>0.9451727999999997</v>
      </c>
      <c r="X116" s="57">
        <f t="shared" si="25"/>
        <v>0.34245391304347816</v>
      </c>
      <c r="Y116" s="57">
        <f t="shared" si="26"/>
        <v>8.2035995500562411</v>
      </c>
      <c r="Z116" s="39">
        <f t="shared" si="27"/>
        <v>440000</v>
      </c>
    </row>
    <row r="117" spans="1:26" x14ac:dyDescent="0.25">
      <c r="A117" s="20" t="s">
        <v>630</v>
      </c>
      <c r="B117" s="10" t="s">
        <v>592</v>
      </c>
      <c r="C117" s="10">
        <v>2</v>
      </c>
      <c r="D117" t="s">
        <v>571</v>
      </c>
      <c r="E117" s="20" t="s">
        <v>496</v>
      </c>
      <c r="F117" s="20" t="s">
        <v>0</v>
      </c>
      <c r="G117" t="s">
        <v>170</v>
      </c>
      <c r="H117" t="s">
        <v>172</v>
      </c>
      <c r="I117" t="s">
        <v>178</v>
      </c>
      <c r="J117" t="s">
        <v>118</v>
      </c>
      <c r="K117" s="56">
        <v>35200</v>
      </c>
      <c r="L117" s="125">
        <v>28000</v>
      </c>
      <c r="M117" s="56">
        <v>27147.129999999997</v>
      </c>
      <c r="N117" s="56">
        <v>15723.119999999999</v>
      </c>
      <c r="O117" s="70">
        <f t="shared" si="20"/>
        <v>0.96954035714285702</v>
      </c>
      <c r="P117" s="57">
        <f t="shared" si="21"/>
        <v>0.77122528409090907</v>
      </c>
      <c r="Q117" s="57">
        <f t="shared" si="22"/>
        <v>1.7265739878599158</v>
      </c>
      <c r="R117" s="39">
        <f t="shared" si="23"/>
        <v>8052.8700000000026</v>
      </c>
      <c r="S117" s="58"/>
      <c r="T117" s="58">
        <v>15000</v>
      </c>
      <c r="U117" s="66">
        <v>12812.79</v>
      </c>
      <c r="V117" s="66">
        <v>8944.09</v>
      </c>
      <c r="W117" s="70">
        <f t="shared" si="24"/>
        <v>0.85418600000000011</v>
      </c>
      <c r="X117" s="57">
        <f t="shared" si="25"/>
        <v>0.36399971590909092</v>
      </c>
      <c r="Y117" s="57">
        <f t="shared" si="26"/>
        <v>1.432542606346761</v>
      </c>
      <c r="Z117" s="39">
        <f t="shared" si="27"/>
        <v>20200</v>
      </c>
    </row>
    <row r="118" spans="1:26" x14ac:dyDescent="0.25">
      <c r="A118" s="20" t="s">
        <v>627</v>
      </c>
      <c r="B118" s="10" t="s">
        <v>605</v>
      </c>
      <c r="C118" s="10">
        <v>1</v>
      </c>
      <c r="D118" t="s">
        <v>571</v>
      </c>
      <c r="E118" s="20" t="s">
        <v>496</v>
      </c>
      <c r="F118" s="20" t="s">
        <v>0</v>
      </c>
      <c r="G118" t="s">
        <v>170</v>
      </c>
      <c r="H118" t="s">
        <v>172</v>
      </c>
      <c r="I118" t="s">
        <v>890</v>
      </c>
      <c r="J118" t="s">
        <v>570</v>
      </c>
      <c r="K118" s="56">
        <v>0</v>
      </c>
      <c r="L118" s="125">
        <v>0</v>
      </c>
      <c r="M118" s="56">
        <v>0</v>
      </c>
      <c r="N118" s="119">
        <v>1080</v>
      </c>
      <c r="O118" s="70" t="e">
        <f t="shared" si="20"/>
        <v>#DIV/0!</v>
      </c>
      <c r="P118" s="57" t="e">
        <f t="shared" si="21"/>
        <v>#DIV/0!</v>
      </c>
      <c r="Q118" s="57">
        <f t="shared" si="22"/>
        <v>0</v>
      </c>
      <c r="R118" s="39">
        <f t="shared" si="23"/>
        <v>0</v>
      </c>
      <c r="S118" s="58"/>
      <c r="T118" s="58"/>
      <c r="U118" s="66"/>
      <c r="V118" s="66"/>
      <c r="W118" s="70"/>
      <c r="X118" s="57"/>
      <c r="Y118" s="57"/>
    </row>
    <row r="119" spans="1:26" x14ac:dyDescent="0.25">
      <c r="A119" s="20" t="s">
        <v>625</v>
      </c>
      <c r="B119" s="10" t="s">
        <v>585</v>
      </c>
      <c r="C119" s="10">
        <v>1</v>
      </c>
      <c r="D119" t="s">
        <v>571</v>
      </c>
      <c r="E119" s="20" t="s">
        <v>497</v>
      </c>
      <c r="F119" s="20" t="s">
        <v>0</v>
      </c>
      <c r="G119" t="s">
        <v>179</v>
      </c>
      <c r="H119" t="s">
        <v>181</v>
      </c>
      <c r="I119" t="s">
        <v>180</v>
      </c>
      <c r="J119" t="s">
        <v>53</v>
      </c>
      <c r="K119" s="56">
        <v>14700</v>
      </c>
      <c r="L119" s="125">
        <v>0</v>
      </c>
      <c r="M119" s="56">
        <v>0</v>
      </c>
      <c r="N119" s="56">
        <v>2350</v>
      </c>
      <c r="O119" s="70" t="e">
        <f t="shared" si="20"/>
        <v>#DIV/0!</v>
      </c>
      <c r="P119" s="57">
        <f t="shared" si="21"/>
        <v>0</v>
      </c>
      <c r="Q119" s="57">
        <f t="shared" si="22"/>
        <v>0</v>
      </c>
      <c r="R119" s="39">
        <f t="shared" si="23"/>
        <v>14700</v>
      </c>
      <c r="S119" s="58"/>
      <c r="T119" s="58">
        <v>0</v>
      </c>
      <c r="U119" s="66">
        <v>0</v>
      </c>
      <c r="V119" s="66">
        <v>1500</v>
      </c>
      <c r="W119" s="70" t="e">
        <f t="shared" si="24"/>
        <v>#DIV/0!</v>
      </c>
      <c r="X119" s="57">
        <f t="shared" si="25"/>
        <v>0</v>
      </c>
      <c r="Y119" s="57">
        <f t="shared" si="26"/>
        <v>0</v>
      </c>
      <c r="Z119" s="39">
        <f t="shared" si="27"/>
        <v>14700</v>
      </c>
    </row>
    <row r="120" spans="1:26" x14ac:dyDescent="0.25">
      <c r="A120" s="20" t="s">
        <v>607</v>
      </c>
      <c r="B120" s="10" t="s">
        <v>572</v>
      </c>
      <c r="C120" s="10">
        <v>1</v>
      </c>
      <c r="D120" t="s">
        <v>571</v>
      </c>
      <c r="E120" s="20" t="s">
        <v>497</v>
      </c>
      <c r="F120" s="20" t="s">
        <v>0</v>
      </c>
      <c r="G120" t="s">
        <v>179</v>
      </c>
      <c r="H120" t="s">
        <v>181</v>
      </c>
      <c r="I120" t="s">
        <v>182</v>
      </c>
      <c r="J120" t="s">
        <v>12</v>
      </c>
      <c r="K120" s="56">
        <v>22000</v>
      </c>
      <c r="L120" s="125">
        <v>22000</v>
      </c>
      <c r="M120" s="56">
        <v>21531.3</v>
      </c>
      <c r="N120" s="56">
        <v>0</v>
      </c>
      <c r="O120" s="70">
        <f t="shared" si="20"/>
        <v>0.97869545454545448</v>
      </c>
      <c r="P120" s="57">
        <f t="shared" si="21"/>
        <v>0.97869545454545448</v>
      </c>
      <c r="Q120" s="57" t="e">
        <f t="shared" si="22"/>
        <v>#DIV/0!</v>
      </c>
      <c r="R120" s="39">
        <f t="shared" si="23"/>
        <v>468.70000000000073</v>
      </c>
      <c r="S120" s="58"/>
      <c r="T120" s="58">
        <v>25000</v>
      </c>
      <c r="U120" s="66">
        <v>21531.3</v>
      </c>
      <c r="V120" s="66">
        <v>0</v>
      </c>
      <c r="W120" s="70">
        <f t="shared" si="24"/>
        <v>0.86125200000000002</v>
      </c>
      <c r="X120" s="57">
        <f t="shared" si="25"/>
        <v>0.97869545454545448</v>
      </c>
      <c r="Y120" s="57" t="e">
        <f t="shared" si="26"/>
        <v>#DIV/0!</v>
      </c>
      <c r="Z120" s="39">
        <f t="shared" si="27"/>
        <v>-3000</v>
      </c>
    </row>
    <row r="121" spans="1:26" x14ac:dyDescent="0.25">
      <c r="A121" s="20" t="s">
        <v>646</v>
      </c>
      <c r="B121" s="10" t="s">
        <v>603</v>
      </c>
      <c r="C121" s="10">
        <v>1</v>
      </c>
      <c r="D121" t="s">
        <v>571</v>
      </c>
      <c r="E121" s="20" t="s">
        <v>497</v>
      </c>
      <c r="F121" s="20" t="s">
        <v>0</v>
      </c>
      <c r="G121" t="s">
        <v>179</v>
      </c>
      <c r="H121" t="s">
        <v>181</v>
      </c>
      <c r="I121" t="s">
        <v>183</v>
      </c>
      <c r="J121" t="s">
        <v>105</v>
      </c>
      <c r="K121" s="56">
        <v>6000</v>
      </c>
      <c r="L121" s="125">
        <v>0</v>
      </c>
      <c r="M121" s="56">
        <v>0</v>
      </c>
      <c r="N121" s="56">
        <v>0</v>
      </c>
      <c r="O121" s="70" t="e">
        <f t="shared" si="20"/>
        <v>#DIV/0!</v>
      </c>
      <c r="P121" s="57">
        <f t="shared" si="21"/>
        <v>0</v>
      </c>
      <c r="Q121" s="57" t="e">
        <f t="shared" si="22"/>
        <v>#DIV/0!</v>
      </c>
      <c r="R121" s="39">
        <f t="shared" si="23"/>
        <v>6000</v>
      </c>
      <c r="S121" s="58"/>
      <c r="T121" s="58">
        <v>0</v>
      </c>
      <c r="U121" s="66">
        <v>0</v>
      </c>
      <c r="V121" s="66">
        <v>0</v>
      </c>
      <c r="W121" s="70" t="e">
        <f t="shared" si="24"/>
        <v>#DIV/0!</v>
      </c>
      <c r="X121" s="57">
        <f t="shared" si="25"/>
        <v>0</v>
      </c>
      <c r="Y121" s="57" t="e">
        <f t="shared" si="26"/>
        <v>#DIV/0!</v>
      </c>
      <c r="Z121" s="39">
        <f t="shared" si="27"/>
        <v>6000</v>
      </c>
    </row>
    <row r="122" spans="1:26" x14ac:dyDescent="0.25">
      <c r="A122" s="20" t="s">
        <v>609</v>
      </c>
      <c r="B122" s="10" t="s">
        <v>573</v>
      </c>
      <c r="C122" s="10">
        <v>1</v>
      </c>
      <c r="D122" t="s">
        <v>571</v>
      </c>
      <c r="E122" s="20" t="s">
        <v>497</v>
      </c>
      <c r="F122" s="20" t="s">
        <v>0</v>
      </c>
      <c r="G122" t="s">
        <v>179</v>
      </c>
      <c r="H122" t="s">
        <v>181</v>
      </c>
      <c r="I122" t="s">
        <v>184</v>
      </c>
      <c r="J122" t="s">
        <v>16</v>
      </c>
      <c r="K122" s="56">
        <v>25000</v>
      </c>
      <c r="L122" s="125">
        <v>7000</v>
      </c>
      <c r="M122" s="56">
        <v>6930</v>
      </c>
      <c r="N122" s="56">
        <v>5040</v>
      </c>
      <c r="O122" s="70">
        <f t="shared" si="20"/>
        <v>0.99</v>
      </c>
      <c r="P122" s="57">
        <f t="shared" si="21"/>
        <v>0.2772</v>
      </c>
      <c r="Q122" s="57">
        <f t="shared" si="22"/>
        <v>1.375</v>
      </c>
      <c r="R122" s="39">
        <f t="shared" si="23"/>
        <v>18070</v>
      </c>
      <c r="S122" s="58"/>
      <c r="T122" s="58">
        <v>8000</v>
      </c>
      <c r="U122" s="66">
        <v>6930</v>
      </c>
      <c r="V122" s="66">
        <v>4565</v>
      </c>
      <c r="W122" s="70">
        <f t="shared" si="24"/>
        <v>0.86624999999999996</v>
      </c>
      <c r="X122" s="57">
        <f t="shared" si="25"/>
        <v>0.2772</v>
      </c>
      <c r="Y122" s="57">
        <f t="shared" si="26"/>
        <v>1.5180722891566265</v>
      </c>
      <c r="Z122" s="39">
        <f t="shared" si="27"/>
        <v>17000</v>
      </c>
    </row>
    <row r="123" spans="1:26" x14ac:dyDescent="0.25">
      <c r="A123" s="20" t="s">
        <v>608</v>
      </c>
      <c r="B123" s="10" t="s">
        <v>574</v>
      </c>
      <c r="C123" s="10">
        <v>1</v>
      </c>
      <c r="D123" t="s">
        <v>571</v>
      </c>
      <c r="E123" s="20" t="s">
        <v>497</v>
      </c>
      <c r="F123" s="20" t="s">
        <v>0</v>
      </c>
      <c r="G123" t="s">
        <v>179</v>
      </c>
      <c r="H123" t="s">
        <v>181</v>
      </c>
      <c r="I123" t="s">
        <v>185</v>
      </c>
      <c r="J123" t="s">
        <v>18</v>
      </c>
      <c r="K123" s="56">
        <v>55000</v>
      </c>
      <c r="L123" s="125">
        <v>25000</v>
      </c>
      <c r="M123" s="56">
        <v>23419.23</v>
      </c>
      <c r="N123" s="56">
        <v>20528.25</v>
      </c>
      <c r="O123" s="70">
        <f t="shared" si="20"/>
        <v>0.93676919999999997</v>
      </c>
      <c r="P123" s="57">
        <f t="shared" si="21"/>
        <v>0.4258041818181818</v>
      </c>
      <c r="Q123" s="57">
        <f t="shared" si="22"/>
        <v>1.1408293449271125</v>
      </c>
      <c r="R123" s="39">
        <f t="shared" si="23"/>
        <v>31580.77</v>
      </c>
      <c r="S123" s="58"/>
      <c r="T123" s="58">
        <v>10000</v>
      </c>
      <c r="U123" s="66">
        <v>8921.2799999999988</v>
      </c>
      <c r="V123" s="66">
        <v>10089.6</v>
      </c>
      <c r="W123" s="70">
        <f t="shared" si="24"/>
        <v>0.89212799999999992</v>
      </c>
      <c r="X123" s="57">
        <f t="shared" si="25"/>
        <v>0.16220509090909088</v>
      </c>
      <c r="Y123" s="57">
        <f t="shared" si="26"/>
        <v>0.88420551855375817</v>
      </c>
      <c r="Z123" s="39">
        <f t="shared" si="27"/>
        <v>45000</v>
      </c>
    </row>
    <row r="124" spans="1:26" x14ac:dyDescent="0.25">
      <c r="A124" s="20" t="s">
        <v>628</v>
      </c>
      <c r="B124" s="10" t="s">
        <v>589</v>
      </c>
      <c r="C124" s="10">
        <v>2</v>
      </c>
      <c r="D124" t="s">
        <v>571</v>
      </c>
      <c r="E124" s="20" t="s">
        <v>497</v>
      </c>
      <c r="F124" s="20" t="s">
        <v>0</v>
      </c>
      <c r="G124" t="s">
        <v>179</v>
      </c>
      <c r="H124" t="s">
        <v>181</v>
      </c>
      <c r="I124" t="s">
        <v>186</v>
      </c>
      <c r="J124" t="s">
        <v>65</v>
      </c>
      <c r="K124" s="56">
        <v>60000</v>
      </c>
      <c r="L124" s="125">
        <v>14000</v>
      </c>
      <c r="M124" s="56">
        <v>13498</v>
      </c>
      <c r="N124" s="56">
        <v>8030</v>
      </c>
      <c r="O124" s="70">
        <f t="shared" si="20"/>
        <v>0.96414285714285719</v>
      </c>
      <c r="P124" s="57">
        <f t="shared" si="21"/>
        <v>0.22496666666666668</v>
      </c>
      <c r="Q124" s="57">
        <f t="shared" si="22"/>
        <v>1.6809464508094645</v>
      </c>
      <c r="R124" s="39">
        <f t="shared" si="23"/>
        <v>46502</v>
      </c>
      <c r="S124" s="58"/>
      <c r="T124" s="58">
        <v>1100</v>
      </c>
      <c r="U124" s="66">
        <v>948</v>
      </c>
      <c r="V124" s="66">
        <v>3080</v>
      </c>
      <c r="W124" s="70">
        <f t="shared" si="24"/>
        <v>0.86181818181818182</v>
      </c>
      <c r="X124" s="57">
        <f t="shared" si="25"/>
        <v>1.5800000000000002E-2</v>
      </c>
      <c r="Y124" s="57">
        <f t="shared" si="26"/>
        <v>0.30779220779220778</v>
      </c>
      <c r="Z124" s="39">
        <f t="shared" si="27"/>
        <v>58900</v>
      </c>
    </row>
    <row r="125" spans="1:26" x14ac:dyDescent="0.25">
      <c r="A125" s="20" t="s">
        <v>636</v>
      </c>
      <c r="B125" s="10" t="s">
        <v>591</v>
      </c>
      <c r="C125" s="10">
        <v>1</v>
      </c>
      <c r="D125" t="s">
        <v>571</v>
      </c>
      <c r="E125" s="20" t="s">
        <v>497</v>
      </c>
      <c r="F125" s="20" t="s">
        <v>0</v>
      </c>
      <c r="G125" t="s">
        <v>179</v>
      </c>
      <c r="H125" t="s">
        <v>181</v>
      </c>
      <c r="I125" t="s">
        <v>187</v>
      </c>
      <c r="J125" t="s">
        <v>70</v>
      </c>
      <c r="K125" s="56">
        <v>2958000</v>
      </c>
      <c r="L125" s="125">
        <v>1000000</v>
      </c>
      <c r="M125" s="56">
        <v>941268.6</v>
      </c>
      <c r="N125" s="56">
        <v>256429.80000000005</v>
      </c>
      <c r="O125" s="70">
        <f t="shared" si="20"/>
        <v>0.94126860000000001</v>
      </c>
      <c r="P125" s="57">
        <f t="shared" si="21"/>
        <v>0.31821115618661255</v>
      </c>
      <c r="Q125" s="57">
        <f t="shared" si="22"/>
        <v>3.6706677617032022</v>
      </c>
      <c r="R125" s="39">
        <f t="shared" si="23"/>
        <v>2016731.4</v>
      </c>
      <c r="S125" s="58"/>
      <c r="T125" s="58">
        <v>430000</v>
      </c>
      <c r="U125" s="66">
        <v>417706.2</v>
      </c>
      <c r="V125" s="66">
        <v>74082.600000000006</v>
      </c>
      <c r="W125" s="70">
        <f t="shared" si="24"/>
        <v>0.97140976744186047</v>
      </c>
      <c r="X125" s="57">
        <f t="shared" si="25"/>
        <v>0.14121237322515212</v>
      </c>
      <c r="Y125" s="57">
        <f t="shared" si="26"/>
        <v>5.6383847219185066</v>
      </c>
      <c r="Z125" s="39">
        <f t="shared" si="27"/>
        <v>2528000</v>
      </c>
    </row>
    <row r="126" spans="1:26" x14ac:dyDescent="0.25">
      <c r="A126" s="20" t="s">
        <v>630</v>
      </c>
      <c r="B126" s="10" t="s">
        <v>592</v>
      </c>
      <c r="C126" s="10">
        <v>2</v>
      </c>
      <c r="D126" t="s">
        <v>571</v>
      </c>
      <c r="E126" s="20" t="s">
        <v>497</v>
      </c>
      <c r="F126" s="20" t="s">
        <v>0</v>
      </c>
      <c r="G126" t="s">
        <v>179</v>
      </c>
      <c r="H126" t="s">
        <v>181</v>
      </c>
      <c r="I126" t="s">
        <v>188</v>
      </c>
      <c r="J126" t="s">
        <v>118</v>
      </c>
      <c r="K126" s="56">
        <v>141900</v>
      </c>
      <c r="L126" s="125">
        <v>60000</v>
      </c>
      <c r="M126" s="56">
        <v>58618.22</v>
      </c>
      <c r="N126" s="56">
        <v>46935.64</v>
      </c>
      <c r="O126" s="70">
        <f t="shared" si="20"/>
        <v>0.97697033333333339</v>
      </c>
      <c r="P126" s="57">
        <f t="shared" si="21"/>
        <v>0.41309527836504584</v>
      </c>
      <c r="Q126" s="57">
        <f t="shared" si="22"/>
        <v>1.2489063747719218</v>
      </c>
      <c r="R126" s="39">
        <f t="shared" si="23"/>
        <v>83281.78</v>
      </c>
      <c r="S126" s="58"/>
      <c r="T126" s="58">
        <v>28000</v>
      </c>
      <c r="U126" s="66">
        <v>25155.869999999995</v>
      </c>
      <c r="V126" s="66">
        <v>27004.32</v>
      </c>
      <c r="W126" s="70">
        <f t="shared" si="24"/>
        <v>0.89842392857142839</v>
      </c>
      <c r="X126" s="57">
        <f t="shared" si="25"/>
        <v>0.17727885835095133</v>
      </c>
      <c r="Y126" s="57">
        <f t="shared" si="26"/>
        <v>0.93154984091434245</v>
      </c>
      <c r="Z126" s="39">
        <f t="shared" si="27"/>
        <v>113900</v>
      </c>
    </row>
    <row r="127" spans="1:26" x14ac:dyDescent="0.25">
      <c r="A127" s="20" t="s">
        <v>641</v>
      </c>
      <c r="B127" s="10" t="s">
        <v>599</v>
      </c>
      <c r="C127" s="10">
        <v>1</v>
      </c>
      <c r="D127" t="s">
        <v>571</v>
      </c>
      <c r="E127" s="20" t="s">
        <v>497</v>
      </c>
      <c r="F127" s="20" t="s">
        <v>0</v>
      </c>
      <c r="G127" t="s">
        <v>179</v>
      </c>
      <c r="H127" t="s">
        <v>181</v>
      </c>
      <c r="I127" t="s">
        <v>738</v>
      </c>
      <c r="J127" t="s">
        <v>91</v>
      </c>
      <c r="K127" s="119">
        <v>36100</v>
      </c>
      <c r="L127" s="125">
        <v>0</v>
      </c>
      <c r="M127" s="56">
        <v>0</v>
      </c>
      <c r="N127" s="56">
        <v>0</v>
      </c>
      <c r="O127" s="70" t="e">
        <f t="shared" si="20"/>
        <v>#DIV/0!</v>
      </c>
      <c r="P127" s="57">
        <f t="shared" si="21"/>
        <v>0</v>
      </c>
      <c r="Q127" s="57" t="e">
        <f t="shared" si="22"/>
        <v>#DIV/0!</v>
      </c>
      <c r="R127" s="39">
        <f t="shared" si="23"/>
        <v>36100</v>
      </c>
      <c r="S127" s="58"/>
      <c r="T127" s="58"/>
      <c r="U127" s="66"/>
      <c r="V127" s="66"/>
      <c r="W127" s="70"/>
      <c r="X127" s="57"/>
      <c r="Y127" s="57"/>
    </row>
    <row r="128" spans="1:26" x14ac:dyDescent="0.25">
      <c r="A128" s="20" t="s">
        <v>558</v>
      </c>
      <c r="B128" s="10" t="s">
        <v>559</v>
      </c>
      <c r="C128" s="10">
        <v>1</v>
      </c>
      <c r="D128" t="s">
        <v>571</v>
      </c>
      <c r="E128" s="20" t="s">
        <v>497</v>
      </c>
      <c r="F128" s="20" t="s">
        <v>0</v>
      </c>
      <c r="G128" t="s">
        <v>179</v>
      </c>
      <c r="H128" t="s">
        <v>181</v>
      </c>
      <c r="I128" t="s">
        <v>740</v>
      </c>
      <c r="J128" t="s">
        <v>7</v>
      </c>
      <c r="K128" s="119">
        <v>10000</v>
      </c>
      <c r="L128" s="125">
        <v>0</v>
      </c>
      <c r="M128" s="56">
        <v>0</v>
      </c>
      <c r="N128" s="56">
        <v>0</v>
      </c>
      <c r="O128" s="70" t="e">
        <f t="shared" si="20"/>
        <v>#DIV/0!</v>
      </c>
      <c r="P128" s="57">
        <f t="shared" si="21"/>
        <v>0</v>
      </c>
      <c r="Q128" s="57" t="e">
        <f t="shared" si="22"/>
        <v>#DIV/0!</v>
      </c>
      <c r="R128" s="39">
        <f t="shared" si="23"/>
        <v>10000</v>
      </c>
      <c r="S128" s="58"/>
      <c r="T128" s="58"/>
      <c r="U128" s="66"/>
      <c r="V128" s="66"/>
      <c r="W128" s="70"/>
      <c r="X128" s="57"/>
      <c r="Y128" s="57"/>
    </row>
    <row r="129" spans="1:26" x14ac:dyDescent="0.25">
      <c r="A129" s="20" t="s">
        <v>625</v>
      </c>
      <c r="B129" s="10" t="s">
        <v>585</v>
      </c>
      <c r="C129" s="10">
        <v>1</v>
      </c>
      <c r="D129" t="s">
        <v>571</v>
      </c>
      <c r="E129" s="20" t="s">
        <v>498</v>
      </c>
      <c r="F129" s="20" t="s">
        <v>0</v>
      </c>
      <c r="G129" t="s">
        <v>189</v>
      </c>
      <c r="H129" t="s">
        <v>191</v>
      </c>
      <c r="I129" t="s">
        <v>190</v>
      </c>
      <c r="J129" t="s">
        <v>53</v>
      </c>
      <c r="K129" s="56">
        <v>14700</v>
      </c>
      <c r="L129" s="125">
        <v>0</v>
      </c>
      <c r="M129" s="56">
        <v>0</v>
      </c>
      <c r="N129" s="56">
        <v>1050</v>
      </c>
      <c r="O129" s="70" t="e">
        <f t="shared" si="20"/>
        <v>#DIV/0!</v>
      </c>
      <c r="P129" s="57">
        <f t="shared" si="21"/>
        <v>0</v>
      </c>
      <c r="Q129" s="57">
        <f t="shared" si="22"/>
        <v>0</v>
      </c>
      <c r="R129" s="39">
        <f t="shared" si="23"/>
        <v>14700</v>
      </c>
      <c r="S129" s="58"/>
      <c r="T129" s="58">
        <v>0</v>
      </c>
      <c r="U129" s="66">
        <v>0</v>
      </c>
      <c r="V129" s="66">
        <v>1050</v>
      </c>
      <c r="W129" s="70" t="e">
        <f t="shared" si="24"/>
        <v>#DIV/0!</v>
      </c>
      <c r="X129" s="57">
        <f t="shared" si="25"/>
        <v>0</v>
      </c>
      <c r="Y129" s="57">
        <f t="shared" si="26"/>
        <v>0</v>
      </c>
      <c r="Z129" s="39">
        <f t="shared" si="27"/>
        <v>14700</v>
      </c>
    </row>
    <row r="130" spans="1:26" x14ac:dyDescent="0.25">
      <c r="A130" s="20" t="s">
        <v>607</v>
      </c>
      <c r="B130" s="10" t="s">
        <v>572</v>
      </c>
      <c r="C130" s="10">
        <v>1</v>
      </c>
      <c r="D130" t="s">
        <v>571</v>
      </c>
      <c r="E130" s="20" t="s">
        <v>498</v>
      </c>
      <c r="F130" s="20" t="s">
        <v>0</v>
      </c>
      <c r="G130" t="s">
        <v>189</v>
      </c>
      <c r="H130" t="s">
        <v>191</v>
      </c>
      <c r="I130" t="s">
        <v>562</v>
      </c>
      <c r="J130" t="s">
        <v>12</v>
      </c>
      <c r="K130" s="12">
        <v>0</v>
      </c>
      <c r="L130" s="125">
        <v>0</v>
      </c>
      <c r="M130" s="56">
        <v>0</v>
      </c>
      <c r="N130" s="56">
        <v>4800</v>
      </c>
      <c r="O130" s="70" t="e">
        <f t="shared" si="20"/>
        <v>#DIV/0!</v>
      </c>
      <c r="P130" s="57" t="e">
        <f t="shared" si="21"/>
        <v>#DIV/0!</v>
      </c>
      <c r="Q130" s="57">
        <f t="shared" si="22"/>
        <v>0</v>
      </c>
      <c r="R130" s="39">
        <f t="shared" si="23"/>
        <v>0</v>
      </c>
      <c r="T130" s="58">
        <v>0</v>
      </c>
      <c r="V130" s="12">
        <v>4800</v>
      </c>
      <c r="W130" s="70" t="e">
        <f t="shared" si="24"/>
        <v>#DIV/0!</v>
      </c>
      <c r="X130" s="57" t="e">
        <f t="shared" si="25"/>
        <v>#DIV/0!</v>
      </c>
      <c r="Y130" s="57">
        <f t="shared" si="26"/>
        <v>0</v>
      </c>
      <c r="Z130" s="39">
        <f t="shared" si="27"/>
        <v>0</v>
      </c>
    </row>
    <row r="131" spans="1:26" x14ac:dyDescent="0.25">
      <c r="A131" s="20" t="s">
        <v>646</v>
      </c>
      <c r="B131" s="10" t="s">
        <v>603</v>
      </c>
      <c r="C131" s="10">
        <v>1</v>
      </c>
      <c r="D131" t="s">
        <v>571</v>
      </c>
      <c r="E131" s="20" t="s">
        <v>498</v>
      </c>
      <c r="F131" s="20" t="s">
        <v>0</v>
      </c>
      <c r="G131" t="s">
        <v>189</v>
      </c>
      <c r="H131" t="s">
        <v>191</v>
      </c>
      <c r="I131" t="s">
        <v>192</v>
      </c>
      <c r="J131" t="s">
        <v>105</v>
      </c>
      <c r="K131" s="56">
        <v>6000</v>
      </c>
      <c r="L131" s="125">
        <v>0</v>
      </c>
      <c r="M131" s="56">
        <v>0</v>
      </c>
      <c r="N131" s="56">
        <v>4440</v>
      </c>
      <c r="O131" s="70" t="e">
        <f t="shared" si="20"/>
        <v>#DIV/0!</v>
      </c>
      <c r="P131" s="57">
        <f t="shared" si="21"/>
        <v>0</v>
      </c>
      <c r="Q131" s="57">
        <f t="shared" si="22"/>
        <v>0</v>
      </c>
      <c r="R131" s="39">
        <f t="shared" si="23"/>
        <v>6000</v>
      </c>
      <c r="S131" s="58"/>
      <c r="T131" s="58">
        <v>0</v>
      </c>
      <c r="U131" s="66">
        <v>0</v>
      </c>
      <c r="V131" s="66">
        <v>4440</v>
      </c>
      <c r="W131" s="70" t="e">
        <f t="shared" si="24"/>
        <v>#DIV/0!</v>
      </c>
      <c r="X131" s="57">
        <f t="shared" si="25"/>
        <v>0</v>
      </c>
      <c r="Y131" s="57">
        <f t="shared" si="26"/>
        <v>0</v>
      </c>
      <c r="Z131" s="39">
        <f t="shared" si="27"/>
        <v>6000</v>
      </c>
    </row>
    <row r="132" spans="1:26" x14ac:dyDescent="0.25">
      <c r="A132" s="20" t="s">
        <v>613</v>
      </c>
      <c r="B132" s="10" t="s">
        <v>575</v>
      </c>
      <c r="C132" s="10">
        <v>2</v>
      </c>
      <c r="D132" t="s">
        <v>571</v>
      </c>
      <c r="E132" s="20" t="s">
        <v>498</v>
      </c>
      <c r="F132" s="20" t="s">
        <v>0</v>
      </c>
      <c r="G132" t="s">
        <v>189</v>
      </c>
      <c r="H132" t="s">
        <v>191</v>
      </c>
      <c r="I132" t="s">
        <v>565</v>
      </c>
      <c r="J132" t="s">
        <v>22</v>
      </c>
      <c r="K132" s="12">
        <v>0</v>
      </c>
      <c r="L132" s="125">
        <v>0</v>
      </c>
      <c r="M132" s="56">
        <v>0</v>
      </c>
      <c r="N132" s="56">
        <v>4440</v>
      </c>
      <c r="O132" s="70" t="e">
        <f t="shared" si="20"/>
        <v>#DIV/0!</v>
      </c>
      <c r="P132" s="57" t="e">
        <f t="shared" si="21"/>
        <v>#DIV/0!</v>
      </c>
      <c r="Q132" s="57">
        <f t="shared" si="22"/>
        <v>0</v>
      </c>
      <c r="R132" s="39">
        <f t="shared" si="23"/>
        <v>0</v>
      </c>
      <c r="T132" s="58">
        <v>0</v>
      </c>
      <c r="V132" s="12">
        <v>4440</v>
      </c>
      <c r="W132" s="70" t="e">
        <f t="shared" si="24"/>
        <v>#DIV/0!</v>
      </c>
      <c r="X132" s="57" t="e">
        <f t="shared" si="25"/>
        <v>#DIV/0!</v>
      </c>
      <c r="Y132" s="57">
        <f t="shared" si="26"/>
        <v>0</v>
      </c>
      <c r="Z132" s="39">
        <f t="shared" si="27"/>
        <v>0</v>
      </c>
    </row>
    <row r="133" spans="1:26" x14ac:dyDescent="0.25">
      <c r="A133" s="20" t="s">
        <v>609</v>
      </c>
      <c r="B133" s="10" t="s">
        <v>573</v>
      </c>
      <c r="C133" s="10">
        <v>1</v>
      </c>
      <c r="D133" t="s">
        <v>571</v>
      </c>
      <c r="E133" s="20" t="s">
        <v>498</v>
      </c>
      <c r="F133" s="20" t="s">
        <v>0</v>
      </c>
      <c r="G133" t="s">
        <v>189</v>
      </c>
      <c r="H133" t="s">
        <v>191</v>
      </c>
      <c r="I133" t="s">
        <v>193</v>
      </c>
      <c r="J133" t="s">
        <v>16</v>
      </c>
      <c r="K133" s="56">
        <v>25000</v>
      </c>
      <c r="L133" s="125">
        <v>0</v>
      </c>
      <c r="M133" s="56">
        <v>0</v>
      </c>
      <c r="N133" s="56">
        <v>9277.0899999999983</v>
      </c>
      <c r="O133" s="70" t="e">
        <f t="shared" si="20"/>
        <v>#DIV/0!</v>
      </c>
      <c r="P133" s="57">
        <f t="shared" si="21"/>
        <v>0</v>
      </c>
      <c r="Q133" s="57">
        <f t="shared" si="22"/>
        <v>0</v>
      </c>
      <c r="R133" s="39">
        <f t="shared" si="23"/>
        <v>25000</v>
      </c>
      <c r="S133" s="58"/>
      <c r="T133" s="58">
        <v>0</v>
      </c>
      <c r="U133" s="66">
        <v>0</v>
      </c>
      <c r="V133" s="66">
        <v>6171.49</v>
      </c>
      <c r="W133" s="70" t="e">
        <f t="shared" si="24"/>
        <v>#DIV/0!</v>
      </c>
      <c r="X133" s="57">
        <f t="shared" si="25"/>
        <v>0</v>
      </c>
      <c r="Y133" s="57">
        <f t="shared" si="26"/>
        <v>0</v>
      </c>
      <c r="Z133" s="39">
        <f t="shared" si="27"/>
        <v>25000</v>
      </c>
    </row>
    <row r="134" spans="1:26" x14ac:dyDescent="0.25">
      <c r="A134" s="20" t="s">
        <v>608</v>
      </c>
      <c r="B134" s="10" t="s">
        <v>574</v>
      </c>
      <c r="C134" s="10">
        <v>1</v>
      </c>
      <c r="D134" t="s">
        <v>571</v>
      </c>
      <c r="E134" s="20" t="s">
        <v>498</v>
      </c>
      <c r="F134" s="20" t="s">
        <v>0</v>
      </c>
      <c r="G134" t="s">
        <v>189</v>
      </c>
      <c r="H134" t="s">
        <v>191</v>
      </c>
      <c r="I134" t="s">
        <v>194</v>
      </c>
      <c r="J134" t="s">
        <v>18</v>
      </c>
      <c r="K134" s="56">
        <v>41500</v>
      </c>
      <c r="L134" s="125">
        <v>19000</v>
      </c>
      <c r="M134" s="56">
        <v>18201.050000000003</v>
      </c>
      <c r="N134" s="56">
        <v>13040.3</v>
      </c>
      <c r="O134" s="70">
        <f t="shared" si="20"/>
        <v>0.95795000000000019</v>
      </c>
      <c r="P134" s="57">
        <f t="shared" si="21"/>
        <v>0.43857951807228923</v>
      </c>
      <c r="Q134" s="57">
        <f t="shared" si="22"/>
        <v>1.3957539320414412</v>
      </c>
      <c r="R134" s="39">
        <f t="shared" si="23"/>
        <v>23298.949999999997</v>
      </c>
      <c r="S134" s="58"/>
      <c r="T134" s="58">
        <v>3400</v>
      </c>
      <c r="U134" s="66">
        <v>2957.4</v>
      </c>
      <c r="V134" s="66">
        <v>13040.3</v>
      </c>
      <c r="W134" s="70">
        <f t="shared" si="24"/>
        <v>0.86982352941176477</v>
      </c>
      <c r="X134" s="57">
        <f t="shared" si="25"/>
        <v>7.1262650602409647E-2</v>
      </c>
      <c r="Y134" s="57">
        <f t="shared" si="26"/>
        <v>0.22678926098325961</v>
      </c>
      <c r="Z134" s="39">
        <f t="shared" si="27"/>
        <v>38100</v>
      </c>
    </row>
    <row r="135" spans="1:26" x14ac:dyDescent="0.25">
      <c r="A135" s="20" t="s">
        <v>624</v>
      </c>
      <c r="B135" s="10" t="s">
        <v>587</v>
      </c>
      <c r="C135" s="10">
        <v>1</v>
      </c>
      <c r="D135" t="s">
        <v>571</v>
      </c>
      <c r="E135" s="20" t="s">
        <v>498</v>
      </c>
      <c r="F135" s="20" t="s">
        <v>0</v>
      </c>
      <c r="G135" t="s">
        <v>189</v>
      </c>
      <c r="H135" t="s">
        <v>191</v>
      </c>
      <c r="I135" t="s">
        <v>882</v>
      </c>
      <c r="J135" t="s">
        <v>57</v>
      </c>
      <c r="K135" s="56">
        <v>0</v>
      </c>
      <c r="L135" s="125">
        <v>0</v>
      </c>
      <c r="M135" s="56">
        <v>0</v>
      </c>
      <c r="N135" s="119">
        <v>2276.5500000000002</v>
      </c>
      <c r="O135" s="70" t="e">
        <f t="shared" si="20"/>
        <v>#DIV/0!</v>
      </c>
      <c r="P135" s="57" t="e">
        <f t="shared" si="21"/>
        <v>#DIV/0!</v>
      </c>
      <c r="Q135" s="57">
        <f t="shared" si="22"/>
        <v>0</v>
      </c>
      <c r="R135" s="39">
        <f t="shared" si="23"/>
        <v>0</v>
      </c>
      <c r="S135" s="58"/>
      <c r="T135" s="58"/>
      <c r="U135" s="66"/>
      <c r="V135" s="66"/>
      <c r="W135" s="70"/>
      <c r="X135" s="57"/>
      <c r="Y135" s="57"/>
    </row>
    <row r="136" spans="1:26" x14ac:dyDescent="0.25">
      <c r="A136" s="20" t="s">
        <v>631</v>
      </c>
      <c r="B136" s="10" t="s">
        <v>580</v>
      </c>
      <c r="C136" s="10">
        <v>2</v>
      </c>
      <c r="D136" t="s">
        <v>571</v>
      </c>
      <c r="E136" s="20" t="s">
        <v>498</v>
      </c>
      <c r="F136" s="20" t="s">
        <v>0</v>
      </c>
      <c r="G136" t="s">
        <v>189</v>
      </c>
      <c r="H136" t="s">
        <v>191</v>
      </c>
      <c r="I136" t="s">
        <v>886</v>
      </c>
      <c r="J136" t="s">
        <v>34</v>
      </c>
      <c r="K136" s="56">
        <v>0</v>
      </c>
      <c r="L136" s="125">
        <v>0</v>
      </c>
      <c r="M136" s="56">
        <v>0</v>
      </c>
      <c r="N136" s="119">
        <v>2792.25</v>
      </c>
      <c r="O136" s="70" t="e">
        <f t="shared" si="20"/>
        <v>#DIV/0!</v>
      </c>
      <c r="P136" s="57" t="e">
        <f t="shared" si="21"/>
        <v>#DIV/0!</v>
      </c>
      <c r="Q136" s="57">
        <f t="shared" si="22"/>
        <v>0</v>
      </c>
      <c r="R136" s="39">
        <f t="shared" si="23"/>
        <v>0</v>
      </c>
      <c r="S136" s="58"/>
      <c r="T136" s="58"/>
      <c r="U136" s="66"/>
      <c r="V136" s="66"/>
      <c r="W136" s="70"/>
      <c r="X136" s="57"/>
      <c r="Y136" s="57"/>
    </row>
    <row r="137" spans="1:26" x14ac:dyDescent="0.25">
      <c r="A137" s="20" t="s">
        <v>628</v>
      </c>
      <c r="B137" s="10" t="s">
        <v>589</v>
      </c>
      <c r="C137" s="10">
        <v>2</v>
      </c>
      <c r="D137" t="s">
        <v>571</v>
      </c>
      <c r="E137" s="20" t="s">
        <v>498</v>
      </c>
      <c r="F137" s="20" t="s">
        <v>0</v>
      </c>
      <c r="G137" t="s">
        <v>189</v>
      </c>
      <c r="H137" t="s">
        <v>191</v>
      </c>
      <c r="I137" t="s">
        <v>195</v>
      </c>
      <c r="J137" t="s">
        <v>65</v>
      </c>
      <c r="K137" s="56">
        <v>40000</v>
      </c>
      <c r="L137" s="125">
        <v>9000</v>
      </c>
      <c r="M137" s="56">
        <v>8446.2000000000007</v>
      </c>
      <c r="N137" s="56">
        <v>8600</v>
      </c>
      <c r="O137" s="70">
        <f t="shared" si="20"/>
        <v>0.93846666666666678</v>
      </c>
      <c r="P137" s="57">
        <f t="shared" si="21"/>
        <v>0.21115500000000001</v>
      </c>
      <c r="Q137" s="57">
        <f t="shared" si="22"/>
        <v>0.98211627906976751</v>
      </c>
      <c r="R137" s="39">
        <f t="shared" si="23"/>
        <v>31553.8</v>
      </c>
      <c r="S137" s="58"/>
      <c r="T137" s="58">
        <v>0</v>
      </c>
      <c r="U137" s="66">
        <v>0</v>
      </c>
      <c r="V137" s="66">
        <v>2600</v>
      </c>
      <c r="W137" s="70" t="e">
        <f t="shared" si="24"/>
        <v>#DIV/0!</v>
      </c>
      <c r="X137" s="57">
        <f t="shared" si="25"/>
        <v>0</v>
      </c>
      <c r="Y137" s="57">
        <f t="shared" si="26"/>
        <v>0</v>
      </c>
      <c r="Z137" s="39">
        <f t="shared" si="27"/>
        <v>40000</v>
      </c>
    </row>
    <row r="138" spans="1:26" x14ac:dyDescent="0.25">
      <c r="A138" s="20" t="s">
        <v>636</v>
      </c>
      <c r="B138" s="10" t="s">
        <v>591</v>
      </c>
      <c r="C138" s="10">
        <v>1</v>
      </c>
      <c r="D138" t="s">
        <v>571</v>
      </c>
      <c r="E138" s="20" t="s">
        <v>498</v>
      </c>
      <c r="F138" s="20" t="s">
        <v>0</v>
      </c>
      <c r="G138" t="s">
        <v>189</v>
      </c>
      <c r="H138" t="s">
        <v>191</v>
      </c>
      <c r="I138" t="s">
        <v>196</v>
      </c>
      <c r="J138" t="s">
        <v>70</v>
      </c>
      <c r="K138" s="56">
        <v>368400</v>
      </c>
      <c r="L138" s="125">
        <v>170000</v>
      </c>
      <c r="M138" s="56">
        <v>166860</v>
      </c>
      <c r="N138" s="56">
        <v>96400.8</v>
      </c>
      <c r="O138" s="70">
        <f t="shared" si="20"/>
        <v>0.98152941176470587</v>
      </c>
      <c r="P138" s="57">
        <f t="shared" si="21"/>
        <v>0.4529315960912052</v>
      </c>
      <c r="Q138" s="57">
        <f t="shared" si="22"/>
        <v>1.730898498767645</v>
      </c>
      <c r="R138" s="39">
        <f t="shared" si="23"/>
        <v>201540</v>
      </c>
      <c r="S138" s="58"/>
      <c r="T138" s="58">
        <v>45000</v>
      </c>
      <c r="U138" s="66">
        <v>40338</v>
      </c>
      <c r="V138" s="66">
        <v>41374.800000000003</v>
      </c>
      <c r="W138" s="70">
        <f t="shared" si="24"/>
        <v>0.89639999999999997</v>
      </c>
      <c r="X138" s="57">
        <f t="shared" si="25"/>
        <v>0.10949511400651465</v>
      </c>
      <c r="Y138" s="57">
        <f t="shared" si="26"/>
        <v>0.97494126859827712</v>
      </c>
      <c r="Z138" s="39">
        <f t="shared" si="27"/>
        <v>323400</v>
      </c>
    </row>
    <row r="139" spans="1:26" x14ac:dyDescent="0.25">
      <c r="A139" s="20" t="s">
        <v>630</v>
      </c>
      <c r="B139" s="10" t="s">
        <v>592</v>
      </c>
      <c r="C139" s="10">
        <v>2</v>
      </c>
      <c r="D139" t="s">
        <v>571</v>
      </c>
      <c r="E139" s="20" t="s">
        <v>498</v>
      </c>
      <c r="F139" s="20" t="s">
        <v>0</v>
      </c>
      <c r="G139" t="s">
        <v>189</v>
      </c>
      <c r="H139" t="s">
        <v>191</v>
      </c>
      <c r="I139" t="s">
        <v>197</v>
      </c>
      <c r="J139" t="s">
        <v>118</v>
      </c>
      <c r="K139" s="56">
        <v>37400</v>
      </c>
      <c r="L139" s="125">
        <v>24000</v>
      </c>
      <c r="M139" s="56">
        <v>23655.67</v>
      </c>
      <c r="N139" s="56">
        <v>42685.090000000004</v>
      </c>
      <c r="O139" s="70">
        <f t="shared" si="20"/>
        <v>0.98565291666666655</v>
      </c>
      <c r="P139" s="57">
        <f t="shared" si="21"/>
        <v>0.63250454545454537</v>
      </c>
      <c r="Q139" s="57">
        <f t="shared" si="22"/>
        <v>0.55419046791280036</v>
      </c>
      <c r="R139" s="39">
        <f t="shared" si="23"/>
        <v>13744.330000000002</v>
      </c>
      <c r="S139" s="58"/>
      <c r="T139" s="58">
        <v>18000</v>
      </c>
      <c r="U139" s="66">
        <v>16152.08</v>
      </c>
      <c r="V139" s="66">
        <v>34437.300000000003</v>
      </c>
      <c r="W139" s="70">
        <f t="shared" si="24"/>
        <v>0.89733777777777779</v>
      </c>
      <c r="X139" s="57">
        <f t="shared" si="25"/>
        <v>0.43187379679144383</v>
      </c>
      <c r="Y139" s="57">
        <f t="shared" si="26"/>
        <v>0.46902864045671405</v>
      </c>
      <c r="Z139" s="39">
        <f t="shared" si="27"/>
        <v>19400</v>
      </c>
    </row>
    <row r="140" spans="1:26" x14ac:dyDescent="0.25">
      <c r="A140" s="20" t="s">
        <v>558</v>
      </c>
      <c r="B140" s="10" t="s">
        <v>559</v>
      </c>
      <c r="C140" s="10">
        <v>1</v>
      </c>
      <c r="D140" t="s">
        <v>571</v>
      </c>
      <c r="E140" s="20" t="s">
        <v>498</v>
      </c>
      <c r="F140" s="20" t="s">
        <v>0</v>
      </c>
      <c r="G140" t="s">
        <v>189</v>
      </c>
      <c r="H140" t="s">
        <v>191</v>
      </c>
      <c r="I140" t="s">
        <v>741</v>
      </c>
      <c r="J140" t="s">
        <v>7</v>
      </c>
      <c r="K140" s="12">
        <v>8000</v>
      </c>
      <c r="L140" s="125">
        <v>0</v>
      </c>
      <c r="M140" s="56">
        <v>0</v>
      </c>
      <c r="N140" s="56">
        <v>0</v>
      </c>
      <c r="O140" s="70" t="e">
        <f t="shared" si="20"/>
        <v>#DIV/0!</v>
      </c>
      <c r="P140" s="57">
        <f t="shared" si="21"/>
        <v>0</v>
      </c>
      <c r="Q140" s="57" t="e">
        <f t="shared" si="22"/>
        <v>#DIV/0!</v>
      </c>
      <c r="R140" s="39">
        <f t="shared" si="23"/>
        <v>8000</v>
      </c>
      <c r="S140" s="58"/>
      <c r="T140" s="58"/>
      <c r="U140" s="66"/>
      <c r="V140" s="66"/>
      <c r="W140" s="70"/>
      <c r="X140" s="57"/>
      <c r="Y140" s="57"/>
    </row>
    <row r="141" spans="1:26" x14ac:dyDescent="0.25">
      <c r="A141" s="20" t="s">
        <v>625</v>
      </c>
      <c r="B141" s="10" t="s">
        <v>585</v>
      </c>
      <c r="C141" s="10">
        <v>1</v>
      </c>
      <c r="D141" t="s">
        <v>571</v>
      </c>
      <c r="E141" s="20" t="s">
        <v>499</v>
      </c>
      <c r="F141" s="20" t="s">
        <v>0</v>
      </c>
      <c r="G141" t="s">
        <v>198</v>
      </c>
      <c r="H141" t="s">
        <v>200</v>
      </c>
      <c r="I141" t="s">
        <v>199</v>
      </c>
      <c r="J141" t="s">
        <v>53</v>
      </c>
      <c r="K141" s="56">
        <v>3900</v>
      </c>
      <c r="L141" s="125">
        <v>0</v>
      </c>
      <c r="M141" s="56">
        <v>0</v>
      </c>
      <c r="N141" s="56">
        <v>1700</v>
      </c>
      <c r="O141" s="70" t="e">
        <f t="shared" si="20"/>
        <v>#DIV/0!</v>
      </c>
      <c r="P141" s="57">
        <f t="shared" si="21"/>
        <v>0</v>
      </c>
      <c r="Q141" s="57">
        <f t="shared" si="22"/>
        <v>0</v>
      </c>
      <c r="R141" s="39">
        <f t="shared" si="23"/>
        <v>3900</v>
      </c>
      <c r="S141" s="58"/>
      <c r="T141" s="58">
        <v>0</v>
      </c>
      <c r="U141" s="66">
        <v>0</v>
      </c>
      <c r="V141" s="66">
        <v>1050</v>
      </c>
      <c r="W141" s="70" t="e">
        <f t="shared" si="24"/>
        <v>#DIV/0!</v>
      </c>
      <c r="X141" s="57">
        <f t="shared" si="25"/>
        <v>0</v>
      </c>
      <c r="Y141" s="57">
        <f t="shared" si="26"/>
        <v>0</v>
      </c>
      <c r="Z141" s="39">
        <f t="shared" si="27"/>
        <v>3900</v>
      </c>
    </row>
    <row r="142" spans="1:26" x14ac:dyDescent="0.25">
      <c r="A142" s="20" t="s">
        <v>607</v>
      </c>
      <c r="B142" s="10" t="s">
        <v>572</v>
      </c>
      <c r="C142" s="10">
        <v>1</v>
      </c>
      <c r="D142" t="s">
        <v>571</v>
      </c>
      <c r="E142" s="20" t="s">
        <v>499</v>
      </c>
      <c r="F142" s="20" t="s">
        <v>0</v>
      </c>
      <c r="G142" t="s">
        <v>198</v>
      </c>
      <c r="H142" t="s">
        <v>200</v>
      </c>
      <c r="I142" t="s">
        <v>877</v>
      </c>
      <c r="J142" t="s">
        <v>12</v>
      </c>
      <c r="K142" s="12">
        <v>0</v>
      </c>
      <c r="L142" s="125">
        <v>0</v>
      </c>
      <c r="M142" s="12">
        <v>0</v>
      </c>
      <c r="N142" s="119">
        <v>19225.2</v>
      </c>
      <c r="O142" s="70" t="e">
        <f t="shared" ref="O142:O205" si="28">M142/L142</f>
        <v>#DIV/0!</v>
      </c>
      <c r="P142" s="57" t="e">
        <f t="shared" ref="P142:P205" si="29">M142/K142</f>
        <v>#DIV/0!</v>
      </c>
      <c r="Q142" s="57">
        <f t="shared" ref="Q142:Q205" si="30">M142/N142</f>
        <v>0</v>
      </c>
      <c r="R142" s="39">
        <f t="shared" ref="R142:R205" si="31">K142-M142</f>
        <v>0</v>
      </c>
      <c r="S142" s="58"/>
      <c r="T142" s="58"/>
      <c r="U142" s="66"/>
      <c r="V142" s="66"/>
      <c r="W142" s="70"/>
      <c r="X142" s="57"/>
      <c r="Y142" s="57"/>
    </row>
    <row r="143" spans="1:26" x14ac:dyDescent="0.25">
      <c r="A143" s="20" t="s">
        <v>646</v>
      </c>
      <c r="B143" s="10" t="s">
        <v>603</v>
      </c>
      <c r="C143" s="10">
        <v>1</v>
      </c>
      <c r="D143" t="s">
        <v>571</v>
      </c>
      <c r="E143" s="20" t="s">
        <v>499</v>
      </c>
      <c r="F143" s="20" t="s">
        <v>0</v>
      </c>
      <c r="G143" t="s">
        <v>198</v>
      </c>
      <c r="H143" t="s">
        <v>200</v>
      </c>
      <c r="I143" t="s">
        <v>879</v>
      </c>
      <c r="J143" t="s">
        <v>105</v>
      </c>
      <c r="K143" s="12">
        <v>0</v>
      </c>
      <c r="L143" s="125">
        <v>0</v>
      </c>
      <c r="M143" s="12">
        <v>0</v>
      </c>
      <c r="N143" s="119">
        <v>3693.35</v>
      </c>
      <c r="O143" s="70" t="e">
        <f t="shared" si="28"/>
        <v>#DIV/0!</v>
      </c>
      <c r="P143" s="57" t="e">
        <f t="shared" si="29"/>
        <v>#DIV/0!</v>
      </c>
      <c r="Q143" s="57">
        <f t="shared" si="30"/>
        <v>0</v>
      </c>
      <c r="R143" s="39">
        <f t="shared" si="31"/>
        <v>0</v>
      </c>
      <c r="S143" s="58"/>
      <c r="T143" s="58"/>
      <c r="U143" s="66"/>
      <c r="V143" s="66"/>
      <c r="W143" s="70"/>
      <c r="X143" s="57"/>
      <c r="Y143" s="57"/>
    </row>
    <row r="144" spans="1:26" x14ac:dyDescent="0.25">
      <c r="A144" s="20" t="s">
        <v>609</v>
      </c>
      <c r="B144" s="10" t="s">
        <v>573</v>
      </c>
      <c r="C144" s="10">
        <v>1</v>
      </c>
      <c r="D144" t="s">
        <v>571</v>
      </c>
      <c r="E144" s="20" t="s">
        <v>499</v>
      </c>
      <c r="F144" s="20" t="s">
        <v>0</v>
      </c>
      <c r="G144" t="s">
        <v>198</v>
      </c>
      <c r="H144" t="s">
        <v>200</v>
      </c>
      <c r="I144" t="s">
        <v>201</v>
      </c>
      <c r="J144" t="s">
        <v>16</v>
      </c>
      <c r="K144" s="56">
        <v>20000</v>
      </c>
      <c r="L144" s="125">
        <v>0</v>
      </c>
      <c r="M144" s="56">
        <v>0</v>
      </c>
      <c r="N144" s="56">
        <v>1751.6</v>
      </c>
      <c r="O144" s="70" t="e">
        <f t="shared" si="28"/>
        <v>#DIV/0!</v>
      </c>
      <c r="P144" s="57">
        <f t="shared" si="29"/>
        <v>0</v>
      </c>
      <c r="Q144" s="57">
        <f t="shared" si="30"/>
        <v>0</v>
      </c>
      <c r="R144" s="39">
        <f t="shared" si="31"/>
        <v>20000</v>
      </c>
      <c r="S144" s="58"/>
      <c r="T144" s="58">
        <v>0</v>
      </c>
      <c r="U144" s="66">
        <v>0</v>
      </c>
      <c r="V144" s="66">
        <v>1751.6</v>
      </c>
      <c r="W144" s="70" t="e">
        <f t="shared" si="24"/>
        <v>#DIV/0!</v>
      </c>
      <c r="X144" s="57">
        <f t="shared" si="25"/>
        <v>0</v>
      </c>
      <c r="Y144" s="57">
        <f t="shared" si="26"/>
        <v>0</v>
      </c>
      <c r="Z144" s="39">
        <f t="shared" si="27"/>
        <v>20000</v>
      </c>
    </row>
    <row r="145" spans="1:26" x14ac:dyDescent="0.25">
      <c r="A145" s="20" t="s">
        <v>608</v>
      </c>
      <c r="B145" s="10" t="s">
        <v>574</v>
      </c>
      <c r="C145" s="10">
        <v>1</v>
      </c>
      <c r="D145" t="s">
        <v>571</v>
      </c>
      <c r="E145" s="20" t="s">
        <v>499</v>
      </c>
      <c r="F145" s="20" t="s">
        <v>0</v>
      </c>
      <c r="G145" t="s">
        <v>198</v>
      </c>
      <c r="H145" t="s">
        <v>200</v>
      </c>
      <c r="I145" t="s">
        <v>202</v>
      </c>
      <c r="J145" t="s">
        <v>18</v>
      </c>
      <c r="K145" s="56">
        <v>37000</v>
      </c>
      <c r="L145" s="125">
        <v>9000</v>
      </c>
      <c r="M145" s="56">
        <v>8839.9500000000007</v>
      </c>
      <c r="N145" s="56">
        <v>20889.489999999998</v>
      </c>
      <c r="O145" s="70">
        <f t="shared" si="28"/>
        <v>0.98221666666666674</v>
      </c>
      <c r="P145" s="57">
        <f t="shared" si="29"/>
        <v>0.23891756756756757</v>
      </c>
      <c r="Q145" s="57">
        <f t="shared" si="30"/>
        <v>0.42317691815357872</v>
      </c>
      <c r="R145" s="39">
        <f t="shared" si="31"/>
        <v>28160.05</v>
      </c>
      <c r="S145" s="58"/>
      <c r="T145" s="58">
        <v>0</v>
      </c>
      <c r="U145" s="66">
        <v>0</v>
      </c>
      <c r="V145" s="66">
        <v>6673.6</v>
      </c>
      <c r="W145" s="70" t="e">
        <f t="shared" si="24"/>
        <v>#DIV/0!</v>
      </c>
      <c r="X145" s="57">
        <f t="shared" si="25"/>
        <v>0</v>
      </c>
      <c r="Y145" s="57">
        <f t="shared" si="26"/>
        <v>0</v>
      </c>
      <c r="Z145" s="39">
        <f t="shared" si="27"/>
        <v>37000</v>
      </c>
    </row>
    <row r="146" spans="1:26" x14ac:dyDescent="0.25">
      <c r="A146" s="20" t="s">
        <v>628</v>
      </c>
      <c r="B146" s="10" t="s">
        <v>589</v>
      </c>
      <c r="C146" s="10">
        <v>2</v>
      </c>
      <c r="D146" t="s">
        <v>571</v>
      </c>
      <c r="E146" s="20" t="s">
        <v>499</v>
      </c>
      <c r="F146" s="20" t="s">
        <v>0</v>
      </c>
      <c r="G146" t="s">
        <v>198</v>
      </c>
      <c r="H146" t="s">
        <v>200</v>
      </c>
      <c r="I146" t="s">
        <v>203</v>
      </c>
      <c r="J146" t="s">
        <v>65</v>
      </c>
      <c r="K146" s="56">
        <v>40000</v>
      </c>
      <c r="L146" s="125">
        <v>9000</v>
      </c>
      <c r="M146" s="56">
        <v>8586.4</v>
      </c>
      <c r="N146" s="56">
        <v>10500</v>
      </c>
      <c r="O146" s="70">
        <f t="shared" si="28"/>
        <v>0.95404444444444436</v>
      </c>
      <c r="P146" s="57">
        <f t="shared" si="29"/>
        <v>0.21465999999999999</v>
      </c>
      <c r="Q146" s="57">
        <f t="shared" si="30"/>
        <v>0.8177523809523809</v>
      </c>
      <c r="R146" s="39">
        <f t="shared" si="31"/>
        <v>31413.599999999999</v>
      </c>
      <c r="S146" s="58"/>
      <c r="T146" s="58">
        <v>2700</v>
      </c>
      <c r="U146" s="66">
        <v>2250</v>
      </c>
      <c r="V146" s="66">
        <v>3750</v>
      </c>
      <c r="W146" s="70">
        <f t="shared" si="24"/>
        <v>0.83333333333333337</v>
      </c>
      <c r="X146" s="57">
        <f t="shared" si="25"/>
        <v>5.6250000000000001E-2</v>
      </c>
      <c r="Y146" s="57">
        <f t="shared" si="26"/>
        <v>0.6</v>
      </c>
      <c r="Z146" s="39">
        <f t="shared" si="27"/>
        <v>37300</v>
      </c>
    </row>
    <row r="147" spans="1:26" x14ac:dyDescent="0.25">
      <c r="A147" s="20" t="s">
        <v>636</v>
      </c>
      <c r="B147" s="10" t="s">
        <v>591</v>
      </c>
      <c r="C147" s="10">
        <v>1</v>
      </c>
      <c r="D147" t="s">
        <v>571</v>
      </c>
      <c r="E147" s="20" t="s">
        <v>499</v>
      </c>
      <c r="F147" s="20" t="s">
        <v>0</v>
      </c>
      <c r="G147" t="s">
        <v>198</v>
      </c>
      <c r="H147" t="s">
        <v>200</v>
      </c>
      <c r="I147" t="s">
        <v>204</v>
      </c>
      <c r="J147" t="s">
        <v>70</v>
      </c>
      <c r="K147" s="56">
        <v>739100</v>
      </c>
      <c r="L147" s="125">
        <v>370000</v>
      </c>
      <c r="M147" s="56">
        <v>353451.6</v>
      </c>
      <c r="N147" s="56">
        <v>279072</v>
      </c>
      <c r="O147" s="70">
        <f t="shared" si="28"/>
        <v>0.95527459459459452</v>
      </c>
      <c r="P147" s="57">
        <f t="shared" si="29"/>
        <v>0.47821891489649571</v>
      </c>
      <c r="Q147" s="57">
        <f t="shared" si="30"/>
        <v>1.2665247678018574</v>
      </c>
      <c r="R147" s="39">
        <f t="shared" si="31"/>
        <v>385648.4</v>
      </c>
      <c r="S147" s="58"/>
      <c r="T147" s="58">
        <v>190000</v>
      </c>
      <c r="U147" s="66">
        <v>172584</v>
      </c>
      <c r="V147" s="66">
        <v>139158</v>
      </c>
      <c r="W147" s="70">
        <f t="shared" si="24"/>
        <v>0.90833684210526311</v>
      </c>
      <c r="X147" s="57">
        <f t="shared" si="25"/>
        <v>0.23350561493708563</v>
      </c>
      <c r="Y147" s="57">
        <f t="shared" si="26"/>
        <v>1.2402017850213427</v>
      </c>
      <c r="Z147" s="39">
        <f t="shared" si="27"/>
        <v>549100</v>
      </c>
    </row>
    <row r="148" spans="1:26" x14ac:dyDescent="0.25">
      <c r="A148" s="20" t="s">
        <v>630</v>
      </c>
      <c r="B148" s="10" t="s">
        <v>592</v>
      </c>
      <c r="C148" s="10">
        <v>2</v>
      </c>
      <c r="D148" t="s">
        <v>571</v>
      </c>
      <c r="E148" s="20" t="s">
        <v>499</v>
      </c>
      <c r="F148" s="20" t="s">
        <v>0</v>
      </c>
      <c r="G148" t="s">
        <v>198</v>
      </c>
      <c r="H148" t="s">
        <v>200</v>
      </c>
      <c r="I148" t="s">
        <v>205</v>
      </c>
      <c r="J148" t="s">
        <v>118</v>
      </c>
      <c r="K148" s="56">
        <v>43000</v>
      </c>
      <c r="L148" s="125">
        <v>21000</v>
      </c>
      <c r="M148" s="56">
        <v>20434.170000000002</v>
      </c>
      <c r="N148" s="56">
        <v>18618.41</v>
      </c>
      <c r="O148" s="70">
        <f t="shared" si="28"/>
        <v>0.97305571428571436</v>
      </c>
      <c r="P148" s="57">
        <f t="shared" si="29"/>
        <v>0.47521325581395352</v>
      </c>
      <c r="Q148" s="57">
        <f t="shared" si="30"/>
        <v>1.0975249766226012</v>
      </c>
      <c r="R148" s="39">
        <f t="shared" si="31"/>
        <v>22565.829999999998</v>
      </c>
      <c r="S148" s="58"/>
      <c r="T148" s="58">
        <v>9000</v>
      </c>
      <c r="U148" s="66">
        <v>7931.9100000000008</v>
      </c>
      <c r="V148" s="66">
        <v>14215.18</v>
      </c>
      <c r="W148" s="70">
        <f t="shared" si="24"/>
        <v>0.88132333333333346</v>
      </c>
      <c r="X148" s="57">
        <f t="shared" si="25"/>
        <v>0.18446302325581398</v>
      </c>
      <c r="Y148" s="57">
        <f t="shared" si="26"/>
        <v>0.55798871347390611</v>
      </c>
      <c r="Z148" s="39">
        <f t="shared" si="27"/>
        <v>34000</v>
      </c>
    </row>
    <row r="149" spans="1:26" x14ac:dyDescent="0.25">
      <c r="A149" s="20" t="s">
        <v>625</v>
      </c>
      <c r="B149" s="10" t="s">
        <v>585</v>
      </c>
      <c r="C149" s="10">
        <v>1</v>
      </c>
      <c r="D149" t="s">
        <v>571</v>
      </c>
      <c r="E149" s="20" t="s">
        <v>500</v>
      </c>
      <c r="F149" s="20" t="s">
        <v>0</v>
      </c>
      <c r="G149" t="s">
        <v>206</v>
      </c>
      <c r="H149" t="s">
        <v>208</v>
      </c>
      <c r="I149" t="s">
        <v>207</v>
      </c>
      <c r="J149" t="s">
        <v>53</v>
      </c>
      <c r="K149" s="56">
        <v>14700</v>
      </c>
      <c r="L149" s="125">
        <v>7500</v>
      </c>
      <c r="M149" s="56">
        <v>7500</v>
      </c>
      <c r="N149" s="56">
        <v>0</v>
      </c>
      <c r="O149" s="70">
        <f t="shared" si="28"/>
        <v>1</v>
      </c>
      <c r="P149" s="57">
        <f t="shared" si="29"/>
        <v>0.51020408163265307</v>
      </c>
      <c r="Q149" s="57" t="e">
        <f t="shared" si="30"/>
        <v>#DIV/0!</v>
      </c>
      <c r="R149" s="39">
        <f t="shared" si="31"/>
        <v>7200</v>
      </c>
      <c r="S149" s="58"/>
      <c r="T149" s="58">
        <v>0</v>
      </c>
      <c r="U149" s="66">
        <v>0</v>
      </c>
      <c r="V149" s="66">
        <v>0</v>
      </c>
      <c r="W149" s="70" t="e">
        <f t="shared" si="24"/>
        <v>#DIV/0!</v>
      </c>
      <c r="X149" s="57">
        <f t="shared" si="25"/>
        <v>0</v>
      </c>
      <c r="Y149" s="57" t="e">
        <f t="shared" si="26"/>
        <v>#DIV/0!</v>
      </c>
      <c r="Z149" s="39">
        <f t="shared" si="27"/>
        <v>14700</v>
      </c>
    </row>
    <row r="150" spans="1:26" x14ac:dyDescent="0.25">
      <c r="A150" s="20" t="s">
        <v>609</v>
      </c>
      <c r="B150" s="10" t="s">
        <v>573</v>
      </c>
      <c r="C150" s="10">
        <v>1</v>
      </c>
      <c r="D150" t="s">
        <v>571</v>
      </c>
      <c r="E150" s="20" t="s">
        <v>500</v>
      </c>
      <c r="F150" s="20" t="s">
        <v>0</v>
      </c>
      <c r="G150" t="s">
        <v>206</v>
      </c>
      <c r="H150" t="s">
        <v>208</v>
      </c>
      <c r="I150" t="s">
        <v>209</v>
      </c>
      <c r="J150" t="s">
        <v>16</v>
      </c>
      <c r="K150" s="56">
        <v>20000</v>
      </c>
      <c r="L150" s="125">
        <v>0</v>
      </c>
      <c r="M150" s="56">
        <v>0</v>
      </c>
      <c r="N150" s="56">
        <v>0</v>
      </c>
      <c r="O150" s="70" t="e">
        <f t="shared" si="28"/>
        <v>#DIV/0!</v>
      </c>
      <c r="P150" s="57">
        <f t="shared" si="29"/>
        <v>0</v>
      </c>
      <c r="Q150" s="57" t="e">
        <f t="shared" si="30"/>
        <v>#DIV/0!</v>
      </c>
      <c r="R150" s="39">
        <f t="shared" si="31"/>
        <v>20000</v>
      </c>
      <c r="S150" s="58"/>
      <c r="T150" s="58">
        <v>0</v>
      </c>
      <c r="U150" s="66">
        <v>0</v>
      </c>
      <c r="V150" s="66">
        <v>0</v>
      </c>
      <c r="W150" s="70" t="e">
        <f t="shared" si="24"/>
        <v>#DIV/0!</v>
      </c>
      <c r="X150" s="57">
        <f t="shared" si="25"/>
        <v>0</v>
      </c>
      <c r="Y150" s="57" t="e">
        <f t="shared" si="26"/>
        <v>#DIV/0!</v>
      </c>
      <c r="Z150" s="39">
        <f t="shared" si="27"/>
        <v>20000</v>
      </c>
    </row>
    <row r="151" spans="1:26" x14ac:dyDescent="0.25">
      <c r="A151" s="20" t="s">
        <v>608</v>
      </c>
      <c r="B151" s="10" t="s">
        <v>574</v>
      </c>
      <c r="C151" s="10">
        <v>1</v>
      </c>
      <c r="D151" t="s">
        <v>571</v>
      </c>
      <c r="E151" s="20" t="s">
        <v>500</v>
      </c>
      <c r="F151" s="20" t="s">
        <v>0</v>
      </c>
      <c r="G151" t="s">
        <v>206</v>
      </c>
      <c r="H151" t="s">
        <v>208</v>
      </c>
      <c r="I151" t="s">
        <v>210</v>
      </c>
      <c r="J151" t="s">
        <v>18</v>
      </c>
      <c r="K151" s="56">
        <v>32500</v>
      </c>
      <c r="L151" s="125">
        <v>13000</v>
      </c>
      <c r="M151" s="56">
        <v>12395.88</v>
      </c>
      <c r="N151" s="56">
        <v>17149.93</v>
      </c>
      <c r="O151" s="70">
        <f t="shared" si="28"/>
        <v>0.95352923076923068</v>
      </c>
      <c r="P151" s="57">
        <f t="shared" si="29"/>
        <v>0.38141169230769228</v>
      </c>
      <c r="Q151" s="57">
        <f t="shared" si="30"/>
        <v>0.72279478691749754</v>
      </c>
      <c r="R151" s="39">
        <f t="shared" si="31"/>
        <v>20104.120000000003</v>
      </c>
      <c r="S151" s="58"/>
      <c r="T151" s="58">
        <v>15000</v>
      </c>
      <c r="U151" s="66">
        <v>12395.88</v>
      </c>
      <c r="V151" s="66">
        <v>13904.330000000002</v>
      </c>
      <c r="W151" s="70">
        <f t="shared" si="24"/>
        <v>0.8263919999999999</v>
      </c>
      <c r="X151" s="57">
        <f t="shared" si="25"/>
        <v>0.38141169230769228</v>
      </c>
      <c r="Y151" s="57">
        <f t="shared" si="26"/>
        <v>0.89151221238276113</v>
      </c>
      <c r="Z151" s="39">
        <f t="shared" si="27"/>
        <v>17500</v>
      </c>
    </row>
    <row r="152" spans="1:26" x14ac:dyDescent="0.25">
      <c r="A152" s="20" t="s">
        <v>631</v>
      </c>
      <c r="B152" s="10" t="s">
        <v>580</v>
      </c>
      <c r="C152" s="10">
        <v>2</v>
      </c>
      <c r="D152" t="s">
        <v>571</v>
      </c>
      <c r="E152" s="20" t="s">
        <v>500</v>
      </c>
      <c r="F152" s="20" t="s">
        <v>0</v>
      </c>
      <c r="G152" t="s">
        <v>206</v>
      </c>
      <c r="H152" t="s">
        <v>208</v>
      </c>
      <c r="I152" t="s">
        <v>887</v>
      </c>
      <c r="J152" t="s">
        <v>34</v>
      </c>
      <c r="K152" s="56">
        <v>0</v>
      </c>
      <c r="L152" s="125">
        <v>0</v>
      </c>
      <c r="M152" s="56">
        <v>0</v>
      </c>
      <c r="N152" s="119">
        <v>5000</v>
      </c>
      <c r="O152" s="70" t="e">
        <f t="shared" si="28"/>
        <v>#DIV/0!</v>
      </c>
      <c r="P152" s="57" t="e">
        <f t="shared" si="29"/>
        <v>#DIV/0!</v>
      </c>
      <c r="Q152" s="57">
        <f t="shared" si="30"/>
        <v>0</v>
      </c>
      <c r="R152" s="39">
        <f t="shared" si="31"/>
        <v>0</v>
      </c>
      <c r="S152" s="58"/>
      <c r="T152" s="58"/>
      <c r="U152" s="66"/>
      <c r="V152" s="66"/>
      <c r="W152" s="70"/>
      <c r="X152" s="57"/>
      <c r="Y152" s="57"/>
    </row>
    <row r="153" spans="1:26" x14ac:dyDescent="0.25">
      <c r="A153" s="20" t="s">
        <v>628</v>
      </c>
      <c r="B153" s="10" t="s">
        <v>589</v>
      </c>
      <c r="C153" s="10">
        <v>2</v>
      </c>
      <c r="D153" t="s">
        <v>571</v>
      </c>
      <c r="E153" s="20" t="s">
        <v>500</v>
      </c>
      <c r="F153" s="20" t="s">
        <v>0</v>
      </c>
      <c r="G153" t="s">
        <v>206</v>
      </c>
      <c r="H153" t="s">
        <v>208</v>
      </c>
      <c r="I153" t="s">
        <v>211</v>
      </c>
      <c r="J153" t="s">
        <v>65</v>
      </c>
      <c r="K153" s="56">
        <v>40000</v>
      </c>
      <c r="L153" s="125">
        <v>13000</v>
      </c>
      <c r="M153" s="56">
        <v>13000</v>
      </c>
      <c r="N153" s="56">
        <v>16115.05</v>
      </c>
      <c r="O153" s="70">
        <f t="shared" si="28"/>
        <v>1</v>
      </c>
      <c r="P153" s="57">
        <f t="shared" si="29"/>
        <v>0.32500000000000001</v>
      </c>
      <c r="Q153" s="57">
        <f t="shared" si="30"/>
        <v>0.80669932764713737</v>
      </c>
      <c r="R153" s="39">
        <f t="shared" si="31"/>
        <v>27000</v>
      </c>
      <c r="S153" s="58"/>
      <c r="T153" s="58">
        <v>4800</v>
      </c>
      <c r="U153" s="66">
        <v>3900</v>
      </c>
      <c r="V153" s="66">
        <v>3445</v>
      </c>
      <c r="W153" s="70">
        <f t="shared" si="24"/>
        <v>0.8125</v>
      </c>
      <c r="X153" s="57">
        <f t="shared" si="25"/>
        <v>9.7500000000000003E-2</v>
      </c>
      <c r="Y153" s="57">
        <f t="shared" si="26"/>
        <v>1.1320754716981132</v>
      </c>
      <c r="Z153" s="39">
        <f t="shared" si="27"/>
        <v>35200</v>
      </c>
    </row>
    <row r="154" spans="1:26" x14ac:dyDescent="0.25">
      <c r="A154" s="20" t="s">
        <v>636</v>
      </c>
      <c r="B154" s="10" t="s">
        <v>591</v>
      </c>
      <c r="C154" s="10">
        <v>1</v>
      </c>
      <c r="D154" t="s">
        <v>571</v>
      </c>
      <c r="E154" s="20" t="s">
        <v>500</v>
      </c>
      <c r="F154" s="20" t="s">
        <v>0</v>
      </c>
      <c r="G154" t="s">
        <v>206</v>
      </c>
      <c r="H154" t="s">
        <v>208</v>
      </c>
      <c r="I154" t="s">
        <v>212</v>
      </c>
      <c r="J154" t="s">
        <v>70</v>
      </c>
      <c r="K154" s="56">
        <v>483300</v>
      </c>
      <c r="L154" s="125">
        <v>190000</v>
      </c>
      <c r="M154" s="56">
        <v>185220</v>
      </c>
      <c r="N154" s="56">
        <v>119664</v>
      </c>
      <c r="O154" s="70">
        <f t="shared" si="28"/>
        <v>0.97484210526315784</v>
      </c>
      <c r="P154" s="57">
        <f t="shared" si="29"/>
        <v>0.38324022346368714</v>
      </c>
      <c r="Q154" s="57">
        <f t="shared" si="30"/>
        <v>1.5478339350180506</v>
      </c>
      <c r="R154" s="39">
        <f t="shared" si="31"/>
        <v>298080</v>
      </c>
      <c r="S154" s="58"/>
      <c r="T154" s="58">
        <v>35000</v>
      </c>
      <c r="U154" s="66">
        <v>29106</v>
      </c>
      <c r="V154" s="66">
        <v>68148</v>
      </c>
      <c r="W154" s="70">
        <f t="shared" si="24"/>
        <v>0.83160000000000001</v>
      </c>
      <c r="X154" s="57">
        <f t="shared" si="25"/>
        <v>6.0223463687150841E-2</v>
      </c>
      <c r="Y154" s="57">
        <f t="shared" si="26"/>
        <v>0.42709984152139463</v>
      </c>
      <c r="Z154" s="39">
        <f t="shared" si="27"/>
        <v>448300</v>
      </c>
    </row>
    <row r="155" spans="1:26" x14ac:dyDescent="0.25">
      <c r="A155" s="20" t="s">
        <v>630</v>
      </c>
      <c r="B155" s="10" t="s">
        <v>592</v>
      </c>
      <c r="C155" s="10">
        <v>2</v>
      </c>
      <c r="D155" t="s">
        <v>571</v>
      </c>
      <c r="E155" s="20" t="s">
        <v>500</v>
      </c>
      <c r="F155" s="20" t="s">
        <v>0</v>
      </c>
      <c r="G155" t="s">
        <v>206</v>
      </c>
      <c r="H155" t="s">
        <v>208</v>
      </c>
      <c r="I155" t="s">
        <v>213</v>
      </c>
      <c r="J155" t="s">
        <v>118</v>
      </c>
      <c r="K155" s="56">
        <v>23800</v>
      </c>
      <c r="L155" s="125">
        <v>24000</v>
      </c>
      <c r="M155" s="56">
        <v>23587.599999999999</v>
      </c>
      <c r="N155" s="56">
        <v>10996.5</v>
      </c>
      <c r="O155" s="70">
        <f t="shared" si="28"/>
        <v>0.98281666666666656</v>
      </c>
      <c r="P155" s="57">
        <f t="shared" si="29"/>
        <v>0.99107563025210077</v>
      </c>
      <c r="Q155" s="57">
        <f t="shared" si="30"/>
        <v>2.1450097758377664</v>
      </c>
      <c r="R155" s="39">
        <f t="shared" si="31"/>
        <v>212.40000000000146</v>
      </c>
      <c r="S155" s="58"/>
      <c r="T155" s="58">
        <v>11000</v>
      </c>
      <c r="U155" s="66">
        <v>10122.25</v>
      </c>
      <c r="V155" s="66">
        <v>7191.4699999999993</v>
      </c>
      <c r="W155" s="70">
        <f t="shared" si="24"/>
        <v>0.92020454545454544</v>
      </c>
      <c r="X155" s="57">
        <f t="shared" si="25"/>
        <v>0.42530462184873952</v>
      </c>
      <c r="Y155" s="57">
        <f t="shared" si="26"/>
        <v>1.4075355942526355</v>
      </c>
      <c r="Z155" s="39">
        <f t="shared" si="27"/>
        <v>12800</v>
      </c>
    </row>
    <row r="156" spans="1:26" x14ac:dyDescent="0.25">
      <c r="A156" s="20" t="s">
        <v>627</v>
      </c>
      <c r="B156" s="10" t="s">
        <v>605</v>
      </c>
      <c r="C156" s="10">
        <v>1</v>
      </c>
      <c r="D156" t="s">
        <v>571</v>
      </c>
      <c r="E156" s="20" t="s">
        <v>500</v>
      </c>
      <c r="F156" s="20" t="s">
        <v>0</v>
      </c>
      <c r="G156" t="s">
        <v>206</v>
      </c>
      <c r="H156" t="s">
        <v>208</v>
      </c>
      <c r="I156" t="s">
        <v>567</v>
      </c>
      <c r="J156" t="s">
        <v>570</v>
      </c>
      <c r="K156" s="12">
        <v>0</v>
      </c>
      <c r="L156" s="125">
        <v>0</v>
      </c>
      <c r="M156" s="56">
        <v>0</v>
      </c>
      <c r="N156" s="56">
        <v>1235</v>
      </c>
      <c r="O156" s="70" t="e">
        <f t="shared" si="28"/>
        <v>#DIV/0!</v>
      </c>
      <c r="P156" s="57" t="e">
        <f t="shared" si="29"/>
        <v>#DIV/0!</v>
      </c>
      <c r="Q156" s="57">
        <f t="shared" si="30"/>
        <v>0</v>
      </c>
      <c r="R156" s="39">
        <f t="shared" si="31"/>
        <v>0</v>
      </c>
      <c r="T156" s="58">
        <v>0</v>
      </c>
      <c r="V156" s="12">
        <v>455</v>
      </c>
      <c r="W156" s="70" t="e">
        <f t="shared" si="24"/>
        <v>#DIV/0!</v>
      </c>
      <c r="X156" s="57" t="e">
        <f t="shared" si="25"/>
        <v>#DIV/0!</v>
      </c>
      <c r="Y156" s="57">
        <f t="shared" si="26"/>
        <v>0</v>
      </c>
      <c r="Z156" s="39">
        <f t="shared" si="27"/>
        <v>0</v>
      </c>
    </row>
    <row r="157" spans="1:26" x14ac:dyDescent="0.25">
      <c r="A157" s="20" t="s">
        <v>558</v>
      </c>
      <c r="B157" s="10" t="s">
        <v>559</v>
      </c>
      <c r="C157" s="10">
        <v>1</v>
      </c>
      <c r="D157" t="s">
        <v>571</v>
      </c>
      <c r="E157" s="20" t="s">
        <v>500</v>
      </c>
      <c r="F157" s="20" t="s">
        <v>0</v>
      </c>
      <c r="G157" t="s">
        <v>206</v>
      </c>
      <c r="H157" t="s">
        <v>208</v>
      </c>
      <c r="I157" t="s">
        <v>742</v>
      </c>
      <c r="J157" t="s">
        <v>7</v>
      </c>
      <c r="K157" s="12">
        <v>10000</v>
      </c>
      <c r="L157" s="125">
        <v>0</v>
      </c>
      <c r="M157" s="56">
        <v>0</v>
      </c>
      <c r="N157" s="56">
        <v>0</v>
      </c>
      <c r="O157" s="70" t="e">
        <f t="shared" si="28"/>
        <v>#DIV/0!</v>
      </c>
      <c r="P157" s="57">
        <f t="shared" si="29"/>
        <v>0</v>
      </c>
      <c r="Q157" s="57" t="e">
        <f t="shared" si="30"/>
        <v>#DIV/0!</v>
      </c>
      <c r="R157" s="39">
        <f t="shared" si="31"/>
        <v>10000</v>
      </c>
      <c r="T157" s="58"/>
      <c r="V157" s="12"/>
      <c r="W157" s="70"/>
      <c r="X157" s="57"/>
      <c r="Y157" s="57"/>
    </row>
    <row r="158" spans="1:26" x14ac:dyDescent="0.25">
      <c r="A158" s="20" t="s">
        <v>625</v>
      </c>
      <c r="B158" s="10" t="s">
        <v>585</v>
      </c>
      <c r="C158" s="10">
        <v>1</v>
      </c>
      <c r="D158" t="s">
        <v>571</v>
      </c>
      <c r="E158" s="20" t="s">
        <v>501</v>
      </c>
      <c r="F158" s="20" t="s">
        <v>0</v>
      </c>
      <c r="G158" t="s">
        <v>214</v>
      </c>
      <c r="H158" t="s">
        <v>216</v>
      </c>
      <c r="I158" t="s">
        <v>215</v>
      </c>
      <c r="J158" t="s">
        <v>53</v>
      </c>
      <c r="K158" s="56">
        <v>24700</v>
      </c>
      <c r="L158" s="125">
        <v>6000</v>
      </c>
      <c r="M158" s="56">
        <v>6000</v>
      </c>
      <c r="N158" s="56">
        <v>0</v>
      </c>
      <c r="O158" s="70">
        <f t="shared" si="28"/>
        <v>1</v>
      </c>
      <c r="P158" s="57">
        <f t="shared" si="29"/>
        <v>0.24291497975708501</v>
      </c>
      <c r="Q158" s="57" t="e">
        <f t="shared" si="30"/>
        <v>#DIV/0!</v>
      </c>
      <c r="R158" s="39">
        <f t="shared" si="31"/>
        <v>18700</v>
      </c>
      <c r="S158" s="58"/>
      <c r="T158" s="58">
        <v>5500</v>
      </c>
      <c r="U158" s="66">
        <v>5000</v>
      </c>
      <c r="V158" s="66">
        <v>0</v>
      </c>
      <c r="W158" s="70">
        <f t="shared" si="24"/>
        <v>0.90909090909090906</v>
      </c>
      <c r="X158" s="57">
        <f t="shared" si="25"/>
        <v>0.20242914979757085</v>
      </c>
      <c r="Y158" s="57" t="e">
        <f t="shared" si="26"/>
        <v>#DIV/0!</v>
      </c>
      <c r="Z158" s="39">
        <f t="shared" si="27"/>
        <v>19200</v>
      </c>
    </row>
    <row r="159" spans="1:26" x14ac:dyDescent="0.25">
      <c r="A159" s="20" t="s">
        <v>607</v>
      </c>
      <c r="B159" s="10" t="s">
        <v>572</v>
      </c>
      <c r="C159" s="10">
        <v>1</v>
      </c>
      <c r="D159" t="s">
        <v>571</v>
      </c>
      <c r="E159" s="20" t="s">
        <v>501</v>
      </c>
      <c r="F159" s="20" t="s">
        <v>0</v>
      </c>
      <c r="G159" t="s">
        <v>214</v>
      </c>
      <c r="H159" t="s">
        <v>216</v>
      </c>
      <c r="I159" t="s">
        <v>217</v>
      </c>
      <c r="J159" t="s">
        <v>12</v>
      </c>
      <c r="K159" s="56">
        <v>37100</v>
      </c>
      <c r="L159" s="125">
        <v>35000</v>
      </c>
      <c r="M159" s="56">
        <v>34544.400000000001</v>
      </c>
      <c r="N159" s="56">
        <v>0</v>
      </c>
      <c r="O159" s="70">
        <f t="shared" si="28"/>
        <v>0.98698285714285716</v>
      </c>
      <c r="P159" s="57">
        <f t="shared" si="29"/>
        <v>0.93111590296495961</v>
      </c>
      <c r="Q159" s="57" t="e">
        <f t="shared" si="30"/>
        <v>#DIV/0!</v>
      </c>
      <c r="R159" s="39">
        <f t="shared" si="31"/>
        <v>2555.5999999999985</v>
      </c>
      <c r="S159" s="58"/>
      <c r="T159" s="58">
        <v>37000</v>
      </c>
      <c r="U159" s="66">
        <v>34544.400000000001</v>
      </c>
      <c r="V159" s="66">
        <v>0</v>
      </c>
      <c r="W159" s="70">
        <f t="shared" si="24"/>
        <v>0.93363243243243244</v>
      </c>
      <c r="X159" s="57">
        <f t="shared" si="25"/>
        <v>0.93111590296495961</v>
      </c>
      <c r="Y159" s="57" t="e">
        <f t="shared" si="26"/>
        <v>#DIV/0!</v>
      </c>
      <c r="Z159" s="39">
        <f t="shared" si="27"/>
        <v>100</v>
      </c>
    </row>
    <row r="160" spans="1:26" x14ac:dyDescent="0.25">
      <c r="A160" s="20" t="s">
        <v>646</v>
      </c>
      <c r="B160" s="10" t="s">
        <v>603</v>
      </c>
      <c r="C160" s="10">
        <v>1</v>
      </c>
      <c r="D160" t="s">
        <v>571</v>
      </c>
      <c r="E160" s="20" t="s">
        <v>501</v>
      </c>
      <c r="F160" s="20" t="s">
        <v>0</v>
      </c>
      <c r="G160" t="s">
        <v>214</v>
      </c>
      <c r="H160" t="s">
        <v>216</v>
      </c>
      <c r="I160" t="s">
        <v>218</v>
      </c>
      <c r="J160" t="s">
        <v>105</v>
      </c>
      <c r="K160" s="56">
        <v>6000</v>
      </c>
      <c r="L160" s="125">
        <v>0</v>
      </c>
      <c r="M160" s="56">
        <v>0</v>
      </c>
      <c r="N160" s="56">
        <v>0</v>
      </c>
      <c r="O160" s="70" t="e">
        <f t="shared" si="28"/>
        <v>#DIV/0!</v>
      </c>
      <c r="P160" s="57">
        <f t="shared" si="29"/>
        <v>0</v>
      </c>
      <c r="Q160" s="57" t="e">
        <f t="shared" si="30"/>
        <v>#DIV/0!</v>
      </c>
      <c r="R160" s="39">
        <f t="shared" si="31"/>
        <v>6000</v>
      </c>
      <c r="S160" s="58"/>
      <c r="T160" s="58">
        <v>0</v>
      </c>
      <c r="U160" s="66">
        <v>0</v>
      </c>
      <c r="V160" s="66">
        <v>0</v>
      </c>
      <c r="W160" s="70" t="e">
        <f t="shared" si="24"/>
        <v>#DIV/0!</v>
      </c>
      <c r="X160" s="57">
        <f t="shared" si="25"/>
        <v>0</v>
      </c>
      <c r="Y160" s="57" t="e">
        <f t="shared" si="26"/>
        <v>#DIV/0!</v>
      </c>
      <c r="Z160" s="39">
        <f t="shared" si="27"/>
        <v>6000</v>
      </c>
    </row>
    <row r="161" spans="1:26" x14ac:dyDescent="0.25">
      <c r="A161" s="20" t="s">
        <v>613</v>
      </c>
      <c r="B161" s="10" t="s">
        <v>575</v>
      </c>
      <c r="C161" s="10">
        <v>2</v>
      </c>
      <c r="D161" t="s">
        <v>571</v>
      </c>
      <c r="E161" s="20" t="s">
        <v>501</v>
      </c>
      <c r="F161" s="20" t="s">
        <v>0</v>
      </c>
      <c r="G161" t="s">
        <v>214</v>
      </c>
      <c r="H161" t="s">
        <v>216</v>
      </c>
      <c r="I161" t="s">
        <v>731</v>
      </c>
      <c r="J161" t="s">
        <v>22</v>
      </c>
      <c r="K161" s="119">
        <v>8500</v>
      </c>
      <c r="L161" s="125">
        <v>0</v>
      </c>
      <c r="M161" s="56">
        <v>0</v>
      </c>
      <c r="N161" s="119">
        <v>54800.000000000007</v>
      </c>
      <c r="O161" s="70" t="e">
        <f t="shared" si="28"/>
        <v>#DIV/0!</v>
      </c>
      <c r="P161" s="57">
        <f t="shared" si="29"/>
        <v>0</v>
      </c>
      <c r="Q161" s="57">
        <f t="shared" si="30"/>
        <v>0</v>
      </c>
      <c r="R161" s="39">
        <f t="shared" si="31"/>
        <v>8500</v>
      </c>
      <c r="S161" s="58"/>
      <c r="T161" s="58"/>
      <c r="U161" s="66"/>
      <c r="V161" s="66"/>
      <c r="W161" s="70"/>
      <c r="X161" s="57"/>
      <c r="Y161" s="57"/>
    </row>
    <row r="162" spans="1:26" x14ac:dyDescent="0.25">
      <c r="A162" s="20" t="s">
        <v>613</v>
      </c>
      <c r="B162" s="10" t="s">
        <v>575</v>
      </c>
      <c r="C162" s="10">
        <v>5</v>
      </c>
      <c r="D162" t="s">
        <v>571</v>
      </c>
      <c r="E162" s="20" t="s">
        <v>501</v>
      </c>
      <c r="F162" s="20" t="s">
        <v>0</v>
      </c>
      <c r="G162" t="s">
        <v>214</v>
      </c>
      <c r="H162" t="s">
        <v>216</v>
      </c>
      <c r="I162" t="s">
        <v>881</v>
      </c>
      <c r="J162" t="s">
        <v>22</v>
      </c>
      <c r="K162" s="12">
        <v>0</v>
      </c>
      <c r="L162" s="125">
        <v>0</v>
      </c>
      <c r="M162" s="56">
        <v>0</v>
      </c>
      <c r="N162" s="119">
        <v>60617.599999999999</v>
      </c>
      <c r="O162" s="70" t="e">
        <f t="shared" si="28"/>
        <v>#DIV/0!</v>
      </c>
      <c r="P162" s="57" t="e">
        <f t="shared" si="29"/>
        <v>#DIV/0!</v>
      </c>
      <c r="Q162" s="57">
        <f t="shared" si="30"/>
        <v>0</v>
      </c>
      <c r="R162" s="39">
        <f t="shared" si="31"/>
        <v>0</v>
      </c>
      <c r="S162" s="58"/>
      <c r="T162" s="58"/>
      <c r="U162" s="66"/>
      <c r="V162" s="66"/>
      <c r="W162" s="70"/>
      <c r="X162" s="57"/>
      <c r="Y162" s="57"/>
    </row>
    <row r="163" spans="1:26" x14ac:dyDescent="0.25">
      <c r="A163" s="20" t="s">
        <v>609</v>
      </c>
      <c r="B163" s="10" t="s">
        <v>573</v>
      </c>
      <c r="C163" s="10">
        <v>1</v>
      </c>
      <c r="D163" t="s">
        <v>571</v>
      </c>
      <c r="E163" s="20" t="s">
        <v>501</v>
      </c>
      <c r="F163" s="20" t="s">
        <v>0</v>
      </c>
      <c r="G163" t="s">
        <v>214</v>
      </c>
      <c r="H163" t="s">
        <v>216</v>
      </c>
      <c r="I163" t="s">
        <v>219</v>
      </c>
      <c r="J163" t="s">
        <v>16</v>
      </c>
      <c r="K163" s="56">
        <v>10000</v>
      </c>
      <c r="L163" s="125">
        <v>0</v>
      </c>
      <c r="M163" s="56">
        <v>0</v>
      </c>
      <c r="N163" s="56">
        <v>1936</v>
      </c>
      <c r="O163" s="70" t="e">
        <f t="shared" si="28"/>
        <v>#DIV/0!</v>
      </c>
      <c r="P163" s="57">
        <f t="shared" si="29"/>
        <v>0</v>
      </c>
      <c r="Q163" s="57">
        <f t="shared" si="30"/>
        <v>0</v>
      </c>
      <c r="R163" s="39">
        <f t="shared" si="31"/>
        <v>10000</v>
      </c>
      <c r="S163" s="58"/>
      <c r="T163" s="58">
        <v>0</v>
      </c>
      <c r="U163" s="66">
        <v>0</v>
      </c>
      <c r="V163" s="66">
        <v>0</v>
      </c>
      <c r="W163" s="70" t="e">
        <f t="shared" si="24"/>
        <v>#DIV/0!</v>
      </c>
      <c r="X163" s="57">
        <f t="shared" si="25"/>
        <v>0</v>
      </c>
      <c r="Y163" s="57" t="e">
        <f t="shared" si="26"/>
        <v>#DIV/0!</v>
      </c>
      <c r="Z163" s="39">
        <f t="shared" si="27"/>
        <v>10000</v>
      </c>
    </row>
    <row r="164" spans="1:26" x14ac:dyDescent="0.25">
      <c r="A164" s="20" t="s">
        <v>608</v>
      </c>
      <c r="B164" s="10" t="s">
        <v>574</v>
      </c>
      <c r="C164" s="10">
        <v>1</v>
      </c>
      <c r="D164" t="s">
        <v>571</v>
      </c>
      <c r="E164" s="20" t="s">
        <v>501</v>
      </c>
      <c r="F164" s="20" t="s">
        <v>0</v>
      </c>
      <c r="G164" t="s">
        <v>214</v>
      </c>
      <c r="H164" t="s">
        <v>216</v>
      </c>
      <c r="I164" t="s">
        <v>220</v>
      </c>
      <c r="J164" t="s">
        <v>18</v>
      </c>
      <c r="K164" s="56">
        <v>20000</v>
      </c>
      <c r="L164" s="125">
        <v>13000</v>
      </c>
      <c r="M164" s="56">
        <v>12728.599999999999</v>
      </c>
      <c r="N164" s="56">
        <v>16148.099999999999</v>
      </c>
      <c r="O164" s="70">
        <f t="shared" si="28"/>
        <v>0.97912307692307676</v>
      </c>
      <c r="P164" s="57">
        <f t="shared" si="29"/>
        <v>0.63642999999999994</v>
      </c>
      <c r="Q164" s="57">
        <f t="shared" si="30"/>
        <v>0.7882413410865674</v>
      </c>
      <c r="R164" s="39">
        <f t="shared" si="31"/>
        <v>7271.4000000000015</v>
      </c>
      <c r="S164" s="58"/>
      <c r="T164" s="58">
        <v>3500</v>
      </c>
      <c r="U164" s="66">
        <v>2876</v>
      </c>
      <c r="V164" s="66">
        <v>10630.099999999999</v>
      </c>
      <c r="W164" s="70">
        <f t="shared" si="24"/>
        <v>0.82171428571428573</v>
      </c>
      <c r="X164" s="57">
        <f t="shared" si="25"/>
        <v>0.14380000000000001</v>
      </c>
      <c r="Y164" s="57">
        <f t="shared" si="26"/>
        <v>0.27055248774705792</v>
      </c>
      <c r="Z164" s="39">
        <f t="shared" si="27"/>
        <v>16500</v>
      </c>
    </row>
    <row r="165" spans="1:26" x14ac:dyDescent="0.25">
      <c r="A165" s="20" t="s">
        <v>619</v>
      </c>
      <c r="B165" s="10" t="s">
        <v>580</v>
      </c>
      <c r="C165" s="10">
        <v>2</v>
      </c>
      <c r="D165" t="s">
        <v>571</v>
      </c>
      <c r="E165" s="20" t="s">
        <v>501</v>
      </c>
      <c r="F165" s="20" t="s">
        <v>0</v>
      </c>
      <c r="G165" t="s">
        <v>214</v>
      </c>
      <c r="H165" t="s">
        <v>216</v>
      </c>
      <c r="I165" t="s">
        <v>221</v>
      </c>
      <c r="J165" t="s">
        <v>34</v>
      </c>
      <c r="K165" s="56">
        <v>25000</v>
      </c>
      <c r="L165" s="125">
        <v>25000</v>
      </c>
      <c r="M165" s="56">
        <v>24904</v>
      </c>
      <c r="N165" s="56">
        <v>0</v>
      </c>
      <c r="O165" s="70">
        <f t="shared" si="28"/>
        <v>0.99616000000000005</v>
      </c>
      <c r="P165" s="57">
        <f t="shared" si="29"/>
        <v>0.99616000000000005</v>
      </c>
      <c r="Q165" s="57" t="e">
        <f t="shared" si="30"/>
        <v>#DIV/0!</v>
      </c>
      <c r="R165" s="39">
        <f t="shared" si="31"/>
        <v>96</v>
      </c>
      <c r="S165" s="58"/>
      <c r="T165" s="58">
        <v>28000</v>
      </c>
      <c r="U165" s="66">
        <v>24904</v>
      </c>
      <c r="V165" s="66">
        <v>0</v>
      </c>
      <c r="W165" s="70">
        <f t="shared" si="24"/>
        <v>0.88942857142857146</v>
      </c>
      <c r="X165" s="57">
        <f t="shared" si="25"/>
        <v>0.99616000000000005</v>
      </c>
      <c r="Y165" s="57" t="e">
        <f t="shared" si="26"/>
        <v>#DIV/0!</v>
      </c>
      <c r="Z165" s="39">
        <f t="shared" si="27"/>
        <v>-3000</v>
      </c>
    </row>
    <row r="166" spans="1:26" x14ac:dyDescent="0.25">
      <c r="A166" s="20" t="s">
        <v>652</v>
      </c>
      <c r="B166" s="10" t="s">
        <v>579</v>
      </c>
      <c r="C166" s="10">
        <v>2</v>
      </c>
      <c r="D166" t="s">
        <v>571</v>
      </c>
      <c r="E166" s="20" t="s">
        <v>501</v>
      </c>
      <c r="F166" s="20" t="s">
        <v>0</v>
      </c>
      <c r="G166" t="s">
        <v>214</v>
      </c>
      <c r="H166" t="s">
        <v>216</v>
      </c>
      <c r="I166" t="s">
        <v>889</v>
      </c>
      <c r="J166" t="s">
        <v>30</v>
      </c>
      <c r="K166" s="56">
        <v>0</v>
      </c>
      <c r="L166" s="125">
        <v>0</v>
      </c>
      <c r="M166" s="56">
        <v>0</v>
      </c>
      <c r="N166" s="119">
        <v>9500</v>
      </c>
      <c r="O166" s="70" t="e">
        <f t="shared" si="28"/>
        <v>#DIV/0!</v>
      </c>
      <c r="P166" s="57" t="e">
        <f t="shared" si="29"/>
        <v>#DIV/0!</v>
      </c>
      <c r="Q166" s="57">
        <f t="shared" si="30"/>
        <v>0</v>
      </c>
      <c r="R166" s="39">
        <f t="shared" si="31"/>
        <v>0</v>
      </c>
      <c r="S166" s="58"/>
      <c r="T166" s="58"/>
      <c r="U166" s="66"/>
      <c r="V166" s="66"/>
      <c r="W166" s="70"/>
      <c r="X166" s="57"/>
      <c r="Y166" s="57"/>
    </row>
    <row r="167" spans="1:26" x14ac:dyDescent="0.25">
      <c r="A167" s="20" t="s">
        <v>651</v>
      </c>
      <c r="B167" s="10" t="s">
        <v>604</v>
      </c>
      <c r="C167" s="10">
        <v>2</v>
      </c>
      <c r="D167" t="s">
        <v>571</v>
      </c>
      <c r="E167" s="20" t="s">
        <v>501</v>
      </c>
      <c r="F167" s="20" t="s">
        <v>0</v>
      </c>
      <c r="G167" t="s">
        <v>214</v>
      </c>
      <c r="H167" t="s">
        <v>216</v>
      </c>
      <c r="I167" t="s">
        <v>734</v>
      </c>
      <c r="J167" t="s">
        <v>107</v>
      </c>
      <c r="K167" s="119">
        <v>100000</v>
      </c>
      <c r="L167" s="125">
        <v>0</v>
      </c>
      <c r="M167" s="56">
        <v>0</v>
      </c>
      <c r="N167" s="56">
        <v>0</v>
      </c>
      <c r="O167" s="70" t="e">
        <f t="shared" si="28"/>
        <v>#DIV/0!</v>
      </c>
      <c r="P167" s="57">
        <f t="shared" si="29"/>
        <v>0</v>
      </c>
      <c r="Q167" s="57" t="e">
        <f t="shared" si="30"/>
        <v>#DIV/0!</v>
      </c>
      <c r="R167" s="39">
        <f t="shared" si="31"/>
        <v>100000</v>
      </c>
      <c r="S167" s="58"/>
      <c r="T167" s="58"/>
      <c r="U167" s="66"/>
      <c r="V167" s="66"/>
      <c r="W167" s="70"/>
      <c r="X167" s="57"/>
      <c r="Y167" s="57"/>
    </row>
    <row r="168" spans="1:26" x14ac:dyDescent="0.25">
      <c r="A168" s="20" t="s">
        <v>628</v>
      </c>
      <c r="B168" s="10" t="s">
        <v>589</v>
      </c>
      <c r="C168" s="10">
        <v>2</v>
      </c>
      <c r="D168" t="s">
        <v>571</v>
      </c>
      <c r="E168" s="20" t="s">
        <v>501</v>
      </c>
      <c r="F168" s="20" t="s">
        <v>0</v>
      </c>
      <c r="G168" t="s">
        <v>214</v>
      </c>
      <c r="H168" t="s">
        <v>216</v>
      </c>
      <c r="I168" t="s">
        <v>222</v>
      </c>
      <c r="J168" t="s">
        <v>65</v>
      </c>
      <c r="K168" s="56">
        <v>60000</v>
      </c>
      <c r="L168" s="125">
        <v>7000</v>
      </c>
      <c r="M168" s="56">
        <v>6927.9</v>
      </c>
      <c r="N168" s="56">
        <v>11326</v>
      </c>
      <c r="O168" s="70">
        <f t="shared" si="28"/>
        <v>0.98969999999999991</v>
      </c>
      <c r="P168" s="57">
        <f t="shared" si="29"/>
        <v>0.115465</v>
      </c>
      <c r="Q168" s="57">
        <f t="shared" si="30"/>
        <v>0.61168108776266994</v>
      </c>
      <c r="R168" s="39">
        <f t="shared" si="31"/>
        <v>53072.1</v>
      </c>
      <c r="S168" s="58"/>
      <c r="T168" s="58">
        <v>0</v>
      </c>
      <c r="U168" s="66">
        <v>0</v>
      </c>
      <c r="V168" s="66">
        <v>80</v>
      </c>
      <c r="W168" s="70" t="e">
        <f t="shared" si="24"/>
        <v>#DIV/0!</v>
      </c>
      <c r="X168" s="57">
        <f t="shared" si="25"/>
        <v>0</v>
      </c>
      <c r="Y168" s="57">
        <f t="shared" si="26"/>
        <v>0</v>
      </c>
      <c r="Z168" s="39">
        <f t="shared" si="27"/>
        <v>60000</v>
      </c>
    </row>
    <row r="169" spans="1:26" x14ac:dyDescent="0.25">
      <c r="A169" s="20" t="s">
        <v>636</v>
      </c>
      <c r="B169" s="10" t="s">
        <v>591</v>
      </c>
      <c r="C169" s="10">
        <v>1</v>
      </c>
      <c r="D169" t="s">
        <v>571</v>
      </c>
      <c r="E169" s="20" t="s">
        <v>501</v>
      </c>
      <c r="F169" s="20" t="s">
        <v>0</v>
      </c>
      <c r="G169" t="s">
        <v>214</v>
      </c>
      <c r="H169" t="s">
        <v>216</v>
      </c>
      <c r="I169" t="s">
        <v>223</v>
      </c>
      <c r="J169" t="s">
        <v>70</v>
      </c>
      <c r="K169" s="56">
        <v>742500</v>
      </c>
      <c r="L169" s="125">
        <v>370000</v>
      </c>
      <c r="M169" s="56">
        <v>363253.75000000012</v>
      </c>
      <c r="N169" s="56">
        <v>527960.16</v>
      </c>
      <c r="O169" s="70">
        <f t="shared" si="28"/>
        <v>0.98176689189189226</v>
      </c>
      <c r="P169" s="57">
        <f t="shared" si="29"/>
        <v>0.4892306397306399</v>
      </c>
      <c r="Q169" s="57">
        <f t="shared" si="30"/>
        <v>0.68803250230093138</v>
      </c>
      <c r="R169" s="39">
        <f t="shared" si="31"/>
        <v>379246.24999999988</v>
      </c>
      <c r="S169" s="58"/>
      <c r="T169" s="58">
        <v>120000</v>
      </c>
      <c r="U169" s="66">
        <v>100867.72000000002</v>
      </c>
      <c r="V169" s="66">
        <v>228331.44</v>
      </c>
      <c r="W169" s="70">
        <f t="shared" si="24"/>
        <v>0.84056433333333347</v>
      </c>
      <c r="X169" s="57">
        <f t="shared" si="25"/>
        <v>0.13584878114478116</v>
      </c>
      <c r="Y169" s="57">
        <f t="shared" si="26"/>
        <v>0.44176010101806396</v>
      </c>
      <c r="Z169" s="39">
        <f t="shared" si="27"/>
        <v>622500</v>
      </c>
    </row>
    <row r="170" spans="1:26" x14ac:dyDescent="0.25">
      <c r="A170" s="20" t="s">
        <v>630</v>
      </c>
      <c r="B170" s="10" t="s">
        <v>592</v>
      </c>
      <c r="C170" s="10">
        <v>2</v>
      </c>
      <c r="D170" t="s">
        <v>571</v>
      </c>
      <c r="E170" s="20" t="s">
        <v>501</v>
      </c>
      <c r="F170" s="20" t="s">
        <v>0</v>
      </c>
      <c r="G170" t="s">
        <v>214</v>
      </c>
      <c r="H170" t="s">
        <v>216</v>
      </c>
      <c r="I170" t="s">
        <v>224</v>
      </c>
      <c r="J170" t="s">
        <v>118</v>
      </c>
      <c r="K170" s="56">
        <v>83500</v>
      </c>
      <c r="L170" s="125">
        <v>24000</v>
      </c>
      <c r="M170" s="56">
        <v>23357.93</v>
      </c>
      <c r="N170" s="56">
        <v>28987.39</v>
      </c>
      <c r="O170" s="70">
        <f t="shared" si="28"/>
        <v>0.97324708333333332</v>
      </c>
      <c r="P170" s="57">
        <f t="shared" si="29"/>
        <v>0.2797356886227545</v>
      </c>
      <c r="Q170" s="57">
        <f t="shared" si="30"/>
        <v>0.80579624450493825</v>
      </c>
      <c r="R170" s="39">
        <f t="shared" si="31"/>
        <v>60142.07</v>
      </c>
      <c r="S170" s="58"/>
      <c r="T170" s="58">
        <v>27000</v>
      </c>
      <c r="U170" s="66">
        <v>23357.93</v>
      </c>
      <c r="V170" s="66">
        <v>13565.4</v>
      </c>
      <c r="W170" s="70">
        <f t="shared" si="24"/>
        <v>0.86510851851851855</v>
      </c>
      <c r="X170" s="57">
        <f t="shared" si="25"/>
        <v>0.2797356886227545</v>
      </c>
      <c r="Y170" s="57">
        <f t="shared" si="26"/>
        <v>1.7218755068040752</v>
      </c>
      <c r="Z170" s="39">
        <f t="shared" si="27"/>
        <v>56500</v>
      </c>
    </row>
    <row r="171" spans="1:26" x14ac:dyDescent="0.25">
      <c r="A171" s="20" t="s">
        <v>642</v>
      </c>
      <c r="B171" s="10" t="s">
        <v>597</v>
      </c>
      <c r="C171" s="10">
        <v>1</v>
      </c>
      <c r="D171" t="s">
        <v>571</v>
      </c>
      <c r="E171" s="20" t="s">
        <v>501</v>
      </c>
      <c r="F171" s="20" t="s">
        <v>0</v>
      </c>
      <c r="G171" t="s">
        <v>214</v>
      </c>
      <c r="H171" t="s">
        <v>216</v>
      </c>
      <c r="I171" t="s">
        <v>892</v>
      </c>
      <c r="J171" t="s">
        <v>87</v>
      </c>
      <c r="K171" s="56">
        <v>0</v>
      </c>
      <c r="L171" s="125">
        <v>0</v>
      </c>
      <c r="M171" s="56">
        <v>0</v>
      </c>
      <c r="N171" s="119">
        <v>32541.42</v>
      </c>
      <c r="O171" s="70" t="e">
        <f t="shared" si="28"/>
        <v>#DIV/0!</v>
      </c>
      <c r="P171" s="57" t="e">
        <f t="shared" si="29"/>
        <v>#DIV/0!</v>
      </c>
      <c r="Q171" s="57">
        <f t="shared" si="30"/>
        <v>0</v>
      </c>
      <c r="R171" s="39">
        <f t="shared" si="31"/>
        <v>0</v>
      </c>
      <c r="S171" s="58"/>
      <c r="T171" s="58"/>
      <c r="U171" s="66"/>
      <c r="V171" s="66"/>
      <c r="W171" s="70"/>
      <c r="X171" s="57"/>
      <c r="Y171" s="57"/>
    </row>
    <row r="172" spans="1:26" x14ac:dyDescent="0.25">
      <c r="A172" s="20" t="s">
        <v>641</v>
      </c>
      <c r="B172" s="10" t="s">
        <v>599</v>
      </c>
      <c r="C172" s="10">
        <v>1</v>
      </c>
      <c r="D172" t="s">
        <v>571</v>
      </c>
      <c r="E172" s="20" t="s">
        <v>501</v>
      </c>
      <c r="F172" s="20" t="s">
        <v>0</v>
      </c>
      <c r="G172" t="s">
        <v>214</v>
      </c>
      <c r="H172" t="s">
        <v>216</v>
      </c>
      <c r="I172" t="s">
        <v>568</v>
      </c>
      <c r="J172" t="s">
        <v>91</v>
      </c>
      <c r="K172" s="12">
        <v>50000</v>
      </c>
      <c r="L172" s="125">
        <v>0</v>
      </c>
      <c r="M172" s="56">
        <v>0</v>
      </c>
      <c r="N172" s="56">
        <v>2080</v>
      </c>
      <c r="O172" s="70" t="e">
        <f t="shared" si="28"/>
        <v>#DIV/0!</v>
      </c>
      <c r="P172" s="57">
        <f t="shared" si="29"/>
        <v>0</v>
      </c>
      <c r="Q172" s="57">
        <f t="shared" si="30"/>
        <v>0</v>
      </c>
      <c r="R172" s="39">
        <f t="shared" si="31"/>
        <v>50000</v>
      </c>
      <c r="T172" s="58">
        <v>0</v>
      </c>
      <c r="V172" s="12">
        <v>2080</v>
      </c>
      <c r="W172" s="70" t="e">
        <f t="shared" si="24"/>
        <v>#DIV/0!</v>
      </c>
      <c r="X172" s="57">
        <f t="shared" si="25"/>
        <v>0</v>
      </c>
      <c r="Y172" s="57">
        <f t="shared" si="26"/>
        <v>0</v>
      </c>
      <c r="Z172" s="39">
        <f t="shared" si="27"/>
        <v>50000</v>
      </c>
    </row>
    <row r="173" spans="1:26" x14ac:dyDescent="0.25">
      <c r="A173" s="20" t="s">
        <v>639</v>
      </c>
      <c r="B173" s="10" t="s">
        <v>600</v>
      </c>
      <c r="C173" s="10">
        <v>1</v>
      </c>
      <c r="D173" t="s">
        <v>571</v>
      </c>
      <c r="E173" s="20" t="s">
        <v>501</v>
      </c>
      <c r="F173" s="20" t="s">
        <v>0</v>
      </c>
      <c r="G173" t="s">
        <v>214</v>
      </c>
      <c r="H173" t="s">
        <v>216</v>
      </c>
      <c r="I173" t="s">
        <v>225</v>
      </c>
      <c r="J173" t="s">
        <v>93</v>
      </c>
      <c r="K173" s="56">
        <v>37900</v>
      </c>
      <c r="L173" s="125">
        <v>40000</v>
      </c>
      <c r="M173" s="56">
        <v>37900</v>
      </c>
      <c r="N173" s="56">
        <v>10160.4</v>
      </c>
      <c r="O173" s="70">
        <f t="shared" si="28"/>
        <v>0.94750000000000001</v>
      </c>
      <c r="P173" s="57">
        <f t="shared" si="29"/>
        <v>1</v>
      </c>
      <c r="Q173" s="57">
        <f t="shared" si="30"/>
        <v>3.7301681036179679</v>
      </c>
      <c r="R173" s="39">
        <f t="shared" si="31"/>
        <v>0</v>
      </c>
      <c r="S173" s="58"/>
      <c r="T173" s="58">
        <v>3000</v>
      </c>
      <c r="U173" s="66">
        <v>2400</v>
      </c>
      <c r="V173" s="66">
        <v>0</v>
      </c>
      <c r="W173" s="70">
        <f t="shared" si="24"/>
        <v>0.8</v>
      </c>
      <c r="X173" s="57">
        <f t="shared" si="25"/>
        <v>6.3324538258575203E-2</v>
      </c>
      <c r="Y173" s="57" t="e">
        <f t="shared" si="26"/>
        <v>#DIV/0!</v>
      </c>
      <c r="Z173" s="39">
        <f t="shared" si="27"/>
        <v>34900</v>
      </c>
    </row>
    <row r="174" spans="1:26" x14ac:dyDescent="0.25">
      <c r="A174" s="20" t="s">
        <v>625</v>
      </c>
      <c r="B174" s="10" t="s">
        <v>585</v>
      </c>
      <c r="C174" s="10">
        <v>1</v>
      </c>
      <c r="D174" t="s">
        <v>571</v>
      </c>
      <c r="E174" s="20" t="s">
        <v>502</v>
      </c>
      <c r="F174" s="20" t="s">
        <v>0</v>
      </c>
      <c r="G174" t="s">
        <v>226</v>
      </c>
      <c r="H174" t="s">
        <v>228</v>
      </c>
      <c r="I174" t="s">
        <v>227</v>
      </c>
      <c r="J174" t="s">
        <v>53</v>
      </c>
      <c r="K174" s="56">
        <v>2000</v>
      </c>
      <c r="L174" s="125">
        <v>0</v>
      </c>
      <c r="M174" s="56">
        <v>0</v>
      </c>
      <c r="N174" s="56">
        <v>1267.1000000000008</v>
      </c>
      <c r="O174" s="70" t="e">
        <f t="shared" si="28"/>
        <v>#DIV/0!</v>
      </c>
      <c r="P174" s="57">
        <f t="shared" si="29"/>
        <v>0</v>
      </c>
      <c r="Q174" s="57">
        <f t="shared" si="30"/>
        <v>0</v>
      </c>
      <c r="R174" s="39">
        <f t="shared" si="31"/>
        <v>2000</v>
      </c>
      <c r="S174" s="58"/>
      <c r="T174" s="58">
        <v>0</v>
      </c>
      <c r="U174" s="66">
        <v>0</v>
      </c>
      <c r="V174" s="66">
        <v>0</v>
      </c>
      <c r="W174" s="70" t="e">
        <f t="shared" si="24"/>
        <v>#DIV/0!</v>
      </c>
      <c r="X174" s="57">
        <f t="shared" si="25"/>
        <v>0</v>
      </c>
      <c r="Y174" s="57" t="e">
        <f t="shared" si="26"/>
        <v>#DIV/0!</v>
      </c>
      <c r="Z174" s="39">
        <f t="shared" si="27"/>
        <v>2000</v>
      </c>
    </row>
    <row r="175" spans="1:26" x14ac:dyDescent="0.25">
      <c r="A175" s="20" t="s">
        <v>607</v>
      </c>
      <c r="B175" s="10" t="s">
        <v>572</v>
      </c>
      <c r="C175" s="10">
        <v>1</v>
      </c>
      <c r="D175" t="s">
        <v>571</v>
      </c>
      <c r="E175" s="20" t="s">
        <v>502</v>
      </c>
      <c r="F175" s="20" t="s">
        <v>0</v>
      </c>
      <c r="G175" t="s">
        <v>226</v>
      </c>
      <c r="H175" t="s">
        <v>228</v>
      </c>
      <c r="I175" t="s">
        <v>229</v>
      </c>
      <c r="J175" t="s">
        <v>12</v>
      </c>
      <c r="K175" s="56">
        <v>16000</v>
      </c>
      <c r="L175" s="125">
        <v>16000</v>
      </c>
      <c r="M175" s="56">
        <v>15174.35</v>
      </c>
      <c r="N175" s="56">
        <v>4858.5</v>
      </c>
      <c r="O175" s="70">
        <f t="shared" si="28"/>
        <v>0.94839687500000003</v>
      </c>
      <c r="P175" s="57">
        <f t="shared" si="29"/>
        <v>0.94839687500000003</v>
      </c>
      <c r="Q175" s="57">
        <f t="shared" si="30"/>
        <v>3.123258207265617</v>
      </c>
      <c r="R175" s="39">
        <f t="shared" si="31"/>
        <v>825.64999999999964</v>
      </c>
      <c r="S175" s="58"/>
      <c r="T175" s="58">
        <v>8000</v>
      </c>
      <c r="U175" s="66">
        <v>7191.0500000000011</v>
      </c>
      <c r="V175" s="66">
        <v>0</v>
      </c>
      <c r="W175" s="70">
        <f t="shared" si="24"/>
        <v>0.89888125000000019</v>
      </c>
      <c r="X175" s="57">
        <f t="shared" si="25"/>
        <v>0.44944062500000009</v>
      </c>
      <c r="Y175" s="57" t="e">
        <f t="shared" si="26"/>
        <v>#DIV/0!</v>
      </c>
      <c r="Z175" s="39">
        <f t="shared" si="27"/>
        <v>8000</v>
      </c>
    </row>
    <row r="176" spans="1:26" x14ac:dyDescent="0.25">
      <c r="A176" s="20" t="s">
        <v>609</v>
      </c>
      <c r="B176" s="10" t="s">
        <v>573</v>
      </c>
      <c r="C176" s="10">
        <v>1</v>
      </c>
      <c r="D176" t="s">
        <v>571</v>
      </c>
      <c r="E176" s="20" t="s">
        <v>502</v>
      </c>
      <c r="F176" s="20" t="s">
        <v>0</v>
      </c>
      <c r="G176" t="s">
        <v>226</v>
      </c>
      <c r="H176" t="s">
        <v>228</v>
      </c>
      <c r="I176" t="s">
        <v>732</v>
      </c>
      <c r="J176" t="s">
        <v>16</v>
      </c>
      <c r="K176" s="119">
        <v>15000</v>
      </c>
      <c r="L176" s="125">
        <v>0</v>
      </c>
      <c r="M176" s="56">
        <v>0</v>
      </c>
      <c r="N176" s="56">
        <v>0</v>
      </c>
      <c r="O176" s="70" t="e">
        <f t="shared" si="28"/>
        <v>#DIV/0!</v>
      </c>
      <c r="P176" s="57">
        <f t="shared" si="29"/>
        <v>0</v>
      </c>
      <c r="Q176" s="57" t="e">
        <f t="shared" si="30"/>
        <v>#DIV/0!</v>
      </c>
      <c r="R176" s="39">
        <f t="shared" si="31"/>
        <v>15000</v>
      </c>
      <c r="S176" s="58"/>
      <c r="T176" s="58"/>
      <c r="U176" s="66"/>
      <c r="V176" s="66"/>
      <c r="W176" s="70"/>
      <c r="X176" s="57"/>
      <c r="Y176" s="57"/>
    </row>
    <row r="177" spans="1:26" x14ac:dyDescent="0.25">
      <c r="A177" s="20" t="s">
        <v>608</v>
      </c>
      <c r="B177" s="10" t="s">
        <v>574</v>
      </c>
      <c r="C177" s="10">
        <v>1</v>
      </c>
      <c r="D177" t="s">
        <v>571</v>
      </c>
      <c r="E177" s="20" t="s">
        <v>502</v>
      </c>
      <c r="F177" s="20" t="s">
        <v>0</v>
      </c>
      <c r="G177" t="s">
        <v>226</v>
      </c>
      <c r="H177" t="s">
        <v>228</v>
      </c>
      <c r="I177" t="s">
        <v>230</v>
      </c>
      <c r="J177" t="s">
        <v>18</v>
      </c>
      <c r="K177" s="56">
        <v>19000</v>
      </c>
      <c r="L177" s="125">
        <v>14000</v>
      </c>
      <c r="M177" s="56">
        <v>13589.05</v>
      </c>
      <c r="N177" s="56">
        <v>12068.55</v>
      </c>
      <c r="O177" s="70">
        <f t="shared" si="28"/>
        <v>0.97064642857142847</v>
      </c>
      <c r="P177" s="57">
        <f t="shared" si="29"/>
        <v>0.71521315789473683</v>
      </c>
      <c r="Q177" s="57">
        <f t="shared" si="30"/>
        <v>1.1259886233226031</v>
      </c>
      <c r="R177" s="39">
        <f t="shared" si="31"/>
        <v>5410.9500000000007</v>
      </c>
      <c r="S177" s="58"/>
      <c r="T177" s="58">
        <v>0</v>
      </c>
      <c r="U177" s="66">
        <v>0</v>
      </c>
      <c r="V177" s="66">
        <v>12068.55</v>
      </c>
      <c r="W177" s="70" t="e">
        <f t="shared" si="24"/>
        <v>#DIV/0!</v>
      </c>
      <c r="X177" s="57">
        <f t="shared" si="25"/>
        <v>0</v>
      </c>
      <c r="Y177" s="57">
        <f t="shared" si="26"/>
        <v>0</v>
      </c>
      <c r="Z177" s="39">
        <f t="shared" si="27"/>
        <v>19000</v>
      </c>
    </row>
    <row r="178" spans="1:26" x14ac:dyDescent="0.25">
      <c r="A178" s="20" t="s">
        <v>624</v>
      </c>
      <c r="B178" s="10" t="s">
        <v>587</v>
      </c>
      <c r="C178" s="10">
        <v>1</v>
      </c>
      <c r="D178" t="s">
        <v>571</v>
      </c>
      <c r="E178" s="20" t="s">
        <v>502</v>
      </c>
      <c r="F178" s="20" t="s">
        <v>0</v>
      </c>
      <c r="G178" t="s">
        <v>226</v>
      </c>
      <c r="H178" t="s">
        <v>228</v>
      </c>
      <c r="I178" t="s">
        <v>883</v>
      </c>
      <c r="J178" t="s">
        <v>57</v>
      </c>
      <c r="K178" s="56">
        <v>0</v>
      </c>
      <c r="L178" s="125">
        <v>0</v>
      </c>
      <c r="M178" s="56">
        <v>0</v>
      </c>
      <c r="N178" s="119">
        <v>2936.4</v>
      </c>
      <c r="O178" s="70" t="e">
        <f t="shared" si="28"/>
        <v>#DIV/0!</v>
      </c>
      <c r="P178" s="57" t="e">
        <f t="shared" si="29"/>
        <v>#DIV/0!</v>
      </c>
      <c r="Q178" s="57">
        <f t="shared" si="30"/>
        <v>0</v>
      </c>
      <c r="R178" s="39">
        <f t="shared" si="31"/>
        <v>0</v>
      </c>
      <c r="S178" s="58"/>
      <c r="T178" s="58"/>
      <c r="U178" s="66"/>
      <c r="V178" s="66"/>
      <c r="W178" s="70"/>
      <c r="X178" s="57"/>
      <c r="Y178" s="57"/>
    </row>
    <row r="179" spans="1:26" x14ac:dyDescent="0.25">
      <c r="A179" s="20" t="s">
        <v>628</v>
      </c>
      <c r="B179" s="10" t="s">
        <v>589</v>
      </c>
      <c r="C179" s="10">
        <v>2</v>
      </c>
      <c r="D179" t="s">
        <v>571</v>
      </c>
      <c r="E179" s="20" t="s">
        <v>502</v>
      </c>
      <c r="F179" s="20" t="s">
        <v>0</v>
      </c>
      <c r="G179" t="s">
        <v>226</v>
      </c>
      <c r="H179" t="s">
        <v>228</v>
      </c>
      <c r="I179" t="s">
        <v>231</v>
      </c>
      <c r="J179" t="s">
        <v>65</v>
      </c>
      <c r="K179" s="56">
        <v>15000</v>
      </c>
      <c r="L179" s="125">
        <v>8000</v>
      </c>
      <c r="M179" s="56">
        <v>7835.4</v>
      </c>
      <c r="N179" s="56">
        <v>115.5</v>
      </c>
      <c r="O179" s="70">
        <f t="shared" si="28"/>
        <v>0.97942499999999999</v>
      </c>
      <c r="P179" s="57">
        <f t="shared" si="29"/>
        <v>0.52235999999999994</v>
      </c>
      <c r="Q179" s="57">
        <f t="shared" si="30"/>
        <v>67.838961038961031</v>
      </c>
      <c r="R179" s="39">
        <f t="shared" si="31"/>
        <v>7164.6</v>
      </c>
      <c r="S179" s="58"/>
      <c r="T179" s="58">
        <v>0</v>
      </c>
      <c r="U179" s="66">
        <v>0</v>
      </c>
      <c r="V179" s="66">
        <v>0</v>
      </c>
      <c r="W179" s="70" t="e">
        <f t="shared" si="24"/>
        <v>#DIV/0!</v>
      </c>
      <c r="X179" s="57">
        <f t="shared" si="25"/>
        <v>0</v>
      </c>
      <c r="Y179" s="57" t="e">
        <f t="shared" si="26"/>
        <v>#DIV/0!</v>
      </c>
      <c r="Z179" s="39">
        <f t="shared" si="27"/>
        <v>15000</v>
      </c>
    </row>
    <row r="180" spans="1:26" x14ac:dyDescent="0.25">
      <c r="A180" s="20" t="s">
        <v>636</v>
      </c>
      <c r="B180" s="10" t="s">
        <v>591</v>
      </c>
      <c r="C180" s="10">
        <v>1</v>
      </c>
      <c r="D180" t="s">
        <v>571</v>
      </c>
      <c r="E180" s="20" t="s">
        <v>502</v>
      </c>
      <c r="F180" s="20" t="s">
        <v>0</v>
      </c>
      <c r="G180" t="s">
        <v>226</v>
      </c>
      <c r="H180" t="s">
        <v>228</v>
      </c>
      <c r="I180" t="s">
        <v>232</v>
      </c>
      <c r="J180" t="s">
        <v>70</v>
      </c>
      <c r="K180" s="56">
        <v>273900</v>
      </c>
      <c r="L180" s="125">
        <v>95000</v>
      </c>
      <c r="M180" s="56">
        <v>92031.89999999998</v>
      </c>
      <c r="N180" s="56">
        <v>75407.759999999995</v>
      </c>
      <c r="O180" s="70">
        <f t="shared" si="28"/>
        <v>0.96875684210526292</v>
      </c>
      <c r="P180" s="57">
        <f t="shared" si="29"/>
        <v>0.3360054764512595</v>
      </c>
      <c r="Q180" s="57">
        <f t="shared" si="30"/>
        <v>1.2204566214405519</v>
      </c>
      <c r="R180" s="39">
        <f t="shared" si="31"/>
        <v>181868.10000000003</v>
      </c>
      <c r="S180" s="58"/>
      <c r="T180" s="58">
        <v>30000</v>
      </c>
      <c r="U180" s="66">
        <v>26935.200000000001</v>
      </c>
      <c r="V180" s="66">
        <v>3499.2</v>
      </c>
      <c r="W180" s="70">
        <f t="shared" si="24"/>
        <v>0.89783999999999997</v>
      </c>
      <c r="X180" s="57">
        <f t="shared" si="25"/>
        <v>9.8339539978094193E-2</v>
      </c>
      <c r="Y180" s="57">
        <f t="shared" si="26"/>
        <v>7.6975308641975317</v>
      </c>
      <c r="Z180" s="39">
        <f t="shared" si="27"/>
        <v>243900</v>
      </c>
    </row>
    <row r="181" spans="1:26" x14ac:dyDescent="0.25">
      <c r="A181" s="20" t="s">
        <v>630</v>
      </c>
      <c r="B181" s="10" t="s">
        <v>592</v>
      </c>
      <c r="C181" s="10">
        <v>2</v>
      </c>
      <c r="D181" t="s">
        <v>571</v>
      </c>
      <c r="E181" s="20" t="s">
        <v>502</v>
      </c>
      <c r="F181" s="20" t="s">
        <v>0</v>
      </c>
      <c r="G181" t="s">
        <v>226</v>
      </c>
      <c r="H181" t="s">
        <v>228</v>
      </c>
      <c r="I181" t="s">
        <v>233</v>
      </c>
      <c r="J181" t="s">
        <v>118</v>
      </c>
      <c r="K181" s="56">
        <v>23400</v>
      </c>
      <c r="L181" s="125">
        <v>3000</v>
      </c>
      <c r="M181" s="56">
        <v>2758.6800000000003</v>
      </c>
      <c r="N181" s="56">
        <v>7200.41</v>
      </c>
      <c r="O181" s="70">
        <f t="shared" si="28"/>
        <v>0.91956000000000004</v>
      </c>
      <c r="P181" s="57">
        <f t="shared" si="29"/>
        <v>0.1178923076923077</v>
      </c>
      <c r="Q181" s="57">
        <f t="shared" si="30"/>
        <v>0.38312818297846934</v>
      </c>
      <c r="R181" s="39">
        <f t="shared" si="31"/>
        <v>20641.32</v>
      </c>
      <c r="S181" s="58"/>
      <c r="T181" s="58">
        <v>3400</v>
      </c>
      <c r="U181" s="66">
        <v>2758.6800000000003</v>
      </c>
      <c r="V181" s="66">
        <v>0</v>
      </c>
      <c r="W181" s="70">
        <f t="shared" si="24"/>
        <v>0.81137647058823537</v>
      </c>
      <c r="X181" s="57">
        <f t="shared" si="25"/>
        <v>0.1178923076923077</v>
      </c>
      <c r="Y181" s="57" t="e">
        <f t="shared" si="26"/>
        <v>#DIV/0!</v>
      </c>
      <c r="Z181" s="39">
        <f t="shared" si="27"/>
        <v>20000</v>
      </c>
    </row>
    <row r="182" spans="1:26" x14ac:dyDescent="0.25">
      <c r="A182" s="20" t="s">
        <v>639</v>
      </c>
      <c r="B182" s="10" t="s">
        <v>600</v>
      </c>
      <c r="C182" s="10">
        <v>1</v>
      </c>
      <c r="D182" t="s">
        <v>571</v>
      </c>
      <c r="E182" s="20" t="s">
        <v>502</v>
      </c>
      <c r="F182" s="20" t="s">
        <v>0</v>
      </c>
      <c r="G182" t="s">
        <v>226</v>
      </c>
      <c r="H182" t="s">
        <v>228</v>
      </c>
      <c r="I182" t="s">
        <v>894</v>
      </c>
      <c r="J182" t="s">
        <v>93</v>
      </c>
      <c r="K182" s="56">
        <v>0</v>
      </c>
      <c r="L182" s="125">
        <v>0</v>
      </c>
      <c r="M182" s="56">
        <v>0</v>
      </c>
      <c r="N182" s="119">
        <v>8750.5</v>
      </c>
      <c r="O182" s="70" t="e">
        <f t="shared" si="28"/>
        <v>#DIV/0!</v>
      </c>
      <c r="P182" s="57" t="e">
        <f t="shared" si="29"/>
        <v>#DIV/0!</v>
      </c>
      <c r="Q182" s="57">
        <f t="shared" si="30"/>
        <v>0</v>
      </c>
      <c r="R182" s="39">
        <f t="shared" si="31"/>
        <v>0</v>
      </c>
      <c r="S182" s="58"/>
      <c r="T182" s="58"/>
      <c r="U182" s="66"/>
      <c r="V182" s="66"/>
      <c r="W182" s="70"/>
      <c r="X182" s="57"/>
      <c r="Y182" s="57"/>
    </row>
    <row r="183" spans="1:26" x14ac:dyDescent="0.25">
      <c r="A183" s="20" t="s">
        <v>558</v>
      </c>
      <c r="B183" s="10" t="s">
        <v>559</v>
      </c>
      <c r="C183" s="10">
        <v>1</v>
      </c>
      <c r="D183" t="s">
        <v>571</v>
      </c>
      <c r="E183" s="20" t="s">
        <v>502</v>
      </c>
      <c r="F183" s="20" t="s">
        <v>0</v>
      </c>
      <c r="G183" t="s">
        <v>226</v>
      </c>
      <c r="H183" t="s">
        <v>228</v>
      </c>
      <c r="I183" t="s">
        <v>743</v>
      </c>
      <c r="J183" t="s">
        <v>7</v>
      </c>
      <c r="K183" s="12">
        <v>12000</v>
      </c>
      <c r="L183" s="125">
        <v>0</v>
      </c>
      <c r="M183" s="56">
        <v>0</v>
      </c>
      <c r="N183" s="56">
        <v>0</v>
      </c>
      <c r="O183" s="70" t="e">
        <f t="shared" si="28"/>
        <v>#DIV/0!</v>
      </c>
      <c r="P183" s="57">
        <f t="shared" si="29"/>
        <v>0</v>
      </c>
      <c r="Q183" s="57" t="e">
        <f t="shared" si="30"/>
        <v>#DIV/0!</v>
      </c>
      <c r="R183" s="39">
        <f t="shared" si="31"/>
        <v>12000</v>
      </c>
      <c r="S183" s="58"/>
      <c r="T183" s="58"/>
      <c r="U183" s="66"/>
      <c r="V183" s="66"/>
      <c r="W183" s="70"/>
      <c r="X183" s="57"/>
      <c r="Y183" s="57"/>
    </row>
    <row r="184" spans="1:26" x14ac:dyDescent="0.25">
      <c r="A184" s="20" t="s">
        <v>625</v>
      </c>
      <c r="B184" s="10" t="s">
        <v>585</v>
      </c>
      <c r="C184" s="10">
        <v>1</v>
      </c>
      <c r="D184" t="s">
        <v>571</v>
      </c>
      <c r="E184" s="20" t="s">
        <v>503</v>
      </c>
      <c r="F184" s="20" t="s">
        <v>0</v>
      </c>
      <c r="G184" t="s">
        <v>234</v>
      </c>
      <c r="H184" t="s">
        <v>236</v>
      </c>
      <c r="I184" t="s">
        <v>235</v>
      </c>
      <c r="J184" t="s">
        <v>53</v>
      </c>
      <c r="K184" s="56">
        <v>2000</v>
      </c>
      <c r="L184" s="125">
        <v>0</v>
      </c>
      <c r="M184" s="56">
        <v>0</v>
      </c>
      <c r="N184" s="56">
        <v>0</v>
      </c>
      <c r="O184" s="70" t="e">
        <f t="shared" si="28"/>
        <v>#DIV/0!</v>
      </c>
      <c r="P184" s="57">
        <f t="shared" si="29"/>
        <v>0</v>
      </c>
      <c r="Q184" s="57" t="e">
        <f t="shared" si="30"/>
        <v>#DIV/0!</v>
      </c>
      <c r="R184" s="39">
        <f t="shared" si="31"/>
        <v>2000</v>
      </c>
      <c r="S184" s="58"/>
      <c r="T184" s="58">
        <v>0</v>
      </c>
      <c r="U184" s="66">
        <v>0</v>
      </c>
      <c r="V184" s="66">
        <v>0</v>
      </c>
      <c r="W184" s="70" t="e">
        <f t="shared" si="24"/>
        <v>#DIV/0!</v>
      </c>
      <c r="X184" s="57">
        <f t="shared" si="25"/>
        <v>0</v>
      </c>
      <c r="Y184" s="57" t="e">
        <f t="shared" si="26"/>
        <v>#DIV/0!</v>
      </c>
      <c r="Z184" s="39">
        <f t="shared" si="27"/>
        <v>2000</v>
      </c>
    </row>
    <row r="185" spans="1:26" x14ac:dyDescent="0.25">
      <c r="A185" s="20" t="s">
        <v>607</v>
      </c>
      <c r="B185" s="10" t="s">
        <v>572</v>
      </c>
      <c r="C185" s="10">
        <v>1</v>
      </c>
      <c r="D185" t="s">
        <v>571</v>
      </c>
      <c r="E185" s="20" t="s">
        <v>503</v>
      </c>
      <c r="F185" s="20" t="s">
        <v>0</v>
      </c>
      <c r="G185" t="s">
        <v>234</v>
      </c>
      <c r="H185" t="s">
        <v>236</v>
      </c>
      <c r="I185" t="s">
        <v>237</v>
      </c>
      <c r="J185" t="s">
        <v>12</v>
      </c>
      <c r="K185" s="56">
        <v>18000</v>
      </c>
      <c r="L185" s="125">
        <v>2800</v>
      </c>
      <c r="M185" s="56">
        <v>2704.55</v>
      </c>
      <c r="N185" s="56">
        <v>32426.100000000002</v>
      </c>
      <c r="O185" s="70">
        <f t="shared" si="28"/>
        <v>0.9659107142857144</v>
      </c>
      <c r="P185" s="57">
        <f t="shared" si="29"/>
        <v>0.15025277777777779</v>
      </c>
      <c r="Q185" s="57">
        <f t="shared" si="30"/>
        <v>8.3406576800787016E-2</v>
      </c>
      <c r="R185" s="39">
        <f t="shared" si="31"/>
        <v>15295.45</v>
      </c>
      <c r="S185" s="58"/>
      <c r="T185" s="58">
        <v>0</v>
      </c>
      <c r="U185" s="66">
        <v>0</v>
      </c>
      <c r="V185" s="66">
        <v>22494</v>
      </c>
      <c r="W185" s="70" t="e">
        <f t="shared" si="24"/>
        <v>#DIV/0!</v>
      </c>
      <c r="X185" s="57">
        <f t="shared" si="25"/>
        <v>0</v>
      </c>
      <c r="Y185" s="57">
        <f t="shared" si="26"/>
        <v>0</v>
      </c>
      <c r="Z185" s="39">
        <f t="shared" si="27"/>
        <v>18000</v>
      </c>
    </row>
    <row r="186" spans="1:26" x14ac:dyDescent="0.25">
      <c r="A186" s="20" t="s">
        <v>608</v>
      </c>
      <c r="B186" s="10" t="s">
        <v>574</v>
      </c>
      <c r="C186" s="10">
        <v>1</v>
      </c>
      <c r="D186" t="s">
        <v>571</v>
      </c>
      <c r="E186" s="20" t="s">
        <v>503</v>
      </c>
      <c r="F186" s="20" t="s">
        <v>0</v>
      </c>
      <c r="G186" t="s">
        <v>234</v>
      </c>
      <c r="H186" t="s">
        <v>236</v>
      </c>
      <c r="I186" t="s">
        <v>733</v>
      </c>
      <c r="J186" t="s">
        <v>18</v>
      </c>
      <c r="K186" s="119">
        <v>18000</v>
      </c>
      <c r="L186" s="125">
        <v>0</v>
      </c>
      <c r="M186" s="56">
        <v>0</v>
      </c>
      <c r="N186" s="56">
        <v>14694.9</v>
      </c>
      <c r="O186" s="70" t="e">
        <f t="shared" si="28"/>
        <v>#DIV/0!</v>
      </c>
      <c r="P186" s="57">
        <f t="shared" si="29"/>
        <v>0</v>
      </c>
      <c r="Q186" s="57">
        <f t="shared" si="30"/>
        <v>0</v>
      </c>
      <c r="R186" s="39">
        <f t="shared" si="31"/>
        <v>18000</v>
      </c>
      <c r="S186" s="58"/>
      <c r="T186" s="58"/>
      <c r="U186" s="66"/>
      <c r="V186" s="66"/>
      <c r="W186" s="70"/>
      <c r="X186" s="57"/>
      <c r="Y186" s="57"/>
    </row>
    <row r="187" spans="1:26" x14ac:dyDescent="0.25">
      <c r="A187" s="20" t="s">
        <v>628</v>
      </c>
      <c r="B187" s="10" t="s">
        <v>589</v>
      </c>
      <c r="C187" s="10">
        <v>2</v>
      </c>
      <c r="D187" t="s">
        <v>571</v>
      </c>
      <c r="E187" s="20" t="s">
        <v>503</v>
      </c>
      <c r="F187" s="20" t="s">
        <v>0</v>
      </c>
      <c r="G187" t="s">
        <v>234</v>
      </c>
      <c r="H187" t="s">
        <v>236</v>
      </c>
      <c r="I187" t="s">
        <v>238</v>
      </c>
      <c r="J187" t="s">
        <v>65</v>
      </c>
      <c r="K187" s="56">
        <v>15000</v>
      </c>
      <c r="L187" s="125">
        <v>14000</v>
      </c>
      <c r="M187" s="56">
        <v>13952.599999999999</v>
      </c>
      <c r="N187" s="56">
        <v>0</v>
      </c>
      <c r="O187" s="70">
        <f t="shared" si="28"/>
        <v>0.99661428571428556</v>
      </c>
      <c r="P187" s="57">
        <f t="shared" si="29"/>
        <v>0.93017333333333319</v>
      </c>
      <c r="Q187" s="57" t="e">
        <f t="shared" si="30"/>
        <v>#DIV/0!</v>
      </c>
      <c r="R187" s="39">
        <f t="shared" si="31"/>
        <v>1047.4000000000015</v>
      </c>
      <c r="S187" s="58"/>
      <c r="T187" s="58">
        <v>0</v>
      </c>
      <c r="U187" s="66">
        <v>0</v>
      </c>
      <c r="V187" s="66">
        <v>0</v>
      </c>
      <c r="W187" s="70" t="e">
        <f t="shared" si="24"/>
        <v>#DIV/0!</v>
      </c>
      <c r="X187" s="57">
        <f t="shared" si="25"/>
        <v>0</v>
      </c>
      <c r="Y187" s="57" t="e">
        <f t="shared" si="26"/>
        <v>#DIV/0!</v>
      </c>
      <c r="Z187" s="39">
        <f t="shared" si="27"/>
        <v>15000</v>
      </c>
    </row>
    <row r="188" spans="1:26" x14ac:dyDescent="0.25">
      <c r="A188" s="20" t="s">
        <v>636</v>
      </c>
      <c r="B188" s="10" t="s">
        <v>591</v>
      </c>
      <c r="C188" s="10">
        <v>1</v>
      </c>
      <c r="D188" t="s">
        <v>571</v>
      </c>
      <c r="E188" s="20" t="s">
        <v>503</v>
      </c>
      <c r="F188" s="20" t="s">
        <v>0</v>
      </c>
      <c r="G188" t="s">
        <v>234</v>
      </c>
      <c r="H188" t="s">
        <v>236</v>
      </c>
      <c r="I188" t="s">
        <v>239</v>
      </c>
      <c r="J188" t="s">
        <v>70</v>
      </c>
      <c r="K188" s="56">
        <v>598900</v>
      </c>
      <c r="L188" s="125">
        <v>100000</v>
      </c>
      <c r="M188" s="56">
        <v>97394.4</v>
      </c>
      <c r="N188" s="56">
        <v>134699.80999999997</v>
      </c>
      <c r="O188" s="70">
        <f t="shared" si="28"/>
        <v>0.97394399999999992</v>
      </c>
      <c r="P188" s="57">
        <f t="shared" si="29"/>
        <v>0.16262214059108365</v>
      </c>
      <c r="Q188" s="57">
        <f t="shared" si="30"/>
        <v>0.72304779049057322</v>
      </c>
      <c r="R188" s="39">
        <f t="shared" si="31"/>
        <v>501505.6</v>
      </c>
      <c r="S188" s="58"/>
      <c r="T188" s="58">
        <v>45000</v>
      </c>
      <c r="U188" s="66">
        <v>39074.399999999994</v>
      </c>
      <c r="V188" s="66">
        <v>13413.6</v>
      </c>
      <c r="W188" s="70">
        <f t="shared" si="24"/>
        <v>0.86831999999999987</v>
      </c>
      <c r="X188" s="57">
        <f t="shared" si="25"/>
        <v>6.524361329103355E-2</v>
      </c>
      <c r="Y188" s="57">
        <f t="shared" si="26"/>
        <v>2.9130434782608692</v>
      </c>
      <c r="Z188" s="39">
        <f t="shared" si="27"/>
        <v>553900</v>
      </c>
    </row>
    <row r="189" spans="1:26" x14ac:dyDescent="0.25">
      <c r="A189" s="20" t="s">
        <v>630</v>
      </c>
      <c r="B189" s="10" t="s">
        <v>592</v>
      </c>
      <c r="C189" s="10">
        <v>2</v>
      </c>
      <c r="D189" t="s">
        <v>571</v>
      </c>
      <c r="E189" s="20" t="s">
        <v>503</v>
      </c>
      <c r="F189" s="20" t="s">
        <v>0</v>
      </c>
      <c r="G189" t="s">
        <v>234</v>
      </c>
      <c r="H189" t="s">
        <v>236</v>
      </c>
      <c r="I189" t="s">
        <v>240</v>
      </c>
      <c r="J189" t="s">
        <v>118</v>
      </c>
      <c r="K189" s="56">
        <v>21100</v>
      </c>
      <c r="L189" s="125">
        <v>2300</v>
      </c>
      <c r="M189" s="56">
        <v>2259.69</v>
      </c>
      <c r="N189" s="56">
        <v>7569.29</v>
      </c>
      <c r="O189" s="70">
        <f t="shared" si="28"/>
        <v>0.98247391304347831</v>
      </c>
      <c r="P189" s="57">
        <f t="shared" si="29"/>
        <v>0.10709431279620853</v>
      </c>
      <c r="Q189" s="57">
        <f t="shared" si="30"/>
        <v>0.29853394439901232</v>
      </c>
      <c r="R189" s="39">
        <f t="shared" si="31"/>
        <v>18840.310000000001</v>
      </c>
      <c r="S189" s="58"/>
      <c r="T189" s="58">
        <v>0</v>
      </c>
      <c r="U189" s="66">
        <v>0</v>
      </c>
      <c r="V189" s="66">
        <v>5563.9</v>
      </c>
      <c r="W189" s="70" t="e">
        <f t="shared" si="24"/>
        <v>#DIV/0!</v>
      </c>
      <c r="X189" s="57">
        <f t="shared" si="25"/>
        <v>0</v>
      </c>
      <c r="Y189" s="57">
        <f t="shared" si="26"/>
        <v>0</v>
      </c>
      <c r="Z189" s="39">
        <f t="shared" si="27"/>
        <v>21100</v>
      </c>
    </row>
    <row r="190" spans="1:26" x14ac:dyDescent="0.25">
      <c r="A190" s="20" t="s">
        <v>640</v>
      </c>
      <c r="B190" s="10" t="s">
        <v>598</v>
      </c>
      <c r="C190" s="10">
        <v>1</v>
      </c>
      <c r="D190" t="s">
        <v>571</v>
      </c>
      <c r="E190" s="20" t="s">
        <v>503</v>
      </c>
      <c r="F190" s="20" t="s">
        <v>0</v>
      </c>
      <c r="G190" t="s">
        <v>234</v>
      </c>
      <c r="H190" t="s">
        <v>236</v>
      </c>
      <c r="I190" t="s">
        <v>893</v>
      </c>
      <c r="J190" t="s">
        <v>89</v>
      </c>
      <c r="K190" s="56">
        <v>0</v>
      </c>
      <c r="L190" s="125">
        <v>0</v>
      </c>
      <c r="M190" s="56">
        <v>0</v>
      </c>
      <c r="N190" s="119">
        <v>38350.15</v>
      </c>
      <c r="O190" s="70" t="e">
        <f t="shared" si="28"/>
        <v>#DIV/0!</v>
      </c>
      <c r="P190" s="57" t="e">
        <f t="shared" si="29"/>
        <v>#DIV/0!</v>
      </c>
      <c r="Q190" s="57">
        <f t="shared" si="30"/>
        <v>0</v>
      </c>
      <c r="R190" s="39">
        <f t="shared" si="31"/>
        <v>0</v>
      </c>
      <c r="S190" s="58"/>
      <c r="T190" s="58"/>
      <c r="U190" s="66"/>
      <c r="V190" s="66"/>
      <c r="W190" s="70"/>
      <c r="X190" s="57"/>
      <c r="Y190" s="57"/>
    </row>
    <row r="191" spans="1:26" x14ac:dyDescent="0.25">
      <c r="A191" s="20" t="s">
        <v>625</v>
      </c>
      <c r="B191" s="10" t="s">
        <v>585</v>
      </c>
      <c r="C191" s="10">
        <v>1</v>
      </c>
      <c r="D191" t="s">
        <v>571</v>
      </c>
      <c r="E191" s="20" t="s">
        <v>504</v>
      </c>
      <c r="F191" s="20" t="s">
        <v>0</v>
      </c>
      <c r="G191" t="s">
        <v>241</v>
      </c>
      <c r="H191" t="s">
        <v>243</v>
      </c>
      <c r="I191" t="s">
        <v>242</v>
      </c>
      <c r="J191" t="s">
        <v>53</v>
      </c>
      <c r="K191" s="56">
        <v>2000</v>
      </c>
      <c r="L191" s="125">
        <v>800</v>
      </c>
      <c r="M191" s="56">
        <v>800</v>
      </c>
      <c r="N191" s="56">
        <v>1162</v>
      </c>
      <c r="O191" s="70">
        <f t="shared" si="28"/>
        <v>1</v>
      </c>
      <c r="P191" s="57">
        <f t="shared" si="29"/>
        <v>0.4</v>
      </c>
      <c r="Q191" s="57">
        <f t="shared" si="30"/>
        <v>0.68846815834767638</v>
      </c>
      <c r="R191" s="39">
        <f t="shared" si="31"/>
        <v>1200</v>
      </c>
      <c r="S191" s="58"/>
      <c r="T191" s="58">
        <v>0</v>
      </c>
      <c r="U191" s="66">
        <v>0</v>
      </c>
      <c r="V191" s="66">
        <v>0</v>
      </c>
      <c r="W191" s="70" t="e">
        <f t="shared" si="24"/>
        <v>#DIV/0!</v>
      </c>
      <c r="X191" s="57">
        <f t="shared" si="25"/>
        <v>0</v>
      </c>
      <c r="Y191" s="57" t="e">
        <f t="shared" si="26"/>
        <v>#DIV/0!</v>
      </c>
      <c r="Z191" s="39">
        <f t="shared" si="27"/>
        <v>2000</v>
      </c>
    </row>
    <row r="192" spans="1:26" x14ac:dyDescent="0.25">
      <c r="A192" s="20" t="s">
        <v>608</v>
      </c>
      <c r="B192" s="10" t="s">
        <v>574</v>
      </c>
      <c r="C192" s="10">
        <v>1</v>
      </c>
      <c r="D192" t="s">
        <v>571</v>
      </c>
      <c r="E192" s="20" t="s">
        <v>504</v>
      </c>
      <c r="F192" s="20" t="s">
        <v>0</v>
      </c>
      <c r="G192" t="s">
        <v>241</v>
      </c>
      <c r="H192" t="s">
        <v>243</v>
      </c>
      <c r="I192" t="s">
        <v>244</v>
      </c>
      <c r="J192" t="s">
        <v>18</v>
      </c>
      <c r="K192" s="56">
        <v>19000</v>
      </c>
      <c r="L192" s="125">
        <v>10000</v>
      </c>
      <c r="M192" s="56">
        <v>9863.2000000000007</v>
      </c>
      <c r="N192" s="56">
        <v>13337.5</v>
      </c>
      <c r="O192" s="70">
        <f t="shared" si="28"/>
        <v>0.98632000000000009</v>
      </c>
      <c r="P192" s="57">
        <f t="shared" si="29"/>
        <v>0.5191157894736842</v>
      </c>
      <c r="Q192" s="57">
        <f t="shared" si="30"/>
        <v>0.7395089034676664</v>
      </c>
      <c r="R192" s="39">
        <f t="shared" si="31"/>
        <v>9136.7999999999993</v>
      </c>
      <c r="S192" s="58"/>
      <c r="T192" s="58">
        <v>0</v>
      </c>
      <c r="U192" s="66">
        <v>0</v>
      </c>
      <c r="V192" s="66">
        <v>0</v>
      </c>
      <c r="W192" s="70" t="e">
        <f t="shared" si="24"/>
        <v>#DIV/0!</v>
      </c>
      <c r="X192" s="57">
        <f t="shared" si="25"/>
        <v>0</v>
      </c>
      <c r="Y192" s="57" t="e">
        <f t="shared" si="26"/>
        <v>#DIV/0!</v>
      </c>
      <c r="Z192" s="39">
        <f t="shared" si="27"/>
        <v>19000</v>
      </c>
    </row>
    <row r="193" spans="1:26" x14ac:dyDescent="0.25">
      <c r="A193" s="20" t="s">
        <v>628</v>
      </c>
      <c r="B193" s="10" t="s">
        <v>589</v>
      </c>
      <c r="C193" s="10">
        <v>2</v>
      </c>
      <c r="D193" t="s">
        <v>571</v>
      </c>
      <c r="E193" s="20" t="s">
        <v>504</v>
      </c>
      <c r="F193" s="20" t="s">
        <v>0</v>
      </c>
      <c r="G193" t="s">
        <v>241</v>
      </c>
      <c r="H193" t="s">
        <v>243</v>
      </c>
      <c r="I193" t="s">
        <v>245</v>
      </c>
      <c r="J193" t="s">
        <v>65</v>
      </c>
      <c r="K193" s="56">
        <v>15000</v>
      </c>
      <c r="L193" s="125">
        <v>10000</v>
      </c>
      <c r="M193" s="56">
        <v>9181</v>
      </c>
      <c r="N193" s="56">
        <v>7480</v>
      </c>
      <c r="O193" s="70">
        <f t="shared" si="28"/>
        <v>0.91810000000000003</v>
      </c>
      <c r="P193" s="57">
        <f t="shared" si="29"/>
        <v>0.61206666666666665</v>
      </c>
      <c r="Q193" s="57">
        <f t="shared" si="30"/>
        <v>1.2274064171122994</v>
      </c>
      <c r="R193" s="39">
        <f t="shared" si="31"/>
        <v>5819</v>
      </c>
      <c r="S193" s="58"/>
      <c r="T193" s="58">
        <v>0</v>
      </c>
      <c r="U193" s="66">
        <v>0</v>
      </c>
      <c r="V193" s="66">
        <v>0</v>
      </c>
      <c r="W193" s="70" t="e">
        <f t="shared" si="24"/>
        <v>#DIV/0!</v>
      </c>
      <c r="X193" s="57">
        <f t="shared" si="25"/>
        <v>0</v>
      </c>
      <c r="Y193" s="57" t="e">
        <f t="shared" si="26"/>
        <v>#DIV/0!</v>
      </c>
      <c r="Z193" s="39">
        <f t="shared" si="27"/>
        <v>15000</v>
      </c>
    </row>
    <row r="194" spans="1:26" x14ac:dyDescent="0.25">
      <c r="A194" s="20" t="s">
        <v>636</v>
      </c>
      <c r="B194" s="10" t="s">
        <v>591</v>
      </c>
      <c r="C194" s="10">
        <v>1</v>
      </c>
      <c r="D194" t="s">
        <v>571</v>
      </c>
      <c r="E194" s="20" t="s">
        <v>504</v>
      </c>
      <c r="F194" s="20" t="s">
        <v>0</v>
      </c>
      <c r="G194" t="s">
        <v>241</v>
      </c>
      <c r="H194" t="s">
        <v>243</v>
      </c>
      <c r="I194" t="s">
        <v>246</v>
      </c>
      <c r="J194" t="s">
        <v>70</v>
      </c>
      <c r="K194" s="56">
        <v>157200</v>
      </c>
      <c r="L194" s="125">
        <v>90000</v>
      </c>
      <c r="M194" s="56">
        <v>84505.680000000008</v>
      </c>
      <c r="N194" s="56">
        <v>86255.28</v>
      </c>
      <c r="O194" s="70">
        <f t="shared" si="28"/>
        <v>0.93895200000000012</v>
      </c>
      <c r="P194" s="57">
        <f t="shared" si="29"/>
        <v>0.53756793893129773</v>
      </c>
      <c r="Q194" s="57">
        <f t="shared" si="30"/>
        <v>0.97971602434077087</v>
      </c>
      <c r="R194" s="39">
        <f t="shared" si="31"/>
        <v>72694.319999999992</v>
      </c>
      <c r="S194" s="58"/>
      <c r="T194" s="58">
        <v>22000</v>
      </c>
      <c r="U194" s="66">
        <v>19595.520000000004</v>
      </c>
      <c r="V194" s="66">
        <v>48755.519999999997</v>
      </c>
      <c r="W194" s="70">
        <f t="shared" si="24"/>
        <v>0.89070545454545469</v>
      </c>
      <c r="X194" s="57">
        <f t="shared" si="25"/>
        <v>0.12465343511450384</v>
      </c>
      <c r="Y194" s="57">
        <f t="shared" si="26"/>
        <v>0.40191387559808622</v>
      </c>
      <c r="Z194" s="39">
        <f t="shared" si="27"/>
        <v>135200</v>
      </c>
    </row>
    <row r="195" spans="1:26" x14ac:dyDescent="0.25">
      <c r="A195" s="20" t="s">
        <v>630</v>
      </c>
      <c r="B195" s="10" t="s">
        <v>592</v>
      </c>
      <c r="C195" s="10">
        <v>2</v>
      </c>
      <c r="D195" t="s">
        <v>571</v>
      </c>
      <c r="E195" s="20" t="s">
        <v>504</v>
      </c>
      <c r="F195" s="20" t="s">
        <v>0</v>
      </c>
      <c r="G195" t="s">
        <v>241</v>
      </c>
      <c r="H195" t="s">
        <v>243</v>
      </c>
      <c r="I195" t="s">
        <v>247</v>
      </c>
      <c r="J195" t="s">
        <v>118</v>
      </c>
      <c r="K195" s="56">
        <v>21100</v>
      </c>
      <c r="L195" s="125">
        <v>7500</v>
      </c>
      <c r="M195" s="56">
        <v>7007.13</v>
      </c>
      <c r="N195" s="56">
        <v>4454.74</v>
      </c>
      <c r="O195" s="70">
        <f t="shared" si="28"/>
        <v>0.934284</v>
      </c>
      <c r="P195" s="57">
        <f t="shared" si="29"/>
        <v>0.33209146919431282</v>
      </c>
      <c r="Q195" s="57">
        <f t="shared" si="30"/>
        <v>1.572960487031791</v>
      </c>
      <c r="R195" s="39">
        <f t="shared" si="31"/>
        <v>14092.869999999999</v>
      </c>
      <c r="S195" s="58"/>
      <c r="T195" s="58">
        <v>3000</v>
      </c>
      <c r="U195" s="66">
        <v>2643.23</v>
      </c>
      <c r="V195" s="66">
        <v>4454.74</v>
      </c>
      <c r="W195" s="70">
        <f t="shared" si="24"/>
        <v>0.88107666666666662</v>
      </c>
      <c r="X195" s="57">
        <f t="shared" si="25"/>
        <v>0.12527156398104267</v>
      </c>
      <c r="Y195" s="57">
        <f t="shared" si="26"/>
        <v>0.5933522495140009</v>
      </c>
      <c r="Z195" s="39">
        <f t="shared" si="27"/>
        <v>18100</v>
      </c>
    </row>
    <row r="196" spans="1:26" x14ac:dyDescent="0.25">
      <c r="A196" s="20" t="s">
        <v>625</v>
      </c>
      <c r="B196" s="10" t="s">
        <v>585</v>
      </c>
      <c r="C196" s="10">
        <v>1</v>
      </c>
      <c r="D196" t="s">
        <v>571</v>
      </c>
      <c r="E196" s="20" t="s">
        <v>505</v>
      </c>
      <c r="F196" s="20" t="s">
        <v>0</v>
      </c>
      <c r="G196" t="s">
        <v>248</v>
      </c>
      <c r="H196" t="s">
        <v>250</v>
      </c>
      <c r="I196" t="s">
        <v>249</v>
      </c>
      <c r="J196" t="s">
        <v>53</v>
      </c>
      <c r="K196" s="56">
        <v>14700</v>
      </c>
      <c r="L196" s="125">
        <v>0</v>
      </c>
      <c r="M196" s="56">
        <v>0</v>
      </c>
      <c r="N196" s="56">
        <v>8210</v>
      </c>
      <c r="O196" s="70" t="e">
        <f t="shared" si="28"/>
        <v>#DIV/0!</v>
      </c>
      <c r="P196" s="57">
        <f t="shared" si="29"/>
        <v>0</v>
      </c>
      <c r="Q196" s="57">
        <f t="shared" si="30"/>
        <v>0</v>
      </c>
      <c r="R196" s="39">
        <f t="shared" si="31"/>
        <v>14700</v>
      </c>
      <c r="S196" s="58"/>
      <c r="T196" s="58">
        <v>0</v>
      </c>
      <c r="U196" s="66">
        <v>0</v>
      </c>
      <c r="V196" s="66">
        <v>8210</v>
      </c>
      <c r="W196" s="70" t="e">
        <f t="shared" si="24"/>
        <v>#DIV/0!</v>
      </c>
      <c r="X196" s="57">
        <f t="shared" si="25"/>
        <v>0</v>
      </c>
      <c r="Y196" s="57">
        <f t="shared" si="26"/>
        <v>0</v>
      </c>
      <c r="Z196" s="39">
        <f t="shared" si="27"/>
        <v>14700</v>
      </c>
    </row>
    <row r="197" spans="1:26" x14ac:dyDescent="0.25">
      <c r="A197" s="20" t="s">
        <v>607</v>
      </c>
      <c r="B197" s="10" t="s">
        <v>572</v>
      </c>
      <c r="C197" s="10">
        <v>1</v>
      </c>
      <c r="D197" t="s">
        <v>571</v>
      </c>
      <c r="E197" s="20" t="s">
        <v>505</v>
      </c>
      <c r="F197" s="20" t="s">
        <v>0</v>
      </c>
      <c r="G197" t="s">
        <v>248</v>
      </c>
      <c r="H197" t="s">
        <v>250</v>
      </c>
      <c r="I197" t="s">
        <v>729</v>
      </c>
      <c r="J197" t="s">
        <v>12</v>
      </c>
      <c r="K197" s="119">
        <v>8000</v>
      </c>
      <c r="L197" s="125">
        <v>0</v>
      </c>
      <c r="M197" s="56">
        <v>0</v>
      </c>
      <c r="N197" s="56">
        <v>0</v>
      </c>
      <c r="O197" s="70" t="e">
        <f t="shared" si="28"/>
        <v>#DIV/0!</v>
      </c>
      <c r="P197" s="57">
        <f t="shared" si="29"/>
        <v>0</v>
      </c>
      <c r="Q197" s="57" t="e">
        <f t="shared" si="30"/>
        <v>#DIV/0!</v>
      </c>
      <c r="R197" s="39">
        <f t="shared" si="31"/>
        <v>8000</v>
      </c>
      <c r="S197" s="58"/>
      <c r="T197" s="58"/>
      <c r="U197" s="66"/>
      <c r="V197" s="66"/>
      <c r="W197" s="70"/>
      <c r="X197" s="57"/>
      <c r="Y197" s="57"/>
    </row>
    <row r="198" spans="1:26" x14ac:dyDescent="0.25">
      <c r="A198" s="20" t="s">
        <v>607</v>
      </c>
      <c r="B198" s="10" t="s">
        <v>572</v>
      </c>
      <c r="C198" s="10">
        <v>1</v>
      </c>
      <c r="D198" t="s">
        <v>571</v>
      </c>
      <c r="E198" s="20" t="s">
        <v>505</v>
      </c>
      <c r="F198" s="20" t="s">
        <v>0</v>
      </c>
      <c r="G198" t="s">
        <v>248</v>
      </c>
      <c r="H198" t="s">
        <v>250</v>
      </c>
      <c r="I198" t="s">
        <v>251</v>
      </c>
      <c r="J198" t="s">
        <v>12</v>
      </c>
      <c r="K198" s="56">
        <v>3000</v>
      </c>
      <c r="L198" s="125">
        <v>0</v>
      </c>
      <c r="M198" s="56">
        <v>0</v>
      </c>
      <c r="N198" s="56">
        <v>0</v>
      </c>
      <c r="O198" s="70" t="e">
        <f t="shared" si="28"/>
        <v>#DIV/0!</v>
      </c>
      <c r="P198" s="57">
        <f t="shared" si="29"/>
        <v>0</v>
      </c>
      <c r="Q198" s="57" t="e">
        <f t="shared" si="30"/>
        <v>#DIV/0!</v>
      </c>
      <c r="R198" s="39">
        <f t="shared" si="31"/>
        <v>3000</v>
      </c>
      <c r="S198" s="58"/>
      <c r="T198" s="58">
        <v>0</v>
      </c>
      <c r="U198" s="66">
        <v>0</v>
      </c>
      <c r="V198" s="66">
        <v>0</v>
      </c>
      <c r="W198" s="70" t="e">
        <f t="shared" si="24"/>
        <v>#DIV/0!</v>
      </c>
      <c r="X198" s="57">
        <f t="shared" si="25"/>
        <v>0</v>
      </c>
      <c r="Y198" s="57" t="e">
        <f t="shared" si="26"/>
        <v>#DIV/0!</v>
      </c>
      <c r="Z198" s="39">
        <f t="shared" si="27"/>
        <v>3000</v>
      </c>
    </row>
    <row r="199" spans="1:26" x14ac:dyDescent="0.25">
      <c r="A199" s="20" t="s">
        <v>646</v>
      </c>
      <c r="B199" s="10" t="s">
        <v>603</v>
      </c>
      <c r="C199" s="10">
        <v>1</v>
      </c>
      <c r="D199" t="s">
        <v>571</v>
      </c>
      <c r="E199" s="20" t="s">
        <v>505</v>
      </c>
      <c r="F199" s="20" t="s">
        <v>0</v>
      </c>
      <c r="G199" t="s">
        <v>248</v>
      </c>
      <c r="H199" t="s">
        <v>250</v>
      </c>
      <c r="I199" t="s">
        <v>252</v>
      </c>
      <c r="J199" t="s">
        <v>105</v>
      </c>
      <c r="K199" s="56">
        <v>6000</v>
      </c>
      <c r="L199" s="125">
        <v>0</v>
      </c>
      <c r="M199" s="56">
        <v>0</v>
      </c>
      <c r="N199" s="56">
        <v>0</v>
      </c>
      <c r="O199" s="70" t="e">
        <f t="shared" si="28"/>
        <v>#DIV/0!</v>
      </c>
      <c r="P199" s="57">
        <f t="shared" si="29"/>
        <v>0</v>
      </c>
      <c r="Q199" s="57" t="e">
        <f t="shared" si="30"/>
        <v>#DIV/0!</v>
      </c>
      <c r="R199" s="39">
        <f t="shared" si="31"/>
        <v>6000</v>
      </c>
      <c r="S199" s="58"/>
      <c r="T199" s="58">
        <v>0</v>
      </c>
      <c r="U199" s="66">
        <v>0</v>
      </c>
      <c r="V199" s="66">
        <v>0</v>
      </c>
      <c r="W199" s="70" t="e">
        <f t="shared" si="24"/>
        <v>#DIV/0!</v>
      </c>
      <c r="X199" s="57">
        <f t="shared" si="25"/>
        <v>0</v>
      </c>
      <c r="Y199" s="57" t="e">
        <f t="shared" si="26"/>
        <v>#DIV/0!</v>
      </c>
      <c r="Z199" s="39">
        <f t="shared" si="27"/>
        <v>6000</v>
      </c>
    </row>
    <row r="200" spans="1:26" x14ac:dyDescent="0.25">
      <c r="A200" s="20" t="s">
        <v>609</v>
      </c>
      <c r="B200" s="10" t="s">
        <v>573</v>
      </c>
      <c r="C200" s="10">
        <v>1</v>
      </c>
      <c r="D200" t="s">
        <v>571</v>
      </c>
      <c r="E200" s="20" t="s">
        <v>505</v>
      </c>
      <c r="F200" s="20" t="s">
        <v>0</v>
      </c>
      <c r="G200" t="s">
        <v>248</v>
      </c>
      <c r="H200" t="s">
        <v>250</v>
      </c>
      <c r="I200" t="s">
        <v>253</v>
      </c>
      <c r="J200" t="s">
        <v>16</v>
      </c>
      <c r="K200" s="56">
        <v>15000</v>
      </c>
      <c r="L200" s="125">
        <v>7000</v>
      </c>
      <c r="M200" s="56">
        <v>6808.75</v>
      </c>
      <c r="N200" s="56">
        <v>6004.85</v>
      </c>
      <c r="O200" s="70">
        <f t="shared" si="28"/>
        <v>0.97267857142857139</v>
      </c>
      <c r="P200" s="57">
        <f t="shared" si="29"/>
        <v>0.45391666666666669</v>
      </c>
      <c r="Q200" s="57">
        <f t="shared" si="30"/>
        <v>1.1338751176132627</v>
      </c>
      <c r="R200" s="39">
        <f t="shared" si="31"/>
        <v>8191.25</v>
      </c>
      <c r="S200" s="58"/>
      <c r="T200" s="58">
        <v>7000</v>
      </c>
      <c r="U200" s="66">
        <v>5746.25</v>
      </c>
      <c r="V200" s="66">
        <v>1504.85</v>
      </c>
      <c r="W200" s="70">
        <f t="shared" ref="W200:W218" si="32">U200/T200</f>
        <v>0.82089285714285709</v>
      </c>
      <c r="X200" s="57">
        <f t="shared" ref="X200:X218" si="33">U200/K200</f>
        <v>0.38308333333333333</v>
      </c>
      <c r="Y200" s="57">
        <f t="shared" ref="Y200:Y218" si="34">U200/V200</f>
        <v>3.8184868923813009</v>
      </c>
      <c r="Z200" s="39">
        <f t="shared" ref="Z200:Z218" si="35">K200-T200</f>
        <v>8000</v>
      </c>
    </row>
    <row r="201" spans="1:26" x14ac:dyDescent="0.25">
      <c r="A201" s="20" t="s">
        <v>608</v>
      </c>
      <c r="B201" s="10" t="s">
        <v>574</v>
      </c>
      <c r="C201" s="10">
        <v>1</v>
      </c>
      <c r="D201" t="s">
        <v>571</v>
      </c>
      <c r="E201" s="20" t="s">
        <v>505</v>
      </c>
      <c r="F201" s="20" t="s">
        <v>0</v>
      </c>
      <c r="G201" t="s">
        <v>248</v>
      </c>
      <c r="H201" t="s">
        <v>250</v>
      </c>
      <c r="I201" t="s">
        <v>254</v>
      </c>
      <c r="J201" t="s">
        <v>18</v>
      </c>
      <c r="K201" s="56">
        <v>25500</v>
      </c>
      <c r="L201" s="125">
        <v>12000</v>
      </c>
      <c r="M201" s="56">
        <v>11785.279999999999</v>
      </c>
      <c r="N201" s="56">
        <v>2851.45</v>
      </c>
      <c r="O201" s="70">
        <f t="shared" si="28"/>
        <v>0.98210666666666657</v>
      </c>
      <c r="P201" s="57">
        <f t="shared" si="29"/>
        <v>0.46216784313725484</v>
      </c>
      <c r="Q201" s="57">
        <f t="shared" si="30"/>
        <v>4.1330831682126634</v>
      </c>
      <c r="R201" s="39">
        <f t="shared" si="31"/>
        <v>13714.720000000001</v>
      </c>
      <c r="S201" s="58"/>
      <c r="T201" s="58">
        <v>10000</v>
      </c>
      <c r="U201" s="66">
        <v>8985.98</v>
      </c>
      <c r="V201" s="66">
        <v>2541.75</v>
      </c>
      <c r="W201" s="70">
        <f t="shared" si="32"/>
        <v>0.89859800000000001</v>
      </c>
      <c r="X201" s="57">
        <f t="shared" si="33"/>
        <v>0.35239137254901959</v>
      </c>
      <c r="Y201" s="57">
        <f t="shared" si="34"/>
        <v>3.5353516278154813</v>
      </c>
      <c r="Z201" s="39">
        <f t="shared" si="35"/>
        <v>15500</v>
      </c>
    </row>
    <row r="202" spans="1:26" x14ac:dyDescent="0.25">
      <c r="A202" s="20" t="s">
        <v>628</v>
      </c>
      <c r="B202" s="10" t="s">
        <v>589</v>
      </c>
      <c r="C202" s="10">
        <v>2</v>
      </c>
      <c r="D202" t="s">
        <v>571</v>
      </c>
      <c r="E202" s="20" t="s">
        <v>505</v>
      </c>
      <c r="F202" s="20" t="s">
        <v>0</v>
      </c>
      <c r="G202" t="s">
        <v>248</v>
      </c>
      <c r="H202" t="s">
        <v>250</v>
      </c>
      <c r="I202" t="s">
        <v>255</v>
      </c>
      <c r="J202" t="s">
        <v>65</v>
      </c>
      <c r="K202" s="56">
        <v>60000</v>
      </c>
      <c r="L202" s="125">
        <v>0</v>
      </c>
      <c r="M202" s="56">
        <v>0</v>
      </c>
      <c r="N202" s="56">
        <v>6912</v>
      </c>
      <c r="O202" s="70" t="e">
        <f t="shared" si="28"/>
        <v>#DIV/0!</v>
      </c>
      <c r="P202" s="57">
        <f t="shared" si="29"/>
        <v>0</v>
      </c>
      <c r="Q202" s="57">
        <f t="shared" si="30"/>
        <v>0</v>
      </c>
      <c r="R202" s="39">
        <f t="shared" si="31"/>
        <v>60000</v>
      </c>
      <c r="S202" s="58"/>
      <c r="T202" s="58">
        <v>0</v>
      </c>
      <c r="U202" s="66">
        <v>0</v>
      </c>
      <c r="V202" s="66">
        <v>6912</v>
      </c>
      <c r="W202" s="70" t="e">
        <f t="shared" si="32"/>
        <v>#DIV/0!</v>
      </c>
      <c r="X202" s="57">
        <f t="shared" si="33"/>
        <v>0</v>
      </c>
      <c r="Y202" s="57">
        <f t="shared" si="34"/>
        <v>0</v>
      </c>
      <c r="Z202" s="39">
        <f t="shared" si="35"/>
        <v>60000</v>
      </c>
    </row>
    <row r="203" spans="1:26" x14ac:dyDescent="0.25">
      <c r="A203" s="20" t="s">
        <v>636</v>
      </c>
      <c r="B203" s="10" t="s">
        <v>591</v>
      </c>
      <c r="C203" s="10">
        <v>1</v>
      </c>
      <c r="D203" t="s">
        <v>571</v>
      </c>
      <c r="E203" s="20" t="s">
        <v>505</v>
      </c>
      <c r="F203" s="20" t="s">
        <v>0</v>
      </c>
      <c r="G203" t="s">
        <v>248</v>
      </c>
      <c r="H203" t="s">
        <v>250</v>
      </c>
      <c r="I203" t="s">
        <v>256</v>
      </c>
      <c r="J203" t="s">
        <v>70</v>
      </c>
      <c r="K203" s="56">
        <v>590800</v>
      </c>
      <c r="L203" s="125">
        <v>200000</v>
      </c>
      <c r="M203" s="56">
        <v>192814.56000000003</v>
      </c>
      <c r="N203" s="56">
        <v>234917.27999999994</v>
      </c>
      <c r="O203" s="70">
        <f t="shared" si="28"/>
        <v>0.96407280000000017</v>
      </c>
      <c r="P203" s="57">
        <f t="shared" si="29"/>
        <v>0.32636181448882873</v>
      </c>
      <c r="Q203" s="57">
        <f t="shared" si="30"/>
        <v>0.82077640265543717</v>
      </c>
      <c r="R203" s="39">
        <f t="shared" si="31"/>
        <v>397985.43999999994</v>
      </c>
      <c r="S203" s="58"/>
      <c r="T203" s="58">
        <v>120000</v>
      </c>
      <c r="U203" s="66">
        <v>112363.20000000001</v>
      </c>
      <c r="V203" s="66">
        <v>119696.39999999997</v>
      </c>
      <c r="W203" s="70">
        <f t="shared" si="32"/>
        <v>0.93636000000000008</v>
      </c>
      <c r="X203" s="57">
        <f t="shared" si="33"/>
        <v>0.19018821936357483</v>
      </c>
      <c r="Y203" s="57">
        <f t="shared" si="34"/>
        <v>0.93873499954885897</v>
      </c>
      <c r="Z203" s="39">
        <f t="shared" si="35"/>
        <v>470800</v>
      </c>
    </row>
    <row r="204" spans="1:26" x14ac:dyDescent="0.25">
      <c r="A204" s="20" t="s">
        <v>630</v>
      </c>
      <c r="B204" s="10" t="s">
        <v>592</v>
      </c>
      <c r="C204" s="10">
        <v>2</v>
      </c>
      <c r="D204" t="s">
        <v>571</v>
      </c>
      <c r="E204" s="20" t="s">
        <v>505</v>
      </c>
      <c r="F204" s="20" t="s">
        <v>0</v>
      </c>
      <c r="G204" t="s">
        <v>248</v>
      </c>
      <c r="H204" t="s">
        <v>250</v>
      </c>
      <c r="I204" t="s">
        <v>257</v>
      </c>
      <c r="J204" t="s">
        <v>118</v>
      </c>
      <c r="K204" s="56">
        <v>41400</v>
      </c>
      <c r="L204" s="125">
        <v>13000</v>
      </c>
      <c r="M204" s="56">
        <v>12354.78</v>
      </c>
      <c r="N204" s="56">
        <v>10523.22</v>
      </c>
      <c r="O204" s="70">
        <f t="shared" si="28"/>
        <v>0.95036769230769236</v>
      </c>
      <c r="P204" s="57">
        <f t="shared" si="29"/>
        <v>0.29842463768115945</v>
      </c>
      <c r="Q204" s="57">
        <f t="shared" si="30"/>
        <v>1.1740493879249889</v>
      </c>
      <c r="R204" s="39">
        <f t="shared" si="31"/>
        <v>29045.22</v>
      </c>
      <c r="S204" s="58"/>
      <c r="T204" s="58">
        <v>6500</v>
      </c>
      <c r="U204" s="66">
        <v>5212.5800000000008</v>
      </c>
      <c r="V204" s="66">
        <v>1550</v>
      </c>
      <c r="W204" s="70">
        <f t="shared" si="32"/>
        <v>0.80193538461538472</v>
      </c>
      <c r="X204" s="57">
        <f t="shared" si="33"/>
        <v>0.12590772946859904</v>
      </c>
      <c r="Y204" s="57">
        <f t="shared" si="34"/>
        <v>3.3629548387096779</v>
      </c>
      <c r="Z204" s="39">
        <f t="shared" si="35"/>
        <v>34900</v>
      </c>
    </row>
    <row r="205" spans="1:26" x14ac:dyDescent="0.25">
      <c r="A205" s="20" t="s">
        <v>640</v>
      </c>
      <c r="B205" s="10" t="s">
        <v>598</v>
      </c>
      <c r="C205" s="10">
        <v>1</v>
      </c>
      <c r="D205" t="s">
        <v>571</v>
      </c>
      <c r="E205" s="20" t="s">
        <v>505</v>
      </c>
      <c r="F205" s="20" t="s">
        <v>0</v>
      </c>
      <c r="G205" t="s">
        <v>248</v>
      </c>
      <c r="H205" t="s">
        <v>250</v>
      </c>
      <c r="I205" t="s">
        <v>258</v>
      </c>
      <c r="J205" t="s">
        <v>89</v>
      </c>
      <c r="K205" s="56">
        <v>36000</v>
      </c>
      <c r="L205" s="125">
        <v>4000</v>
      </c>
      <c r="M205" s="56">
        <v>3553</v>
      </c>
      <c r="N205" s="56">
        <v>0</v>
      </c>
      <c r="O205" s="70">
        <f t="shared" si="28"/>
        <v>0.88824999999999998</v>
      </c>
      <c r="P205" s="57">
        <f t="shared" si="29"/>
        <v>9.8694444444444446E-2</v>
      </c>
      <c r="Q205" s="57" t="e">
        <f t="shared" si="30"/>
        <v>#DIV/0!</v>
      </c>
      <c r="R205" s="39">
        <f t="shared" si="31"/>
        <v>32447</v>
      </c>
      <c r="S205" s="58"/>
      <c r="T205" s="58">
        <v>0</v>
      </c>
      <c r="U205" s="66">
        <v>0</v>
      </c>
      <c r="V205" s="66">
        <v>0</v>
      </c>
      <c r="W205" s="70" t="e">
        <f t="shared" si="32"/>
        <v>#DIV/0!</v>
      </c>
      <c r="X205" s="57">
        <f t="shared" si="33"/>
        <v>0</v>
      </c>
      <c r="Y205" s="57" t="e">
        <f t="shared" si="34"/>
        <v>#DIV/0!</v>
      </c>
      <c r="Z205" s="39">
        <f t="shared" si="35"/>
        <v>36000</v>
      </c>
    </row>
    <row r="206" spans="1:26" x14ac:dyDescent="0.25">
      <c r="A206" s="20" t="s">
        <v>625</v>
      </c>
      <c r="B206" s="10" t="s">
        <v>585</v>
      </c>
      <c r="C206" s="10">
        <v>1</v>
      </c>
      <c r="D206" t="s">
        <v>571</v>
      </c>
      <c r="E206" s="20" t="s">
        <v>506</v>
      </c>
      <c r="F206" s="20" t="s">
        <v>0</v>
      </c>
      <c r="G206" t="s">
        <v>259</v>
      </c>
      <c r="H206" t="s">
        <v>261</v>
      </c>
      <c r="I206" t="s">
        <v>260</v>
      </c>
      <c r="J206" t="s">
        <v>53</v>
      </c>
      <c r="K206" s="56">
        <v>2000</v>
      </c>
      <c r="L206" s="125">
        <v>0</v>
      </c>
      <c r="M206" s="56">
        <v>0</v>
      </c>
      <c r="N206" s="56">
        <v>0</v>
      </c>
      <c r="O206" s="70" t="e">
        <f t="shared" ref="O206:O221" si="36">M206/L206</f>
        <v>#DIV/0!</v>
      </c>
      <c r="P206" s="57">
        <f t="shared" ref="P206:P221" si="37">M206/K206</f>
        <v>0</v>
      </c>
      <c r="Q206" s="57" t="e">
        <f t="shared" ref="Q206:Q221" si="38">M206/N206</f>
        <v>#DIV/0!</v>
      </c>
      <c r="R206" s="39">
        <f t="shared" ref="R206:R221" si="39">K206-M206</f>
        <v>2000</v>
      </c>
      <c r="S206" s="58"/>
      <c r="T206" s="58">
        <v>0</v>
      </c>
      <c r="U206" s="66">
        <v>0</v>
      </c>
      <c r="V206" s="66">
        <v>0</v>
      </c>
      <c r="W206" s="70" t="e">
        <f t="shared" si="32"/>
        <v>#DIV/0!</v>
      </c>
      <c r="X206" s="57">
        <f t="shared" si="33"/>
        <v>0</v>
      </c>
      <c r="Y206" s="57" t="e">
        <f t="shared" si="34"/>
        <v>#DIV/0!</v>
      </c>
      <c r="Z206" s="39">
        <f t="shared" si="35"/>
        <v>2000</v>
      </c>
    </row>
    <row r="207" spans="1:26" x14ac:dyDescent="0.25">
      <c r="A207" s="20" t="s">
        <v>609</v>
      </c>
      <c r="B207" s="10" t="s">
        <v>573</v>
      </c>
      <c r="C207" s="10">
        <v>1</v>
      </c>
      <c r="D207" t="s">
        <v>571</v>
      </c>
      <c r="E207" s="20" t="s">
        <v>506</v>
      </c>
      <c r="F207" s="20" t="s">
        <v>0</v>
      </c>
      <c r="G207" t="s">
        <v>259</v>
      </c>
      <c r="H207" t="s">
        <v>261</v>
      </c>
      <c r="I207" t="s">
        <v>262</v>
      </c>
      <c r="J207" t="s">
        <v>16</v>
      </c>
      <c r="K207" s="56">
        <v>5000</v>
      </c>
      <c r="L207" s="125">
        <v>1700</v>
      </c>
      <c r="M207" s="56">
        <v>1525</v>
      </c>
      <c r="N207" s="56">
        <v>2504</v>
      </c>
      <c r="O207" s="70">
        <f t="shared" si="36"/>
        <v>0.8970588235294118</v>
      </c>
      <c r="P207" s="57">
        <f t="shared" si="37"/>
        <v>0.30499999999999999</v>
      </c>
      <c r="Q207" s="57">
        <f t="shared" si="38"/>
        <v>0.60902555910543132</v>
      </c>
      <c r="R207" s="39">
        <f t="shared" si="39"/>
        <v>3475</v>
      </c>
      <c r="S207" s="58"/>
      <c r="T207" s="58">
        <v>1600</v>
      </c>
      <c r="U207" s="66">
        <v>1525</v>
      </c>
      <c r="V207" s="66">
        <v>0</v>
      </c>
      <c r="W207" s="70">
        <f t="shared" si="32"/>
        <v>0.953125</v>
      </c>
      <c r="X207" s="57">
        <f t="shared" si="33"/>
        <v>0.30499999999999999</v>
      </c>
      <c r="Y207" s="57" t="e">
        <f t="shared" si="34"/>
        <v>#DIV/0!</v>
      </c>
      <c r="Z207" s="39">
        <f t="shared" si="35"/>
        <v>3400</v>
      </c>
    </row>
    <row r="208" spans="1:26" x14ac:dyDescent="0.25">
      <c r="A208" s="20" t="s">
        <v>608</v>
      </c>
      <c r="B208" s="10" t="s">
        <v>574</v>
      </c>
      <c r="C208" s="10">
        <v>1</v>
      </c>
      <c r="D208" t="s">
        <v>571</v>
      </c>
      <c r="E208" s="20" t="s">
        <v>506</v>
      </c>
      <c r="F208" s="20" t="s">
        <v>0</v>
      </c>
      <c r="G208" t="s">
        <v>259</v>
      </c>
      <c r="H208" t="s">
        <v>261</v>
      </c>
      <c r="I208" t="s">
        <v>263</v>
      </c>
      <c r="J208" t="s">
        <v>18</v>
      </c>
      <c r="K208" s="56">
        <v>18000</v>
      </c>
      <c r="L208" s="125">
        <v>0</v>
      </c>
      <c r="M208" s="56">
        <v>0</v>
      </c>
      <c r="N208" s="56">
        <v>1955</v>
      </c>
      <c r="O208" s="70" t="e">
        <f t="shared" si="36"/>
        <v>#DIV/0!</v>
      </c>
      <c r="P208" s="57">
        <f t="shared" si="37"/>
        <v>0</v>
      </c>
      <c r="Q208" s="57">
        <f t="shared" si="38"/>
        <v>0</v>
      </c>
      <c r="R208" s="39">
        <f t="shared" si="39"/>
        <v>18000</v>
      </c>
      <c r="S208" s="58"/>
      <c r="T208" s="58">
        <v>0</v>
      </c>
      <c r="U208" s="66">
        <v>0</v>
      </c>
      <c r="V208" s="66">
        <v>1955</v>
      </c>
      <c r="W208" s="70" t="e">
        <f t="shared" si="32"/>
        <v>#DIV/0!</v>
      </c>
      <c r="X208" s="57">
        <f t="shared" si="33"/>
        <v>0</v>
      </c>
      <c r="Y208" s="57">
        <f t="shared" si="34"/>
        <v>0</v>
      </c>
      <c r="Z208" s="39">
        <f t="shared" si="35"/>
        <v>18000</v>
      </c>
    </row>
    <row r="209" spans="1:26" x14ac:dyDescent="0.25">
      <c r="A209" s="20" t="s">
        <v>628</v>
      </c>
      <c r="B209" s="10" t="s">
        <v>589</v>
      </c>
      <c r="C209" s="10">
        <v>2</v>
      </c>
      <c r="D209" t="s">
        <v>571</v>
      </c>
      <c r="E209" s="20" t="s">
        <v>506</v>
      </c>
      <c r="F209" s="20" t="s">
        <v>0</v>
      </c>
      <c r="G209" t="s">
        <v>259</v>
      </c>
      <c r="H209" t="s">
        <v>261</v>
      </c>
      <c r="I209" t="s">
        <v>264</v>
      </c>
      <c r="J209" t="s">
        <v>65</v>
      </c>
      <c r="K209" s="56">
        <v>15000</v>
      </c>
      <c r="L209" s="125">
        <v>0</v>
      </c>
      <c r="M209" s="56">
        <v>0</v>
      </c>
      <c r="N209" s="56">
        <v>0</v>
      </c>
      <c r="O209" s="70" t="e">
        <f t="shared" si="36"/>
        <v>#DIV/0!</v>
      </c>
      <c r="P209" s="57">
        <f t="shared" si="37"/>
        <v>0</v>
      </c>
      <c r="Q209" s="57" t="e">
        <f t="shared" si="38"/>
        <v>#DIV/0!</v>
      </c>
      <c r="R209" s="39">
        <f t="shared" si="39"/>
        <v>15000</v>
      </c>
      <c r="S209" s="58"/>
      <c r="T209" s="58">
        <v>0</v>
      </c>
      <c r="U209" s="66">
        <v>0</v>
      </c>
      <c r="V209" s="66">
        <v>0</v>
      </c>
      <c r="W209" s="70" t="e">
        <f t="shared" si="32"/>
        <v>#DIV/0!</v>
      </c>
      <c r="X209" s="57">
        <f t="shared" si="33"/>
        <v>0</v>
      </c>
      <c r="Y209" s="57" t="e">
        <f t="shared" si="34"/>
        <v>#DIV/0!</v>
      </c>
      <c r="Z209" s="39">
        <f t="shared" si="35"/>
        <v>15000</v>
      </c>
    </row>
    <row r="210" spans="1:26" x14ac:dyDescent="0.25">
      <c r="A210" s="20" t="s">
        <v>636</v>
      </c>
      <c r="B210" s="10" t="s">
        <v>591</v>
      </c>
      <c r="C210" s="10">
        <v>1</v>
      </c>
      <c r="D210" t="s">
        <v>571</v>
      </c>
      <c r="E210" s="20" t="s">
        <v>506</v>
      </c>
      <c r="F210" s="20" t="s">
        <v>0</v>
      </c>
      <c r="G210" t="s">
        <v>259</v>
      </c>
      <c r="H210" t="s">
        <v>261</v>
      </c>
      <c r="I210" t="s">
        <v>265</v>
      </c>
      <c r="J210" t="s">
        <v>70</v>
      </c>
      <c r="K210" s="56">
        <v>57000</v>
      </c>
      <c r="L210" s="125">
        <v>600</v>
      </c>
      <c r="M210" s="56">
        <v>583.20000000000005</v>
      </c>
      <c r="N210" s="56">
        <v>16329.599999999999</v>
      </c>
      <c r="O210" s="70">
        <f t="shared" si="36"/>
        <v>0.97200000000000009</v>
      </c>
      <c r="P210" s="57">
        <f t="shared" si="37"/>
        <v>1.0231578947368421E-2</v>
      </c>
      <c r="Q210" s="57">
        <f t="shared" si="38"/>
        <v>3.5714285714285719E-2</v>
      </c>
      <c r="R210" s="39">
        <f t="shared" si="39"/>
        <v>56416.800000000003</v>
      </c>
      <c r="S210" s="58"/>
      <c r="T210" s="58">
        <v>0</v>
      </c>
      <c r="U210" s="66">
        <v>0</v>
      </c>
      <c r="V210" s="66">
        <v>2332.8000000000002</v>
      </c>
      <c r="W210" s="70" t="e">
        <f t="shared" si="32"/>
        <v>#DIV/0!</v>
      </c>
      <c r="X210" s="57">
        <f t="shared" si="33"/>
        <v>0</v>
      </c>
      <c r="Y210" s="57">
        <f t="shared" si="34"/>
        <v>0</v>
      </c>
      <c r="Z210" s="39">
        <f t="shared" si="35"/>
        <v>57000</v>
      </c>
    </row>
    <row r="211" spans="1:26" x14ac:dyDescent="0.25">
      <c r="A211" s="20" t="s">
        <v>630</v>
      </c>
      <c r="B211" s="10" t="s">
        <v>592</v>
      </c>
      <c r="C211" s="10">
        <v>2</v>
      </c>
      <c r="D211" t="s">
        <v>571</v>
      </c>
      <c r="E211" s="20" t="s">
        <v>506</v>
      </c>
      <c r="F211" s="20" t="s">
        <v>0</v>
      </c>
      <c r="G211" t="s">
        <v>259</v>
      </c>
      <c r="H211" t="s">
        <v>261</v>
      </c>
      <c r="I211" t="s">
        <v>266</v>
      </c>
      <c r="J211" t="s">
        <v>118</v>
      </c>
      <c r="K211" s="56">
        <v>21100</v>
      </c>
      <c r="L211" s="125">
        <v>4000</v>
      </c>
      <c r="M211" s="56">
        <v>3712.76</v>
      </c>
      <c r="N211" s="56">
        <v>8966.68</v>
      </c>
      <c r="O211" s="70">
        <f t="shared" si="36"/>
        <v>0.92819000000000007</v>
      </c>
      <c r="P211" s="57">
        <f t="shared" si="37"/>
        <v>0.17596018957345971</v>
      </c>
      <c r="Q211" s="57">
        <f t="shared" si="38"/>
        <v>0.41406183782626349</v>
      </c>
      <c r="R211" s="39">
        <f t="shared" si="39"/>
        <v>17387.239999999998</v>
      </c>
      <c r="S211" s="58"/>
      <c r="T211" s="58">
        <v>0</v>
      </c>
      <c r="U211" s="66">
        <v>0</v>
      </c>
      <c r="V211" s="66">
        <v>5960.54</v>
      </c>
      <c r="W211" s="70" t="e">
        <f t="shared" si="32"/>
        <v>#DIV/0!</v>
      </c>
      <c r="X211" s="57">
        <f t="shared" si="33"/>
        <v>0</v>
      </c>
      <c r="Y211" s="57">
        <f t="shared" si="34"/>
        <v>0</v>
      </c>
      <c r="Z211" s="39">
        <f t="shared" si="35"/>
        <v>21100</v>
      </c>
    </row>
    <row r="212" spans="1:26" x14ac:dyDescent="0.25">
      <c r="A212" s="20" t="s">
        <v>639</v>
      </c>
      <c r="B212" s="10" t="s">
        <v>600</v>
      </c>
      <c r="C212" s="10">
        <v>1</v>
      </c>
      <c r="D212" t="s">
        <v>571</v>
      </c>
      <c r="E212" s="20" t="s">
        <v>506</v>
      </c>
      <c r="F212" s="20" t="s">
        <v>0</v>
      </c>
      <c r="G212" t="s">
        <v>259</v>
      </c>
      <c r="H212" t="s">
        <v>261</v>
      </c>
      <c r="I212" t="s">
        <v>267</v>
      </c>
      <c r="J212" t="s">
        <v>93</v>
      </c>
      <c r="K212" s="56">
        <v>13500</v>
      </c>
      <c r="L212" s="125">
        <v>12000</v>
      </c>
      <c r="M212" s="56">
        <v>11166.9</v>
      </c>
      <c r="N212" s="56">
        <v>0</v>
      </c>
      <c r="O212" s="70">
        <f t="shared" si="36"/>
        <v>0.93057499999999993</v>
      </c>
      <c r="P212" s="57">
        <f t="shared" si="37"/>
        <v>0.82717777777777779</v>
      </c>
      <c r="Q212" s="57" t="e">
        <f t="shared" si="38"/>
        <v>#DIV/0!</v>
      </c>
      <c r="R212" s="39">
        <f t="shared" si="39"/>
        <v>2333.1000000000004</v>
      </c>
      <c r="S212" s="58"/>
      <c r="T212" s="58">
        <v>0</v>
      </c>
      <c r="U212" s="66">
        <v>0</v>
      </c>
      <c r="V212" s="66">
        <v>0</v>
      </c>
      <c r="W212" s="70" t="e">
        <f t="shared" si="32"/>
        <v>#DIV/0!</v>
      </c>
      <c r="X212" s="57">
        <f t="shared" si="33"/>
        <v>0</v>
      </c>
      <c r="Y212" s="57" t="e">
        <f t="shared" si="34"/>
        <v>#DIV/0!</v>
      </c>
      <c r="Z212" s="39">
        <f t="shared" si="35"/>
        <v>13500</v>
      </c>
    </row>
    <row r="213" spans="1:26" x14ac:dyDescent="0.25">
      <c r="A213" s="20" t="s">
        <v>625</v>
      </c>
      <c r="B213" s="10" t="s">
        <v>585</v>
      </c>
      <c r="C213" s="10">
        <v>1</v>
      </c>
      <c r="D213" t="s">
        <v>571</v>
      </c>
      <c r="E213" s="20" t="s">
        <v>507</v>
      </c>
      <c r="F213" s="20" t="s">
        <v>0</v>
      </c>
      <c r="G213" t="s">
        <v>268</v>
      </c>
      <c r="H213" t="s">
        <v>270</v>
      </c>
      <c r="I213" t="s">
        <v>269</v>
      </c>
      <c r="J213" t="s">
        <v>53</v>
      </c>
      <c r="K213" s="56">
        <v>2000</v>
      </c>
      <c r="L213" s="125">
        <v>0</v>
      </c>
      <c r="M213" s="56">
        <v>0</v>
      </c>
      <c r="N213" s="56">
        <v>0</v>
      </c>
      <c r="O213" s="70" t="e">
        <f t="shared" si="36"/>
        <v>#DIV/0!</v>
      </c>
      <c r="P213" s="57">
        <f t="shared" si="37"/>
        <v>0</v>
      </c>
      <c r="Q213" s="57" t="e">
        <f t="shared" si="38"/>
        <v>#DIV/0!</v>
      </c>
      <c r="R213" s="39">
        <f t="shared" si="39"/>
        <v>2000</v>
      </c>
      <c r="S213" s="58"/>
      <c r="T213" s="58">
        <v>0</v>
      </c>
      <c r="U213" s="66">
        <v>0</v>
      </c>
      <c r="V213" s="66">
        <v>0</v>
      </c>
      <c r="W213" s="70" t="e">
        <f t="shared" si="32"/>
        <v>#DIV/0!</v>
      </c>
      <c r="X213" s="57">
        <f t="shared" si="33"/>
        <v>0</v>
      </c>
      <c r="Y213" s="57" t="e">
        <f t="shared" si="34"/>
        <v>#DIV/0!</v>
      </c>
      <c r="Z213" s="39">
        <f t="shared" si="35"/>
        <v>2000</v>
      </c>
    </row>
    <row r="214" spans="1:26" x14ac:dyDescent="0.25">
      <c r="A214" s="20" t="s">
        <v>609</v>
      </c>
      <c r="B214" s="10" t="s">
        <v>573</v>
      </c>
      <c r="C214" s="10">
        <v>1</v>
      </c>
      <c r="D214" t="s">
        <v>571</v>
      </c>
      <c r="E214" s="20" t="s">
        <v>507</v>
      </c>
      <c r="F214" s="20" t="s">
        <v>0</v>
      </c>
      <c r="G214" t="s">
        <v>268</v>
      </c>
      <c r="H214" t="s">
        <v>270</v>
      </c>
      <c r="I214" t="s">
        <v>271</v>
      </c>
      <c r="J214" t="s">
        <v>16</v>
      </c>
      <c r="K214" s="56">
        <v>5000</v>
      </c>
      <c r="L214" s="125">
        <v>3000</v>
      </c>
      <c r="M214" s="56">
        <v>2920.75</v>
      </c>
      <c r="N214" s="56">
        <v>855</v>
      </c>
      <c r="O214" s="70">
        <f t="shared" si="36"/>
        <v>0.97358333333333336</v>
      </c>
      <c r="P214" s="57">
        <f t="shared" si="37"/>
        <v>0.58414999999999995</v>
      </c>
      <c r="Q214" s="57">
        <f t="shared" si="38"/>
        <v>3.4160818713450292</v>
      </c>
      <c r="R214" s="39">
        <f t="shared" si="39"/>
        <v>2079.25</v>
      </c>
      <c r="S214" s="58"/>
      <c r="T214" s="58">
        <v>0</v>
      </c>
      <c r="U214" s="66">
        <v>0</v>
      </c>
      <c r="V214" s="66">
        <v>855</v>
      </c>
      <c r="W214" s="70" t="e">
        <f t="shared" si="32"/>
        <v>#DIV/0!</v>
      </c>
      <c r="X214" s="57">
        <f t="shared" si="33"/>
        <v>0</v>
      </c>
      <c r="Y214" s="57">
        <f t="shared" si="34"/>
        <v>0</v>
      </c>
      <c r="Z214" s="39">
        <f t="shared" si="35"/>
        <v>5000</v>
      </c>
    </row>
    <row r="215" spans="1:26" x14ac:dyDescent="0.25">
      <c r="A215" s="20" t="s">
        <v>608</v>
      </c>
      <c r="B215" s="10" t="s">
        <v>574</v>
      </c>
      <c r="C215" s="10">
        <v>1</v>
      </c>
      <c r="D215" t="s">
        <v>571</v>
      </c>
      <c r="E215" s="20" t="s">
        <v>507</v>
      </c>
      <c r="F215" s="20" t="s">
        <v>0</v>
      </c>
      <c r="G215" t="s">
        <v>268</v>
      </c>
      <c r="H215" t="s">
        <v>270</v>
      </c>
      <c r="I215" t="s">
        <v>272</v>
      </c>
      <c r="J215" t="s">
        <v>18</v>
      </c>
      <c r="K215" s="56">
        <v>18000</v>
      </c>
      <c r="L215" s="125">
        <v>3300</v>
      </c>
      <c r="M215" s="56">
        <v>3231.04</v>
      </c>
      <c r="N215" s="56">
        <v>10792.779999999999</v>
      </c>
      <c r="O215" s="70">
        <f t="shared" si="36"/>
        <v>0.97910303030303025</v>
      </c>
      <c r="P215" s="57">
        <f t="shared" si="37"/>
        <v>0.17950222222222223</v>
      </c>
      <c r="Q215" s="57">
        <f t="shared" si="38"/>
        <v>0.29937050509692592</v>
      </c>
      <c r="R215" s="39">
        <f t="shared" si="39"/>
        <v>14768.96</v>
      </c>
      <c r="S215" s="58"/>
      <c r="T215" s="58">
        <v>4000</v>
      </c>
      <c r="U215" s="66">
        <v>3231.04</v>
      </c>
      <c r="V215" s="66">
        <v>2380</v>
      </c>
      <c r="W215" s="70">
        <f t="shared" si="32"/>
        <v>0.80776000000000003</v>
      </c>
      <c r="X215" s="57">
        <f t="shared" si="33"/>
        <v>0.17950222222222223</v>
      </c>
      <c r="Y215" s="57">
        <f t="shared" si="34"/>
        <v>1.357579831932773</v>
      </c>
      <c r="Z215" s="39">
        <f t="shared" si="35"/>
        <v>14000</v>
      </c>
    </row>
    <row r="216" spans="1:26" x14ac:dyDescent="0.25">
      <c r="A216" s="20" t="s">
        <v>628</v>
      </c>
      <c r="B216" s="10" t="s">
        <v>589</v>
      </c>
      <c r="C216" s="10">
        <v>2</v>
      </c>
      <c r="D216" t="s">
        <v>571</v>
      </c>
      <c r="E216" s="20" t="s">
        <v>507</v>
      </c>
      <c r="F216" s="20" t="s">
        <v>0</v>
      </c>
      <c r="G216" t="s">
        <v>268</v>
      </c>
      <c r="H216" t="s">
        <v>270</v>
      </c>
      <c r="I216" t="s">
        <v>273</v>
      </c>
      <c r="J216" t="s">
        <v>65</v>
      </c>
      <c r="K216" s="56">
        <v>15000</v>
      </c>
      <c r="L216" s="125">
        <v>0</v>
      </c>
      <c r="M216" s="56">
        <v>0</v>
      </c>
      <c r="N216" s="56">
        <v>0</v>
      </c>
      <c r="O216" s="70" t="e">
        <f t="shared" si="36"/>
        <v>#DIV/0!</v>
      </c>
      <c r="P216" s="57">
        <f t="shared" si="37"/>
        <v>0</v>
      </c>
      <c r="Q216" s="57" t="e">
        <f t="shared" si="38"/>
        <v>#DIV/0!</v>
      </c>
      <c r="R216" s="39">
        <f t="shared" si="39"/>
        <v>15000</v>
      </c>
      <c r="S216" s="58"/>
      <c r="T216" s="58">
        <v>0</v>
      </c>
      <c r="U216" s="66">
        <v>0</v>
      </c>
      <c r="V216" s="66">
        <v>0</v>
      </c>
      <c r="W216" s="70" t="e">
        <f t="shared" si="32"/>
        <v>#DIV/0!</v>
      </c>
      <c r="X216" s="57">
        <f t="shared" si="33"/>
        <v>0</v>
      </c>
      <c r="Y216" s="57" t="e">
        <f t="shared" si="34"/>
        <v>#DIV/0!</v>
      </c>
      <c r="Z216" s="39">
        <f t="shared" si="35"/>
        <v>15000</v>
      </c>
    </row>
    <row r="217" spans="1:26" x14ac:dyDescent="0.25">
      <c r="A217" s="20" t="s">
        <v>636</v>
      </c>
      <c r="B217" s="10" t="s">
        <v>591</v>
      </c>
      <c r="C217" s="10">
        <v>1</v>
      </c>
      <c r="D217" t="s">
        <v>571</v>
      </c>
      <c r="E217" s="20" t="s">
        <v>507</v>
      </c>
      <c r="F217" s="20" t="s">
        <v>0</v>
      </c>
      <c r="G217" t="s">
        <v>268</v>
      </c>
      <c r="H217" t="s">
        <v>270</v>
      </c>
      <c r="I217" t="s">
        <v>274</v>
      </c>
      <c r="J217" t="s">
        <v>70</v>
      </c>
      <c r="K217" s="56">
        <v>57000</v>
      </c>
      <c r="L217" s="125">
        <v>29000</v>
      </c>
      <c r="M217" s="56">
        <v>28000.080000000005</v>
      </c>
      <c r="N217" s="56">
        <v>17496</v>
      </c>
      <c r="O217" s="70">
        <f t="shared" si="36"/>
        <v>0.96552000000000016</v>
      </c>
      <c r="P217" s="57">
        <f t="shared" si="37"/>
        <v>0.4912294736842106</v>
      </c>
      <c r="Q217" s="57">
        <f t="shared" si="38"/>
        <v>1.6003703703703707</v>
      </c>
      <c r="R217" s="39">
        <f t="shared" si="39"/>
        <v>28999.919999999995</v>
      </c>
      <c r="S217" s="58"/>
      <c r="T217" s="58">
        <v>10000</v>
      </c>
      <c r="U217" s="66">
        <v>9396</v>
      </c>
      <c r="V217" s="66">
        <v>0</v>
      </c>
      <c r="W217" s="70">
        <f t="shared" si="32"/>
        <v>0.93959999999999999</v>
      </c>
      <c r="X217" s="57">
        <f t="shared" si="33"/>
        <v>0.1648421052631579</v>
      </c>
      <c r="Y217" s="57" t="e">
        <f t="shared" si="34"/>
        <v>#DIV/0!</v>
      </c>
      <c r="Z217" s="39">
        <f t="shared" si="35"/>
        <v>47000</v>
      </c>
    </row>
    <row r="218" spans="1:26" x14ac:dyDescent="0.25">
      <c r="A218" s="20" t="s">
        <v>630</v>
      </c>
      <c r="B218" s="10" t="s">
        <v>592</v>
      </c>
      <c r="C218" s="10">
        <v>2</v>
      </c>
      <c r="D218" t="s">
        <v>571</v>
      </c>
      <c r="E218" s="20" t="s">
        <v>507</v>
      </c>
      <c r="F218" s="20" t="s">
        <v>0</v>
      </c>
      <c r="G218" t="s">
        <v>268</v>
      </c>
      <c r="H218" t="s">
        <v>270</v>
      </c>
      <c r="I218" t="s">
        <v>275</v>
      </c>
      <c r="J218" t="s">
        <v>118</v>
      </c>
      <c r="K218" s="56">
        <v>21100</v>
      </c>
      <c r="L218" s="125">
        <v>13000</v>
      </c>
      <c r="M218" s="56">
        <v>12047.529999999997</v>
      </c>
      <c r="N218" s="56">
        <v>6245.16</v>
      </c>
      <c r="O218" s="70">
        <f t="shared" si="36"/>
        <v>0.92673307692307672</v>
      </c>
      <c r="P218" s="57">
        <f t="shared" si="37"/>
        <v>0.57097298578199041</v>
      </c>
      <c r="Q218" s="57">
        <f t="shared" si="38"/>
        <v>1.9290986940286554</v>
      </c>
      <c r="R218" s="39">
        <f t="shared" si="39"/>
        <v>9052.470000000003</v>
      </c>
      <c r="S218" s="58"/>
      <c r="T218" s="58">
        <v>1000</v>
      </c>
      <c r="U218" s="66">
        <v>851.84999999999991</v>
      </c>
      <c r="V218" s="66">
        <v>479.70000000000005</v>
      </c>
      <c r="W218" s="70">
        <f t="shared" si="32"/>
        <v>0.85184999999999989</v>
      </c>
      <c r="X218" s="57">
        <f t="shared" si="33"/>
        <v>4.037203791469194E-2</v>
      </c>
      <c r="Y218" s="57">
        <f t="shared" si="34"/>
        <v>1.7757973733583485</v>
      </c>
      <c r="Z218" s="39">
        <f t="shared" si="35"/>
        <v>20100</v>
      </c>
    </row>
    <row r="219" spans="1:26" x14ac:dyDescent="0.25">
      <c r="A219" s="20" t="s">
        <v>639</v>
      </c>
      <c r="B219" s="10" t="s">
        <v>600</v>
      </c>
      <c r="C219" s="10">
        <v>1</v>
      </c>
      <c r="D219" t="s">
        <v>571</v>
      </c>
      <c r="E219" s="20" t="s">
        <v>507</v>
      </c>
      <c r="F219" s="20" t="s">
        <v>0</v>
      </c>
      <c r="G219" t="s">
        <v>268</v>
      </c>
      <c r="H219" t="s">
        <v>270</v>
      </c>
      <c r="I219" t="s">
        <v>895</v>
      </c>
      <c r="J219" t="s">
        <v>93</v>
      </c>
      <c r="K219" s="56">
        <v>0</v>
      </c>
      <c r="L219" s="125">
        <v>0</v>
      </c>
      <c r="M219" s="56">
        <v>0</v>
      </c>
      <c r="N219" s="119">
        <v>7930</v>
      </c>
      <c r="O219" s="70" t="e">
        <f t="shared" si="36"/>
        <v>#DIV/0!</v>
      </c>
      <c r="P219" s="57" t="e">
        <f t="shared" si="37"/>
        <v>#DIV/0!</v>
      </c>
      <c r="Q219" s="57">
        <f t="shared" si="38"/>
        <v>0</v>
      </c>
      <c r="R219" s="39">
        <f t="shared" si="39"/>
        <v>0</v>
      </c>
      <c r="S219" s="58"/>
      <c r="T219" s="58"/>
      <c r="U219" s="66"/>
      <c r="V219" s="66"/>
      <c r="W219" s="70"/>
      <c r="X219" s="57"/>
      <c r="Y219" s="57"/>
    </row>
    <row r="220" spans="1:26" s="18" customFormat="1" ht="13" thickBot="1" x14ac:dyDescent="0.3">
      <c r="A220" s="114" t="s">
        <v>874</v>
      </c>
      <c r="B220" s="115" t="s">
        <v>873</v>
      </c>
      <c r="C220" s="116">
        <v>1</v>
      </c>
      <c r="D220" s="111" t="s">
        <v>560</v>
      </c>
      <c r="E220" s="114" t="s">
        <v>870</v>
      </c>
      <c r="F220" s="117" t="s">
        <v>0</v>
      </c>
      <c r="G220" s="112" t="s">
        <v>744</v>
      </c>
      <c r="H220" s="112" t="s">
        <v>746</v>
      </c>
      <c r="I220" s="112" t="s">
        <v>745</v>
      </c>
      <c r="J220" s="111" t="s">
        <v>872</v>
      </c>
      <c r="K220" s="120">
        <v>10192000</v>
      </c>
      <c r="L220" s="125">
        <v>0</v>
      </c>
      <c r="M220" s="56">
        <v>0</v>
      </c>
      <c r="N220" s="56">
        <v>0</v>
      </c>
      <c r="O220" s="70" t="e">
        <f t="shared" si="36"/>
        <v>#DIV/0!</v>
      </c>
      <c r="P220" s="57">
        <f t="shared" si="37"/>
        <v>0</v>
      </c>
      <c r="Q220" s="57" t="e">
        <f t="shared" si="38"/>
        <v>#DIV/0!</v>
      </c>
      <c r="R220" s="39">
        <f t="shared" si="39"/>
        <v>10192000</v>
      </c>
      <c r="S220" s="58"/>
      <c r="T220" s="58"/>
      <c r="U220" s="66"/>
      <c r="V220" s="66"/>
      <c r="W220" s="118"/>
      <c r="X220" s="110"/>
      <c r="Y220" s="110"/>
      <c r="Z220" s="52"/>
    </row>
    <row r="221" spans="1:26" ht="13.5" thickBot="1" x14ac:dyDescent="0.3">
      <c r="A221"/>
      <c r="K221" s="23">
        <f>SUM(K2:K220)</f>
        <v>205000000</v>
      </c>
      <c r="L221" s="126">
        <f>SUM(L2:L220)</f>
        <v>75200000</v>
      </c>
      <c r="M221" s="126">
        <f t="shared" ref="M221:N221" si="40">SUM(M2:M220)</f>
        <v>71481260.160000056</v>
      </c>
      <c r="N221" s="23">
        <f t="shared" si="40"/>
        <v>70191199.449999973</v>
      </c>
      <c r="O221" s="122">
        <f t="shared" si="36"/>
        <v>0.95054867234042628</v>
      </c>
      <c r="P221" s="123">
        <f t="shared" si="37"/>
        <v>0.34868907395121979</v>
      </c>
      <c r="Q221" s="123">
        <f t="shared" si="38"/>
        <v>1.0183792372848544</v>
      </c>
      <c r="R221" s="128">
        <f t="shared" si="39"/>
        <v>133518739.83999994</v>
      </c>
      <c r="S221" s="109"/>
      <c r="T221" s="104">
        <v>30858400</v>
      </c>
      <c r="U221" s="104">
        <f>SUM(U2:U218)</f>
        <v>28262263.180000003</v>
      </c>
      <c r="V221" s="104">
        <f>SUM(V2:V218)</f>
        <v>25014879.370000008</v>
      </c>
      <c r="W221" s="71">
        <f t="shared" ref="W221" si="41">U221/T221</f>
        <v>0.9158693639333213</v>
      </c>
      <c r="X221" s="72">
        <f t="shared" ref="X221" si="42">U221/K221</f>
        <v>0.13786469843902441</v>
      </c>
      <c r="Y221" s="72">
        <f t="shared" ref="Y221" si="43">U221/V221</f>
        <v>1.1298180879454705</v>
      </c>
      <c r="Z221" s="48">
        <f t="shared" ref="Z221" si="44">K221-T221</f>
        <v>174141600</v>
      </c>
    </row>
    <row r="222" spans="1:26" ht="13" thickTop="1" x14ac:dyDescent="0.25">
      <c r="K222" s="12">
        <v>205000000</v>
      </c>
      <c r="L222" s="50">
        <v>75200000</v>
      </c>
      <c r="M222" s="12">
        <v>71481260.159999996</v>
      </c>
      <c r="N222" s="12">
        <v>70191199.449999988</v>
      </c>
      <c r="R222" s="2"/>
      <c r="S222" s="55">
        <v>205000000</v>
      </c>
      <c r="T222" s="55">
        <v>30858400</v>
      </c>
      <c r="U222" s="55">
        <v>28262263.180000003</v>
      </c>
      <c r="V222" s="55">
        <v>25014879.370000008</v>
      </c>
      <c r="W222" s="110">
        <v>0.9158693639333213</v>
      </c>
      <c r="X222" s="110">
        <v>0.13786469843902441</v>
      </c>
      <c r="Y222" s="57">
        <v>1.1298180879454705</v>
      </c>
      <c r="Z222" s="12">
        <v>174141600</v>
      </c>
    </row>
    <row r="223" spans="1:26" x14ac:dyDescent="0.25">
      <c r="K223" s="12">
        <f>K222-K221</f>
        <v>0</v>
      </c>
      <c r="L223" s="127">
        <f>L222-L221</f>
        <v>0</v>
      </c>
      <c r="M223" s="12">
        <f>M222-M221</f>
        <v>0</v>
      </c>
      <c r="R223" s="2"/>
      <c r="T223" s="51">
        <f>T222-T221</f>
        <v>0</v>
      </c>
      <c r="U223" s="51">
        <f t="shared" ref="U223:Z223" si="45">U222-U221</f>
        <v>0</v>
      </c>
      <c r="V223" s="51">
        <f t="shared" si="45"/>
        <v>0</v>
      </c>
      <c r="W223" s="51">
        <f t="shared" si="45"/>
        <v>0</v>
      </c>
      <c r="X223" s="51">
        <f t="shared" si="45"/>
        <v>0</v>
      </c>
      <c r="Y223" s="51">
        <f t="shared" si="45"/>
        <v>0</v>
      </c>
      <c r="Z223" s="51">
        <f t="shared" si="45"/>
        <v>0</v>
      </c>
    </row>
    <row r="224" spans="1:26" x14ac:dyDescent="0.25">
      <c r="R224" s="2"/>
      <c r="T224"/>
      <c r="U224"/>
    </row>
    <row r="225" spans="18:22" x14ac:dyDescent="0.25">
      <c r="R225" s="2"/>
      <c r="T225"/>
      <c r="U225"/>
    </row>
    <row r="226" spans="18:22" x14ac:dyDescent="0.25">
      <c r="T226"/>
      <c r="U226"/>
    </row>
    <row r="227" spans="18:22" x14ac:dyDescent="0.25">
      <c r="T227"/>
      <c r="U227"/>
    </row>
    <row r="228" spans="18:22" x14ac:dyDescent="0.25">
      <c r="T228"/>
      <c r="U228"/>
    </row>
    <row r="229" spans="18:22" x14ac:dyDescent="0.25">
      <c r="T229"/>
      <c r="U229"/>
    </row>
    <row r="230" spans="18:22" x14ac:dyDescent="0.25">
      <c r="T230"/>
      <c r="U230"/>
    </row>
    <row r="231" spans="18:22" x14ac:dyDescent="0.25">
      <c r="T231"/>
      <c r="U231"/>
    </row>
    <row r="232" spans="18:22" x14ac:dyDescent="0.25">
      <c r="T232"/>
      <c r="U232"/>
    </row>
    <row r="233" spans="18:22" x14ac:dyDescent="0.25">
      <c r="T233"/>
      <c r="U233"/>
      <c r="V233"/>
    </row>
    <row r="1873" spans="10:10" x14ac:dyDescent="0.25">
      <c r="J1873" s="12"/>
    </row>
  </sheetData>
  <autoFilter ref="A1:Z223" xr:uid="{08074E15-D2EF-4E98-A9A8-AB86AD24DD47}"/>
  <sortState xmlns:xlrd2="http://schemas.microsoft.com/office/spreadsheetml/2017/richdata2" ref="P17:R40">
    <sortCondition ref="P17:P4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PTJ</vt:lpstr>
      <vt:lpstr>BAJET 2026</vt:lpstr>
      <vt:lpstr>SUMMARY KOD</vt:lpstr>
      <vt:lpstr>HASIL</vt:lpstr>
      <vt:lpstr>B.MGRS</vt:lpstr>
      <vt:lpstr>B.MODAL</vt:lpstr>
      <vt:lpstr>B.PROG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Rohaya Ahmad</cp:lastModifiedBy>
  <cp:revision>1</cp:revision>
  <dcterms:modified xsi:type="dcterms:W3CDTF">2026-07-25T15:17:11Z</dcterms:modified>
  <cp:category/>
</cp:coreProperties>
</file>