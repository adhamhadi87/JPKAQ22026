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IDB\PRESTASI KEWANGAN\2026\JUN2026\"/>
    </mc:Choice>
  </mc:AlternateContent>
  <xr:revisionPtr revIDLastSave="0" documentId="13_ncr:1_{58187520-84E5-4236-85DD-4178DC3C3513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ALL" sheetId="1" r:id="rId1"/>
    <sheet name="ALL 062026" sheetId="10" r:id="rId2"/>
    <sheet name="PIVOT" sheetId="7" r:id="rId3"/>
    <sheet name="PTJ" sheetId="11" r:id="rId4"/>
    <sheet name="DATA" sheetId="12" r:id="rId5"/>
  </sheets>
  <definedNames>
    <definedName name="_xlnm._FilterDatabase" localSheetId="0" hidden="1">ALL!$A$1:$AA$282</definedName>
    <definedName name="_xlnm._FilterDatabase" localSheetId="4" hidden="1">DATA!$A$1:$E$277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10" l="1"/>
  <c r="F18" i="10"/>
  <c r="G3" i="10" l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2" i="10"/>
  <c r="E15" i="10"/>
  <c r="E14" i="10"/>
  <c r="E13" i="10"/>
  <c r="E12" i="10"/>
  <c r="E11" i="10"/>
  <c r="E10" i="10"/>
  <c r="E9" i="10"/>
  <c r="E8" i="10"/>
  <c r="E16" i="10" s="1"/>
  <c r="E3" i="10"/>
  <c r="E4" i="10"/>
  <c r="E5" i="10"/>
  <c r="E2" i="10"/>
  <c r="D6" i="10"/>
  <c r="D16" i="10"/>
  <c r="C18" i="10"/>
  <c r="C16" i="10"/>
  <c r="M281" i="1"/>
  <c r="E6" i="10" l="1"/>
  <c r="E18" i="10"/>
  <c r="D18" i="10"/>
</calcChain>
</file>

<file path=xl/sharedStrings.xml><?xml version="1.0" encoding="utf-8"?>
<sst xmlns="http://schemas.openxmlformats.org/spreadsheetml/2006/main" count="7971" uniqueCount="1212">
  <si>
    <t/>
  </si>
  <si>
    <t>400-5/13/33J9(61</t>
  </si>
  <si>
    <t>20260515</t>
  </si>
  <si>
    <t>240008725</t>
  </si>
  <si>
    <t>DR</t>
  </si>
  <si>
    <t>5</t>
  </si>
  <si>
    <t>2026/05</t>
  </si>
  <si>
    <t>2026</t>
  </si>
  <si>
    <t>50</t>
  </si>
  <si>
    <t>RM</t>
  </si>
  <si>
    <t>KWM</t>
  </si>
  <si>
    <t>10150009</t>
  </si>
  <si>
    <t>A72101</t>
  </si>
  <si>
    <t>GENERAL</t>
  </si>
  <si>
    <t>PMLGN GRN MNGURUS &amp; MLRS PBLN &amp; PBGN INFRA DIGITAL</t>
  </si>
  <si>
    <t>PMLGN GRN</t>
  </si>
  <si>
    <t>001264</t>
  </si>
  <si>
    <t>IHQ2026008690</t>
  </si>
  <si>
    <t>240008726</t>
  </si>
  <si>
    <t>PMLGN GERAN PERALATAN SCAFFOLDING UTK LKK&amp;PKK</t>
  </si>
  <si>
    <t>IHQ2026008691</t>
  </si>
  <si>
    <t>240008727</t>
  </si>
  <si>
    <t>PMLGN GRN ALT PRG LATIHAN LKK &amp; PKK 2025-1</t>
  </si>
  <si>
    <t>IHQ2026008692</t>
  </si>
  <si>
    <t>TD260024</t>
  </si>
  <si>
    <t>20260131</t>
  </si>
  <si>
    <t>510000091</t>
  </si>
  <si>
    <t>RE</t>
  </si>
  <si>
    <t>1</t>
  </si>
  <si>
    <t>2026/01</t>
  </si>
  <si>
    <t>81</t>
  </si>
  <si>
    <t>GERAN LTIHAN KMPETENSI KMAHIRAN BELIA &amp; PB 2026-1</t>
  </si>
  <si>
    <t>WF-BATCH</t>
  </si>
  <si>
    <t>TD260002</t>
  </si>
  <si>
    <t>510000095</t>
  </si>
  <si>
    <t>10170003</t>
  </si>
  <si>
    <t>GERAN PGRUSN PEMBGNN PELAN STRATEGIK TVET- 3</t>
  </si>
  <si>
    <t>GERAN PGRUSN STRATEGIK</t>
  </si>
  <si>
    <t>TD260001</t>
  </si>
  <si>
    <t>510000118</t>
  </si>
  <si>
    <t>GERAN PBGNN BHN PGJRN SERTA SOALAN PLKK2025/2026-1</t>
  </si>
  <si>
    <t>TD260031</t>
  </si>
  <si>
    <t>510000129</t>
  </si>
  <si>
    <t>10170004</t>
  </si>
  <si>
    <t>GERAN PMBGN EKOSSTEM KTKR KRJA PMULIHN&amp;PMULIHARN-1</t>
  </si>
  <si>
    <t>GERAN PMULIHN&amp;PMULIHARN-1</t>
  </si>
  <si>
    <t>TD260005</t>
  </si>
  <si>
    <t>510000188</t>
  </si>
  <si>
    <t>10150008</t>
  </si>
  <si>
    <t>GERAN PROSES PNDAFTRN KONTR, SCORE &amp; MCORE - 1</t>
  </si>
  <si>
    <t>PDFTRN KNTR SCORE,MCORE-1</t>
  </si>
  <si>
    <t>TD260141</t>
  </si>
  <si>
    <t>510000228</t>
  </si>
  <si>
    <t>GERAN MODUL PEMBELAJARAN &amp; SET SOALAN SKP 2026 - 1</t>
  </si>
  <si>
    <t>GERAN CIDB HOLDINGS</t>
  </si>
  <si>
    <t>TD260030</t>
  </si>
  <si>
    <t>510000232</t>
  </si>
  <si>
    <t>GERAN KEMASKINI KOD,DESKRIPSI, SYARAT PENDF KONT-1</t>
  </si>
  <si>
    <t>GERAN KPRLUAN PENDF KON-1</t>
  </si>
  <si>
    <t>TD260029</t>
  </si>
  <si>
    <t>510000233</t>
  </si>
  <si>
    <t>GERAN PRGM PSIJILN ANTI-BRIBERY (ABMS) ISO37001-1</t>
  </si>
  <si>
    <t>GERAN ABMS ISO37001-1</t>
  </si>
  <si>
    <t>TD260140</t>
  </si>
  <si>
    <t>510000234</t>
  </si>
  <si>
    <t>GERAN MODUL SCORE BERASASKAN PARAMETER THN 2026-1</t>
  </si>
  <si>
    <t>GERAN MODUL SCORE -1</t>
  </si>
  <si>
    <t>TD260163</t>
  </si>
  <si>
    <t>20260313</t>
  </si>
  <si>
    <t>510000517</t>
  </si>
  <si>
    <t>3</t>
  </si>
  <si>
    <t>2026/03</t>
  </si>
  <si>
    <t>GERAN PGURSAN &amp; PLAKSANAN KNVESNYEN KONT 2026-1</t>
  </si>
  <si>
    <t>GERAN PLASANAN KNVENSYN-1</t>
  </si>
  <si>
    <t>TD260162</t>
  </si>
  <si>
    <t>510000518</t>
  </si>
  <si>
    <t>GERAN PELAKSANAN PRGM TVET SKILLTECHPRENEUR -1</t>
  </si>
  <si>
    <t>GERAN TVET S/TECHPRENUR-1</t>
  </si>
  <si>
    <t>TD260181</t>
  </si>
  <si>
    <t>510000519</t>
  </si>
  <si>
    <t>GERAN TTT &amp; TTA TENAGA PENGAJAR PENILAIN 2026-1</t>
  </si>
  <si>
    <t>GERAN TTT &amp; TTA -1</t>
  </si>
  <si>
    <t>TD260204</t>
  </si>
  <si>
    <t>20260317</t>
  </si>
  <si>
    <t>510000561</t>
  </si>
  <si>
    <t>GERAN PRGM JELAJAH KONTRAKTOR CEKAP+ 2026 -1</t>
  </si>
  <si>
    <t>GRAN JELAJAH KONT CEKAP-1</t>
  </si>
  <si>
    <t>TD260076</t>
  </si>
  <si>
    <t>20260318</t>
  </si>
  <si>
    <t>510000576</t>
  </si>
  <si>
    <t>GERAN ALATAN PEMASANGAN PERANCAH PRGM LKK&amp;PKK - 4</t>
  </si>
  <si>
    <t>TD260108</t>
  </si>
  <si>
    <t>20260331</t>
  </si>
  <si>
    <t>510000633</t>
  </si>
  <si>
    <t>10130007</t>
  </si>
  <si>
    <t>GERAN LAKSANA AKTVT VERIFIKASI BHN BINA JDUAL4-JAN</t>
  </si>
  <si>
    <t>GERAN CIDB HOLDINGS 1/26</t>
  </si>
  <si>
    <t>TD260253</t>
  </si>
  <si>
    <t>20260406</t>
  </si>
  <si>
    <t>510000635</t>
  </si>
  <si>
    <t>4</t>
  </si>
  <si>
    <t>2026/04</t>
  </si>
  <si>
    <t>GERAN LTIHAN KMPETENSI KMAHIRAN BELIA &amp; PB 2026-2</t>
  </si>
  <si>
    <t>TD260277</t>
  </si>
  <si>
    <t>20260408</t>
  </si>
  <si>
    <t>510000707</t>
  </si>
  <si>
    <t>GERAN PENSIJILAN BG SIJIL KOMPETENSI KEMAHIRAN-1</t>
  </si>
  <si>
    <t>GERAN SJIL KMHR KMPTNSI-1</t>
  </si>
  <si>
    <t>TD260252</t>
  </si>
  <si>
    <t>20260414</t>
  </si>
  <si>
    <t>510000798</t>
  </si>
  <si>
    <t>GERAN MJLS GRADUASI ABM&amp;CIDB TECH 2026 -1</t>
  </si>
  <si>
    <t>GERAN GRDSI ABM&amp;CIDBTEC-1</t>
  </si>
  <si>
    <t>TD260254</t>
  </si>
  <si>
    <t>20260420</t>
  </si>
  <si>
    <t>510000865</t>
  </si>
  <si>
    <t>GERAN PMBGNN VENDOR GLC KONTRAKTOR G1-G4-1</t>
  </si>
  <si>
    <t>GRAN VDOR GLC KONTG1-G4-1</t>
  </si>
  <si>
    <t>TD260310</t>
  </si>
  <si>
    <t>20260430</t>
  </si>
  <si>
    <t>510000950</t>
  </si>
  <si>
    <t>GERAN PRGM PMBGNN KEPAKARAN PKPP &amp; TITU 2026-1</t>
  </si>
  <si>
    <t>GERAN PKPP &amp; TITU 2026-1</t>
  </si>
  <si>
    <t>TD260431</t>
  </si>
  <si>
    <t>20260511</t>
  </si>
  <si>
    <t>510001042</t>
  </si>
  <si>
    <t>GERAN PENYELARAS KERJA SELENGGARA ALATAN DIGITAL-1</t>
  </si>
  <si>
    <t>SELGGARA ALATAN DIGITAL-1</t>
  </si>
  <si>
    <t>TD260454</t>
  </si>
  <si>
    <t>20260513</t>
  </si>
  <si>
    <t>510001087</t>
  </si>
  <si>
    <t>GERAN PRGM LTHN PEGAWAI PENILAI QLASSIC UTK CTMO-1</t>
  </si>
  <si>
    <t>GERAN QLASSIC UTK CTMO-1</t>
  </si>
  <si>
    <t>TD260434</t>
  </si>
  <si>
    <t>510001089</t>
  </si>
  <si>
    <t>GERAN PYELARAS BHN DIGITAL UTK ABM &amp; CIDBTECH-1</t>
  </si>
  <si>
    <t>GERAN PNYELARAS BHN DIG-1</t>
  </si>
  <si>
    <t>TD260368</t>
  </si>
  <si>
    <t>20260519</t>
  </si>
  <si>
    <t>510001159</t>
  </si>
  <si>
    <t>GERAN KEMASKINI BUKU TATACARA MGIMPORT &amp; SOP COA-1</t>
  </si>
  <si>
    <t>GERAN SOP &amp; COA BUKU-1</t>
  </si>
  <si>
    <t>TD260331</t>
  </si>
  <si>
    <t>510001161</t>
  </si>
  <si>
    <t>GERAN LAKSANA AKTVT VERIFIKASI BHN BINA JDUAL4-FEB</t>
  </si>
  <si>
    <t>GERAN CIDB HOLDINGS 2/26</t>
  </si>
  <si>
    <t>TD260452</t>
  </si>
  <si>
    <t>20260604</t>
  </si>
  <si>
    <t>510001289</t>
  </si>
  <si>
    <t>6</t>
  </si>
  <si>
    <t>2026/06</t>
  </si>
  <si>
    <t>GERAN PROSES PNDAFTRN KONTR, SCORE &amp; MCORE - 2</t>
  </si>
  <si>
    <t>PDFTRN KNTR SCORE,MCORE-2</t>
  </si>
  <si>
    <t>TD260615</t>
  </si>
  <si>
    <t>20260609</t>
  </si>
  <si>
    <t>510001364</t>
  </si>
  <si>
    <t>GERAN MANUAL OPS PMANTAUN PRGM AKREDITASI 2025-2</t>
  </si>
  <si>
    <t>GERAN PRGM AKREDITASI25-2</t>
  </si>
  <si>
    <t>TD260645</t>
  </si>
  <si>
    <t>510001376</t>
  </si>
  <si>
    <t>GERAN LAKSANA AKTVT VERIFIKASI BHN BINA JDUAL4-MAC</t>
  </si>
  <si>
    <t>GERAN CIDB HOLDINGS 3/26</t>
  </si>
  <si>
    <t>TD260533</t>
  </si>
  <si>
    <t>20260616</t>
  </si>
  <si>
    <t>510001508</t>
  </si>
  <si>
    <t>GERAN PENSIJILAN BG SIJIL KOMPETENSI KEMAHIRAN-2</t>
  </si>
  <si>
    <t>GERAN SJIL KMHR KMPTNSI-2</t>
  </si>
  <si>
    <t>TD260638</t>
  </si>
  <si>
    <t>20260617</t>
  </si>
  <si>
    <t>510001530</t>
  </si>
  <si>
    <t>GERAN LKSANA FUNGSI CCA&amp;SLGGARA D/BOARD2026/2027-1</t>
  </si>
  <si>
    <t>GERAN CCA&amp;D/BOARD-1</t>
  </si>
  <si>
    <t>TD260621</t>
  </si>
  <si>
    <t>20260628</t>
  </si>
  <si>
    <t>510001670</t>
  </si>
  <si>
    <t>GERAN PLATFORM SIST PNILAIAN PRESTASI KONT&amp;SCORE-1</t>
  </si>
  <si>
    <t>GERAN SIST PRSTASI KONT-1</t>
  </si>
  <si>
    <t>5105644547</t>
  </si>
  <si>
    <t>4500027443</t>
  </si>
  <si>
    <t>600000316</t>
  </si>
  <si>
    <t>SA</t>
  </si>
  <si>
    <t>PERBEL GERAN AKTVT VERIFIKASI BHN BINA JDUAL4-JAN</t>
  </si>
  <si>
    <t>PERBELANJAAN GERAN CIDBH</t>
  </si>
  <si>
    <t>JHQ2026000210</t>
  </si>
  <si>
    <t>VHQ2026001263</t>
  </si>
  <si>
    <t>4500027159</t>
  </si>
  <si>
    <t>600000501</t>
  </si>
  <si>
    <t>PERBEL GERAN PBGN BHN PGJR SRTA SOAL PLKK25/26 JAN</t>
  </si>
  <si>
    <t>JHQ2026000314</t>
  </si>
  <si>
    <t>600000502</t>
  </si>
  <si>
    <t>2</t>
  </si>
  <si>
    <t>2026/02</t>
  </si>
  <si>
    <t>PERBEL GERAN PBGN BHN PGJR SRTA SOAL PLKK25/26 FEB</t>
  </si>
  <si>
    <t>JHQ2026000315</t>
  </si>
  <si>
    <t>600000503</t>
  </si>
  <si>
    <t>PERBEL GERAN PBGN BHN PGJR SRTA SOAL PLKK25/26 MAC</t>
  </si>
  <si>
    <t>JHQ2026000316</t>
  </si>
  <si>
    <t>VHQ2026001253</t>
  </si>
  <si>
    <t>4500027171</t>
  </si>
  <si>
    <t>600000504</t>
  </si>
  <si>
    <t>PERBEL GERAN EKOSTEM KTKR KRJA PMULIH&amp;PMULIHAR FEB</t>
  </si>
  <si>
    <t>JHQ2026000309</t>
  </si>
  <si>
    <t>600000505</t>
  </si>
  <si>
    <t>PERBEL GERAN EKOSTEM KTKR KRJA PMULIH&amp;PMULIHAR MAC</t>
  </si>
  <si>
    <t>JHQ2026000310</t>
  </si>
  <si>
    <t>VHQ2026001435</t>
  </si>
  <si>
    <t>4500027216</t>
  </si>
  <si>
    <t>600000509</t>
  </si>
  <si>
    <t>PERBEL GERAN 10MODUL PBELAJARN&amp;SET SOAL SKP'26 FEB</t>
  </si>
  <si>
    <t>JHQ2026000311</t>
  </si>
  <si>
    <t>600000510</t>
  </si>
  <si>
    <t>PERBEL GERAN 10MODUL PBELAJARN&amp;SET SOAL SKP'26 MAC</t>
  </si>
  <si>
    <t>JHQ2026000312</t>
  </si>
  <si>
    <t>VHQ2026001480</t>
  </si>
  <si>
    <t>4500027221</t>
  </si>
  <si>
    <t>600000512</t>
  </si>
  <si>
    <t>PERBE GERAN KMSKN KOD,DSKRIPSI,SYRT PENDF KONT MAC</t>
  </si>
  <si>
    <t>JHQ2026000313</t>
  </si>
  <si>
    <t>VHQ2026001487</t>
  </si>
  <si>
    <t>4500027222</t>
  </si>
  <si>
    <t>600000513</t>
  </si>
  <si>
    <t>PERBEL GERAN PSIJILN ANTIBRIBERY(ABMS)ISO37001 MAC</t>
  </si>
  <si>
    <t>JHQ2026000317</t>
  </si>
  <si>
    <t>VHQ2026002153</t>
  </si>
  <si>
    <t>4500027340</t>
  </si>
  <si>
    <t>600000514</t>
  </si>
  <si>
    <t>PERBEL GERAN PGURSAN&amp;PLAKSANA KNVSNYEN KONT26 MAC</t>
  </si>
  <si>
    <t>JHQ2026000318</t>
  </si>
  <si>
    <t>VHQ2026002158</t>
  </si>
  <si>
    <t>4500027341</t>
  </si>
  <si>
    <t>600000515</t>
  </si>
  <si>
    <t>PERBEL GERAN PLAKSANA PRGM TVET SKILLTCHPRNUR FEB</t>
  </si>
  <si>
    <t>JHQ2026000319</t>
  </si>
  <si>
    <t>VHQ2026002292</t>
  </si>
  <si>
    <t>4500027368</t>
  </si>
  <si>
    <t>600000516</t>
  </si>
  <si>
    <t>PERBEL GERAN PRGM JELAJAH KONTRAKTOR CEKAP+26 FEB</t>
  </si>
  <si>
    <t>JHQ2026000320</t>
  </si>
  <si>
    <t>VHQ2026001142</t>
  </si>
  <si>
    <t>4500027120</t>
  </si>
  <si>
    <t>600000565</t>
  </si>
  <si>
    <t>PERBEL LTIHAN KMPETENSI KMAHIRAN BELIA &amp; PB-JAN'26</t>
  </si>
  <si>
    <t>JHQ2026000304</t>
  </si>
  <si>
    <t>600000566</t>
  </si>
  <si>
    <t>PERBEL LTIHAN KMPETENSI KMAHIRAN BELIA &amp; PB-FEB'26</t>
  </si>
  <si>
    <t>JHQ2026000305</t>
  </si>
  <si>
    <t>600000567</t>
  </si>
  <si>
    <t>PERBEL LTIHAN KMPETENSI KMAHIRAN BELIA &amp; PB-MAC'26</t>
  </si>
  <si>
    <t>JHQ2026000330</t>
  </si>
  <si>
    <t>VHQ2026002194</t>
  </si>
  <si>
    <t>4500027375</t>
  </si>
  <si>
    <t>600000568</t>
  </si>
  <si>
    <t>PERBEL GERAN PEMB. PERALATAN, MESIN LKK&amp;PKK-MAC'26</t>
  </si>
  <si>
    <t>JHQ2026000331</t>
  </si>
  <si>
    <t>4500027779</t>
  </si>
  <si>
    <t>600000616</t>
  </si>
  <si>
    <t>PERBEL GERAN AKTVT VERIFIKASI BHN BINA JDUAL4-FEB</t>
  </si>
  <si>
    <t>JHQ2026000380</t>
  </si>
  <si>
    <t>4500027896</t>
  </si>
  <si>
    <t>600000712</t>
  </si>
  <si>
    <t>PERBEL GERAN AKTVT VERIFIKASI BHN BINA JDUAL4-MAC</t>
  </si>
  <si>
    <t>JHQ2026000435</t>
  </si>
  <si>
    <t>600000788</t>
  </si>
  <si>
    <t>PERBEL GERAN PBGN BHN PGJR SRTA SOAL PLKK25/26 APR</t>
  </si>
  <si>
    <t>JHQ2026000571</t>
  </si>
  <si>
    <t>600000789</t>
  </si>
  <si>
    <t>PERBEL GERAN EKOSTEM KTKR KRJA PMULIH&amp;PMULIHAR APR</t>
  </si>
  <si>
    <t>JHQ2026000515</t>
  </si>
  <si>
    <t>VHQ2026001342</t>
  </si>
  <si>
    <t>4500027196</t>
  </si>
  <si>
    <t>600000790</t>
  </si>
  <si>
    <t>GERAN PROSES PNDAFTRN KONTR, SCORE &amp; MCORE JAN-APR</t>
  </si>
  <si>
    <t>JHQ2026000516</t>
  </si>
  <si>
    <t>600000792</t>
  </si>
  <si>
    <t>PERBEL GERAN 10MODUL PBELAJARN&amp;SET SOAL SKP'26 APR</t>
  </si>
  <si>
    <t>JHQ2026000517</t>
  </si>
  <si>
    <t>600000794</t>
  </si>
  <si>
    <t>PERBEL GERAN PSIJILN ANTIBRIBERY(ABMS)ISO37001 APR</t>
  </si>
  <si>
    <t>JHQ2026000623</t>
  </si>
  <si>
    <t>VHQ2026001516</t>
  </si>
  <si>
    <t>600000795</t>
  </si>
  <si>
    <t>PERBEL GERAN PGURSAN&amp;PLAKSANAN KVESNYEN KONT26 APR</t>
  </si>
  <si>
    <t>JHQ2026000580</t>
  </si>
  <si>
    <t>600000796</t>
  </si>
  <si>
    <t>PERBEL GERAN PGURSAN&amp;PLAKSANA KNVSNYEN KONT26 APR</t>
  </si>
  <si>
    <t>JHQ2026000618</t>
  </si>
  <si>
    <t>600000797</t>
  </si>
  <si>
    <t>PERBEL GERAN PLAKSANA PRGM TVET SKILLTCHPRNUR APR</t>
  </si>
  <si>
    <t>JHQ2026000619</t>
  </si>
  <si>
    <t>600000798</t>
  </si>
  <si>
    <t>PERBEL GERAN PRGM JELAJAH KONTRAKTOR CEKAP+26 APR</t>
  </si>
  <si>
    <t>JHQ2026000518</t>
  </si>
  <si>
    <t>VHQ2026002834</t>
  </si>
  <si>
    <t>4500027511</t>
  </si>
  <si>
    <t>600000818</t>
  </si>
  <si>
    <t>PERBEL GERAN MJLS GRADUASI ABM&amp;CIDB TECH 2026 APR</t>
  </si>
  <si>
    <t>JHQ2026000562</t>
  </si>
  <si>
    <t>VHQ2026002955</t>
  </si>
  <si>
    <t>4500027559</t>
  </si>
  <si>
    <t>600000819</t>
  </si>
  <si>
    <t>PERBEL GERAN PBGNN VENDOR GLC KONTRAKTOR G1-G4 APR</t>
  </si>
  <si>
    <t>JHQ2026000563</t>
  </si>
  <si>
    <t>600000868</t>
  </si>
  <si>
    <t>PERBEL GERAN PBGN BHN PGJR SRTA SOAL PLKK25/26 MEI</t>
  </si>
  <si>
    <t>JHQ2026000572</t>
  </si>
  <si>
    <t>600000869</t>
  </si>
  <si>
    <t>PERBEL GERAN EKOSTEM KTKR KRJA PMULIH&amp;PMULIHAR MEI</t>
  </si>
  <si>
    <t>JHQ2026000573</t>
  </si>
  <si>
    <t>600000870</t>
  </si>
  <si>
    <t>GERAN PROSES PNDAFTRN KONTR, SCORE &amp; MCORE MEI</t>
  </si>
  <si>
    <t>JHQ2026000576</t>
  </si>
  <si>
    <t>600000872</t>
  </si>
  <si>
    <t>PERBEL GERAN 10MODUL PBELAJARN&amp;SET SOAL SKP'26 MEI</t>
  </si>
  <si>
    <t>JHQ2026000577</t>
  </si>
  <si>
    <t>600000874</t>
  </si>
  <si>
    <t>PERBEL GERAN PSIJILN ANTIBRIBERY(ABMS)ISO37001 MEI</t>
  </si>
  <si>
    <t>JHQ2026000578</t>
  </si>
  <si>
    <t>4500027223</t>
  </si>
  <si>
    <t>600000875</t>
  </si>
  <si>
    <t>PERBEL GERAN PGURSAN&amp;PLAKSANAN KVESNYEN KONT26 MEI</t>
  </si>
  <si>
    <t>JHQ2026000579</t>
  </si>
  <si>
    <t>600000876</t>
  </si>
  <si>
    <t>PERBEL GERAN PGURSAN&amp;PLAKSANA KNVSNYEN KONT26 MEI</t>
  </si>
  <si>
    <t>JHQ2026000581</t>
  </si>
  <si>
    <t>600000877</t>
  </si>
  <si>
    <t>PERBEL GERAN PLAKSANA PRGM TVET SKILLTCHPRNUR MEI</t>
  </si>
  <si>
    <t>JHQ2026000582</t>
  </si>
  <si>
    <t>VHQ2026002144</t>
  </si>
  <si>
    <t>4500027343</t>
  </si>
  <si>
    <t>600000879</t>
  </si>
  <si>
    <t>PERBEL GERAN TTT&amp;TTA TENAGA PGAJAR PENILAIN26 MEI</t>
  </si>
  <si>
    <t>JHQ2026000583</t>
  </si>
  <si>
    <t>600000880</t>
  </si>
  <si>
    <t>PERBEL GERAN PRGM JELAJAH KONTRAKTOR CEKAP+26 MEI</t>
  </si>
  <si>
    <t>JHQ2026000584</t>
  </si>
  <si>
    <t>600000898</t>
  </si>
  <si>
    <t>PERBEL GERAN MJLS GRADUASI ABM&amp;CIDB TECH 2026 MEI</t>
  </si>
  <si>
    <t>JHQ2026000599</t>
  </si>
  <si>
    <t>VHQ2026003239</t>
  </si>
  <si>
    <t>4500027637</t>
  </si>
  <si>
    <t>600000899</t>
  </si>
  <si>
    <t>PERBEL GERAN PRGM PBGN PAKAR PKPP &amp; TITU26 MEI</t>
  </si>
  <si>
    <t>JHQ2026000620</t>
  </si>
  <si>
    <t>VHQ2026003517</t>
  </si>
  <si>
    <t>4500027709</t>
  </si>
  <si>
    <t>600000920</t>
  </si>
  <si>
    <t>PERBEL GERAN KERJA SLNGGARA ALATAN DIGITAL MEI</t>
  </si>
  <si>
    <t>JHQ2026000608</t>
  </si>
  <si>
    <t>VHQ2026002533</t>
  </si>
  <si>
    <t>4500027444</t>
  </si>
  <si>
    <t>600000928</t>
  </si>
  <si>
    <t>PERBEL LTIHAN KMPETENSI KMAHIRAN BELIA &amp; PB-APR'26</t>
  </si>
  <si>
    <t>JHQ2026000527</t>
  </si>
  <si>
    <t>600000929</t>
  </si>
  <si>
    <t>PERBEL LTIHAN KMPETENSI KMAHIRAN BELIA &amp; PB-MEI'26</t>
  </si>
  <si>
    <t>JHQ2026000529</t>
  </si>
  <si>
    <t>600000977</t>
  </si>
  <si>
    <t>PERBEL GERAN PBGN BHN PGJR SRTA SOAL PLKK25/26 JUN</t>
  </si>
  <si>
    <t>JHQ2026000621</t>
  </si>
  <si>
    <t>600000978</t>
  </si>
  <si>
    <t>PERBEL GERAN EKOSTEM KTKR KRJA PMULIH&amp;PMULIHAR JUN</t>
  </si>
  <si>
    <t>JHQ2026000622</t>
  </si>
  <si>
    <t>600000981</t>
  </si>
  <si>
    <t>PERBEL GERAN PSIJILN ANTIBRIBERY(ABMS)ISO37001 JUN</t>
  </si>
  <si>
    <t>JHQ2026000625</t>
  </si>
  <si>
    <t>600000982</t>
  </si>
  <si>
    <t>PERBEL GERAN PGURSAN&amp;PLAKSANAN KVESNYEN KONT26 JUN</t>
  </si>
  <si>
    <t>JHQ2026000624</t>
  </si>
  <si>
    <t>600000984</t>
  </si>
  <si>
    <t>PERBEL GERAN TTT&amp;TTA TENAGA PGAJAR PENILAIN26 JUN</t>
  </si>
  <si>
    <t>JHQ2026000626</t>
  </si>
  <si>
    <t>600000985</t>
  </si>
  <si>
    <t>PERBEL GERAN PRGM JELAJAH KONTRAKTOR CEKAP+26 JUN</t>
  </si>
  <si>
    <t>JHQ2026000627</t>
  </si>
  <si>
    <t>VHQ2026004376</t>
  </si>
  <si>
    <t>4500027198</t>
  </si>
  <si>
    <t>600000990</t>
  </si>
  <si>
    <t>PERBEL GERAN PSIJILAN SIJIL KPETENSI KEMAHIRAN JUN</t>
  </si>
  <si>
    <t>JHQ2026000636</t>
  </si>
  <si>
    <t>600000992</t>
  </si>
  <si>
    <t>PERBEL GERAN PRGM PBGN PAKAR PKPP &amp; TITU26 JUN</t>
  </si>
  <si>
    <t>JHQ2026000644</t>
  </si>
  <si>
    <t>600001002</t>
  </si>
  <si>
    <t>PERBEL GERAN KERJA SLNGGARA ALATAN DIGITAL JUN</t>
  </si>
  <si>
    <t>JHQ2026000647</t>
  </si>
  <si>
    <t>VHQ2026004407</t>
  </si>
  <si>
    <t>4500027878</t>
  </si>
  <si>
    <t>600001003</t>
  </si>
  <si>
    <t>PERBEL GERAN OPS PEMANTAUN PRGM AKREDITASI25 JUN</t>
  </si>
  <si>
    <t>JHQ2026000648</t>
  </si>
  <si>
    <t>600001020</t>
  </si>
  <si>
    <t>PERBEL LTIHAN KMPETENSI KMAHIRAN BELIA &amp; PB-JUN'26</t>
  </si>
  <si>
    <t>JHQ2026000530</t>
  </si>
  <si>
    <t>20260227</t>
  </si>
  <si>
    <t>240005987</t>
  </si>
  <si>
    <t>10140007</t>
  </si>
  <si>
    <t>A72102</t>
  </si>
  <si>
    <t>PMLGN BKI GRN BG PENGANJURAN JELAJAH PMBINAAN C4.0</t>
  </si>
  <si>
    <t>GRN JELAJAH PMBINAAN C4.0</t>
  </si>
  <si>
    <t>IHQ2026005961</t>
  </si>
  <si>
    <t>92026001</t>
  </si>
  <si>
    <t>510000194</t>
  </si>
  <si>
    <t>GERAN PKHID. MLAKSANAKN PROGRAM LTIHAN BIM 2026-1</t>
  </si>
  <si>
    <t>GERAN CIDB ECONS</t>
  </si>
  <si>
    <t>92026002</t>
  </si>
  <si>
    <t>20260309</t>
  </si>
  <si>
    <t>510000415</t>
  </si>
  <si>
    <t>GERAN PMBGNN BHN MGAJAR &amp; PBELAJAR SOAL BIM25/26-1</t>
  </si>
  <si>
    <t>GERAN KMHRN BIM 25/26-1</t>
  </si>
  <si>
    <t>92026003</t>
  </si>
  <si>
    <t>510000417</t>
  </si>
  <si>
    <t>GERAN OPRSI&amp;SLNGGRA OBJEK 3D BIM BG MYBIM LIB 25-3</t>
  </si>
  <si>
    <t>GERAN PORTAL MYBIM LIB-3</t>
  </si>
  <si>
    <t>92026004</t>
  </si>
  <si>
    <t>510000419</t>
  </si>
  <si>
    <t>GERAN OPERASI &amp; SELENGGARA PORTAL SMART 2025 - 3</t>
  </si>
  <si>
    <t>GERAN PORTAL SMART-3</t>
  </si>
  <si>
    <t>92026006</t>
  </si>
  <si>
    <t>510000420</t>
  </si>
  <si>
    <t>GERAN PEMBGNN SISTEM AI CHECKER PENILAIAN SKKP-1</t>
  </si>
  <si>
    <t>GERAN SIST AI CHECKER -1</t>
  </si>
  <si>
    <t>92026007</t>
  </si>
  <si>
    <t>510000574</t>
  </si>
  <si>
    <t>10120002</t>
  </si>
  <si>
    <t>GERAN PKHIDMATAN PUSAT PEMULIHAN BENCANA(DRC) 26-2</t>
  </si>
  <si>
    <t>92026009</t>
  </si>
  <si>
    <t>20260326</t>
  </si>
  <si>
    <t>510000592</t>
  </si>
  <si>
    <t>GERAN PROGRAM PELAKSANAAN NBES DI DBKK &amp; MBKS - 4</t>
  </si>
  <si>
    <t>GERAN NBES DBKK MBKS -4</t>
  </si>
  <si>
    <t>92026008</t>
  </si>
  <si>
    <t>510000593</t>
  </si>
  <si>
    <t>10140008</t>
  </si>
  <si>
    <t>GERAN OPERASI &amp; SELENGGARA PORTAL CONVINCE CIDB -5</t>
  </si>
  <si>
    <t>GERAN PORTAL CONVINCE -5</t>
  </si>
  <si>
    <t>92026010</t>
  </si>
  <si>
    <t>20260415</t>
  </si>
  <si>
    <t>510000814</t>
  </si>
  <si>
    <t>GERAN MLAKSANAKN PRGRM LATIHAN&amp;PERANTISAN BIM'26-1</t>
  </si>
  <si>
    <t>GERAN PRGM PERANTISAN BIM</t>
  </si>
  <si>
    <t>92026012</t>
  </si>
  <si>
    <t>20260429</t>
  </si>
  <si>
    <t>510000943</t>
  </si>
  <si>
    <t>GERAN LTHN PMBGNN &amp; PKASAAN KONT BIDANG BIM 2026-1</t>
  </si>
  <si>
    <t>GERAN LTHN KONT DLM BIM-1</t>
  </si>
  <si>
    <t>92026013</t>
  </si>
  <si>
    <t>510001083</t>
  </si>
  <si>
    <t>GERAN OPERASI &amp; SELENGGARA PORTAL CONVINCE CIDB -4</t>
  </si>
  <si>
    <t>GERAN PORTAL CONVINCE -4</t>
  </si>
  <si>
    <t>92026023</t>
  </si>
  <si>
    <t>20260522</t>
  </si>
  <si>
    <t>510001233</t>
  </si>
  <si>
    <t>GERAN PENGANJURAN PERINGKAT AKHIR WSMB-1</t>
  </si>
  <si>
    <t>GERAN PENGANJURAN WSMB-1</t>
  </si>
  <si>
    <t>92026018</t>
  </si>
  <si>
    <t>510001360</t>
  </si>
  <si>
    <t>GERAN OPRSI&amp;SLNGGRA OBJEK 3D BIM BG MYBIM LIB 25-4</t>
  </si>
  <si>
    <t>GERAN PORTAL MYBIM LIB-4</t>
  </si>
  <si>
    <t>92026017</t>
  </si>
  <si>
    <t>510001361</t>
  </si>
  <si>
    <t>GERAN OPERASI &amp; SELENGGARA PORTAL SMART 2025 - 4</t>
  </si>
  <si>
    <t>GERAN PORTAL SMART-4</t>
  </si>
  <si>
    <t>92026011</t>
  </si>
  <si>
    <t>510001362</t>
  </si>
  <si>
    <t>GERAN PERKHID. OPERASI &amp; SELENGGARA SISTEM NBES-1</t>
  </si>
  <si>
    <t>GERAN OPS&amp;SLNGGARA NBES-1</t>
  </si>
  <si>
    <t>92026019</t>
  </si>
  <si>
    <t>510001363</t>
  </si>
  <si>
    <t>GERAN SKONGAN TKNIKAL MYBIM CNTRE&amp;MYBIM SATELITE-4</t>
  </si>
  <si>
    <t>GRAN MYBIM CNTR&amp;SATELIT-4</t>
  </si>
  <si>
    <t>92026026</t>
  </si>
  <si>
    <t>510001507</t>
  </si>
  <si>
    <t>GERAN PERKHID. PENAMBAHBAIKAN PORTAL SMART CIDB-1</t>
  </si>
  <si>
    <t>GERAN T/BAIK PORTAL-1</t>
  </si>
  <si>
    <t>4500027383</t>
  </si>
  <si>
    <t>600000279</t>
  </si>
  <si>
    <t>PERBEL GERAN OPS&amp;SLNGGARA PORTAL CONVINCE CID</t>
  </si>
  <si>
    <t>PERBELANJAAN GERAN ECONS.</t>
  </si>
  <si>
    <t>JHQ2026000278</t>
  </si>
  <si>
    <t>4500027382</t>
  </si>
  <si>
    <t>600000293</t>
  </si>
  <si>
    <t>PERBEL GERAN PRGM PELAKSANA NBES DBKK&amp;MBKS</t>
  </si>
  <si>
    <t>PERBELANJAAN GERAN ECONS</t>
  </si>
  <si>
    <t>JHQ2026000256</t>
  </si>
  <si>
    <t>VHQ2026001376</t>
  </si>
  <si>
    <t>4500027197</t>
  </si>
  <si>
    <t>600000518</t>
  </si>
  <si>
    <t>PERBEL GERAN MELAKSANA PRGM LTHN BIM2026 JAN</t>
  </si>
  <si>
    <t>JHQ2026000321</t>
  </si>
  <si>
    <t>600000519</t>
  </si>
  <si>
    <t>PERBEL GERAN MELAKSANA PRGM LTHN BIM2026 FEB</t>
  </si>
  <si>
    <t>JHQ2026000322</t>
  </si>
  <si>
    <t>600000522</t>
  </si>
  <si>
    <t>PERBEL GERAN MELAKSANA PRGM LTHN BIM2026 MAC</t>
  </si>
  <si>
    <t>JHQ2026000323</t>
  </si>
  <si>
    <t>VHQ2026002120</t>
  </si>
  <si>
    <t>4500027308</t>
  </si>
  <si>
    <t>600000523</t>
  </si>
  <si>
    <t>PERBEL GERAN BHN MGAJAR&amp;BLJR SOAL BIM25/26 JAN-MAC</t>
  </si>
  <si>
    <t>PRBELANJAN GERAN CIDB DIG</t>
  </si>
  <si>
    <t>JHQ2026000345</t>
  </si>
  <si>
    <t>VHQ2026002130</t>
  </si>
  <si>
    <t>4500027316</t>
  </si>
  <si>
    <t>600000526</t>
  </si>
  <si>
    <t>PERBEL GERAN PBGN SIST AI CHECKER PNILAIN SKKP FEB</t>
  </si>
  <si>
    <t>JHQ2026000324</t>
  </si>
  <si>
    <t>600000527</t>
  </si>
  <si>
    <t>PERBEL GERAN PBGN SIST AI CHECKER PNILAIN SKKP MAC</t>
  </si>
  <si>
    <t>JHQ2026000325</t>
  </si>
  <si>
    <t>4500027738</t>
  </si>
  <si>
    <t>600000589</t>
  </si>
  <si>
    <t>PERBEL GERAN OPS&amp;SLNGGARA PORTAL CONVINCE CIDB</t>
  </si>
  <si>
    <t>PRBELANJAAN GERAN CIDBDIG</t>
  </si>
  <si>
    <t>JHQ2026000367</t>
  </si>
  <si>
    <t>600000799</t>
  </si>
  <si>
    <t>PERBEL GERAN MELAKSANA PRGM LTHN BIM2026 APR</t>
  </si>
  <si>
    <t>JHQ2026000544</t>
  </si>
  <si>
    <t>600000800</t>
  </si>
  <si>
    <t>PERBEL GERAN BHN MGAJAR&amp;BLJR SOAL BIM25/26 APR</t>
  </si>
  <si>
    <t>PBELANJAAN GERAN CIDB DIG</t>
  </si>
  <si>
    <t>JHQ2026000545</t>
  </si>
  <si>
    <t>600000801</t>
  </si>
  <si>
    <t>PERBEL GERAN PBGN SIST AI CHECKER PNILAIN SKKP APR</t>
  </si>
  <si>
    <t>JHQ2026000546</t>
  </si>
  <si>
    <t>600000881</t>
  </si>
  <si>
    <t>PERBEL GERAN MELAKSANA PRGM LTHN BIM2026 MEI</t>
  </si>
  <si>
    <t>JHQ2026000585</t>
  </si>
  <si>
    <t>600000882</t>
  </si>
  <si>
    <t>PERBEL GERAN BHN MGAJAR&amp;BLJR SOAL BIM25/26 MEI</t>
  </si>
  <si>
    <t>JHQ2026000586</t>
  </si>
  <si>
    <t>600000883</t>
  </si>
  <si>
    <t>PERBEL GERAN PBGN SIST AI CHECKER PNILAIN SKKP MEI</t>
  </si>
  <si>
    <t>JHQ2026000587</t>
  </si>
  <si>
    <t>VHQ2026002195</t>
  </si>
  <si>
    <t>4500027373</t>
  </si>
  <si>
    <t>600000884</t>
  </si>
  <si>
    <t>PERBEL GERAN PKHID.PUSAT PMULIHN BENCANA(DRC) MEI</t>
  </si>
  <si>
    <t>JHQ2026000588</t>
  </si>
  <si>
    <t>VHQ2026003240</t>
  </si>
  <si>
    <t>4500027631</t>
  </si>
  <si>
    <t>600000900</t>
  </si>
  <si>
    <t>PERBEL GERAN PMBGN &amp; PKASAAN KONT BIDANG BIM26 MEI</t>
  </si>
  <si>
    <t>JHQ2026000600</t>
  </si>
  <si>
    <t>VHQ2026003875</t>
  </si>
  <si>
    <t>4500027821</t>
  </si>
  <si>
    <t>600000921</t>
  </si>
  <si>
    <t>PERBEL GERAN PGANJURAN PERINGKAT AKHIR WSMB MEI</t>
  </si>
  <si>
    <t>JHQ2026000609</t>
  </si>
  <si>
    <t>600000986</t>
  </si>
  <si>
    <t>PERBEL GERAN MELAKSANA PRGM LTHN BIM2026 JUN</t>
  </si>
  <si>
    <t>JHQ2026000628</t>
  </si>
  <si>
    <t>600000987</t>
  </si>
  <si>
    <t>PERBEL GERAN BHN MGAJAR&amp;BLJR SOAL BIM25/26 JUN</t>
  </si>
  <si>
    <t>JHQ2026000629</t>
  </si>
  <si>
    <t>600000988</t>
  </si>
  <si>
    <t>PERBEL GERAN PBGN SIST AI CHECKER PNILAIN SKKP JUN</t>
  </si>
  <si>
    <t>JHQ2026000630</t>
  </si>
  <si>
    <t>600000989</t>
  </si>
  <si>
    <t>PERBEL GERAN PKHID.PUSAT PMULIHN BENCANA(DRC) JUN</t>
  </si>
  <si>
    <t>JHQ2026000631</t>
  </si>
  <si>
    <t>PELARASAN</t>
  </si>
  <si>
    <t>600001040</t>
  </si>
  <si>
    <t>40</t>
  </si>
  <si>
    <t>PLRSN KOD HASIL (GRN JELAJAH PMBINAAN C4.0)</t>
  </si>
  <si>
    <t>JHQ2026000655</t>
  </si>
  <si>
    <t>26010137</t>
  </si>
  <si>
    <t>20260130</t>
  </si>
  <si>
    <t>510000072</t>
  </si>
  <si>
    <t>A72103</t>
  </si>
  <si>
    <t>GERAN 3THN PNERBITAN CIDB CONST.LAW REPORT(CCLR)-3</t>
  </si>
  <si>
    <t>GERAN CCLR THN 2025 - 3</t>
  </si>
  <si>
    <t>26010206</t>
  </si>
  <si>
    <t>510000196</t>
  </si>
  <si>
    <t>GERAN MANUAL PROSEDUR PENTAULIAHAN PRGM SHEQ -1</t>
  </si>
  <si>
    <t>GERAN PRGM SHEQ-1</t>
  </si>
  <si>
    <t>26030020</t>
  </si>
  <si>
    <t>510000589</t>
  </si>
  <si>
    <t>10130002</t>
  </si>
  <si>
    <t>GERAN PGELUARN COA BHN BINA IMPORT JDUA4 AKTA520-1</t>
  </si>
  <si>
    <t>GERAN COA BHN BINA -1</t>
  </si>
  <si>
    <t>26030021</t>
  </si>
  <si>
    <t>510000590</t>
  </si>
  <si>
    <t>GERAN PGELUARN COA BHN BINA IMPORT JDUA4 AKTA520-2</t>
  </si>
  <si>
    <t>GERAN COA BHN BINA -2</t>
  </si>
  <si>
    <t>26030071</t>
  </si>
  <si>
    <t>510000591</t>
  </si>
  <si>
    <t>GERAN GARIS PANDUAN CIS 32:2024 CI IN M'SIA -1</t>
  </si>
  <si>
    <t>GERAN CIS 32:2025 CI-1</t>
  </si>
  <si>
    <t>26020121</t>
  </si>
  <si>
    <t>510000664</t>
  </si>
  <si>
    <t>GERAN PREFIX &amp; SEFFIX PRGM KOMPETENSI CIDB 2026-1</t>
  </si>
  <si>
    <t>GERAN PREFIX &amp; SEFFIX-1</t>
  </si>
  <si>
    <t>26040040</t>
  </si>
  <si>
    <t>20260427</t>
  </si>
  <si>
    <t>510000927</t>
  </si>
  <si>
    <t>GERAN PGELUARN COA BHN BINA IMPORT JDUA4 AKTA520-3</t>
  </si>
  <si>
    <t>GERAN COA BHN BINA -3</t>
  </si>
  <si>
    <t>26030070</t>
  </si>
  <si>
    <t>510000928</t>
  </si>
  <si>
    <t>GERAN KURSUS REFRESHER &amp; AUDITOR BAGI CQMS-1</t>
  </si>
  <si>
    <t>GERAN AUDITOR BG CQMS-1</t>
  </si>
  <si>
    <t>26040023</t>
  </si>
  <si>
    <t>510000952</t>
  </si>
  <si>
    <t>GERAN PRGM PENILAIAN CQMS PRJK KERAJAAN 2026-1</t>
  </si>
  <si>
    <t>GERAN CQMS PRJK KRAJN26-1</t>
  </si>
  <si>
    <t>26040024</t>
  </si>
  <si>
    <t>510000953</t>
  </si>
  <si>
    <t>GERAN PRGM PENILAIAN SHASSIC PRJK KERAJAAN 2026-1</t>
  </si>
  <si>
    <t>GRAN SHASSIC PRJ KRJN26-1</t>
  </si>
  <si>
    <t>26040020</t>
  </si>
  <si>
    <t>510000956</t>
  </si>
  <si>
    <t>GERAN PRGM PENILAIAN MYCREST PRJK KERAJAAN 2026-1</t>
  </si>
  <si>
    <t>GRAN MYCREST PRJ KRJN26-1</t>
  </si>
  <si>
    <t>26050111</t>
  </si>
  <si>
    <t>510001357</t>
  </si>
  <si>
    <t>GERAN T/BAIK SKIM PENSIJILAN CPA BAGI PRODUK IBS-1</t>
  </si>
  <si>
    <t>GERAN SIJIL CPA-1</t>
  </si>
  <si>
    <t>26050007</t>
  </si>
  <si>
    <t>510001375</t>
  </si>
  <si>
    <t>GERAN PGELUARN COA BHN BINA IMPORT JDUA4 AKTA520-4</t>
  </si>
  <si>
    <t>GERAN COA BHN BINA -4</t>
  </si>
  <si>
    <t>26050072</t>
  </si>
  <si>
    <t>20260621</t>
  </si>
  <si>
    <t>510001570</t>
  </si>
  <si>
    <t>GERAN PRGM PENILAIAN CQMS PRJK KERAJAAN 2026-2</t>
  </si>
  <si>
    <t>GERAN CQMS PRJK KRAJN26-2</t>
  </si>
  <si>
    <t>26050073</t>
  </si>
  <si>
    <t>510001571</t>
  </si>
  <si>
    <t>GERAN PRGM PENILAIAN SHASSIC PRJK KERAJAAN 2026-2</t>
  </si>
  <si>
    <t>GRAN SHASSIC PRJ KRJN26-2</t>
  </si>
  <si>
    <t>4500027379</t>
  </si>
  <si>
    <t>600000291</t>
  </si>
  <si>
    <t>PERBEL GERAN COA BHN BINA IMPORT JDUA4 AKTA520-1</t>
  </si>
  <si>
    <t>PERBELANJAAN GERAN CREAM</t>
  </si>
  <si>
    <t>JHQ2026000222</t>
  </si>
  <si>
    <t>4500027380</t>
  </si>
  <si>
    <t>600000292</t>
  </si>
  <si>
    <t>PERBEL GERAN COA BHN BINA IMPORT JDUA4 AKTA520-2</t>
  </si>
  <si>
    <t>JHQ2026000223</t>
  </si>
  <si>
    <t>4500027606</t>
  </si>
  <si>
    <t>600000404</t>
  </si>
  <si>
    <t>PERBEL GERAN COA BHN BINA IMPORT JDUA4 AKTA520-3</t>
  </si>
  <si>
    <t>JHQ2026000203</t>
  </si>
  <si>
    <t>45000645044</t>
  </si>
  <si>
    <t>600000414</t>
  </si>
  <si>
    <t>PERBEL GERAN PNILAIN CQMS PRJK KRAJN26-JAN-MAC26</t>
  </si>
  <si>
    <t>JHQ2026000214</t>
  </si>
  <si>
    <t>4500027640</t>
  </si>
  <si>
    <t>600000415</t>
  </si>
  <si>
    <t>PRBEL GERAN PNILAIN SHASSIC PRJK KRAJN26-JAN-MAC26</t>
  </si>
  <si>
    <t>JHQ2026000212</t>
  </si>
  <si>
    <t>4500027641</t>
  </si>
  <si>
    <t>600000416</t>
  </si>
  <si>
    <t>PRBEL GERAN PNILAIN MYCREST PRJK KRAJN26-JAN-MAC26</t>
  </si>
  <si>
    <t>JHQ2026000213</t>
  </si>
  <si>
    <t>VHQ2026001353</t>
  </si>
  <si>
    <t>600000528</t>
  </si>
  <si>
    <t>PERBEL GERAN MANUAL PRSEDUR PTAULIAH PRGM SHEQ FEB</t>
  </si>
  <si>
    <t>JHQ2026000326</t>
  </si>
  <si>
    <t>600000529</t>
  </si>
  <si>
    <t>PERBEL GERAN MANUAL PRSEDUR PTAULIAH PRGM SHEQ MAC</t>
  </si>
  <si>
    <t>JHQ2026000327</t>
  </si>
  <si>
    <t>VHQ2026002478</t>
  </si>
  <si>
    <t>4500027381</t>
  </si>
  <si>
    <t>600000579</t>
  </si>
  <si>
    <t>PERBEL GERAN GARIS PNDN CIS 32:2024 CI IN MSIA MAC</t>
  </si>
  <si>
    <t>JHQ2026000306</t>
  </si>
  <si>
    <t>4500027895</t>
  </si>
  <si>
    <t>600000711</t>
  </si>
  <si>
    <t>PERBEL GERAN COA BHN BINA IMPORT JDUA4 AKTA520-4</t>
  </si>
  <si>
    <t>JHQ2026000434</t>
  </si>
  <si>
    <t>4500027965</t>
  </si>
  <si>
    <t>600000752</t>
  </si>
  <si>
    <t>PERBEL GERAN PNILAIN CQMS PRJK KRAJN26-APR26</t>
  </si>
  <si>
    <t>JHQ2026000447</t>
  </si>
  <si>
    <t>4500027966</t>
  </si>
  <si>
    <t>600000776</t>
  </si>
  <si>
    <t>PRBEL GERAN PNILAIN SHASSIC PRJK KRAJN26-APR26</t>
  </si>
  <si>
    <t>JHQ2026000453</t>
  </si>
  <si>
    <t>VHQ2026000950</t>
  </si>
  <si>
    <t>4500027080</t>
  </si>
  <si>
    <t>600000802</t>
  </si>
  <si>
    <t>JHQ2026000547</t>
  </si>
  <si>
    <t>600000803</t>
  </si>
  <si>
    <t>PERBEL GERAN MANUAL PRSEDUR PTAULIAH PRGM SHEQ APR</t>
  </si>
  <si>
    <t>JHQ2026000548</t>
  </si>
  <si>
    <t>600000804</t>
  </si>
  <si>
    <t>PERBEL GERAN GARIS PNDN CIS 32:2024 CI IN MSIA APR</t>
  </si>
  <si>
    <t>JHQ2026000549</t>
  </si>
  <si>
    <t>VHQ2026002534</t>
  </si>
  <si>
    <t>4500027454</t>
  </si>
  <si>
    <t>600000821</t>
  </si>
  <si>
    <t>PERBEL GERAN PREFIX&amp;SEFFIX PRGM KMPTNSI CIDB26 APR</t>
  </si>
  <si>
    <t>JHQ2026000564</t>
  </si>
  <si>
    <t>600000887</t>
  </si>
  <si>
    <t>PERBEL GERAN GARIS PNDN CIS 32:2024 CI IN MSIA MEI</t>
  </si>
  <si>
    <t>JHQ2026000589</t>
  </si>
  <si>
    <t>600000901</t>
  </si>
  <si>
    <t>PERBEL GERAN PREFIX&amp;SEFFIX PRGM KMPTNSI CIDB26 MEI</t>
  </si>
  <si>
    <t>JHQ2026000601</t>
  </si>
  <si>
    <t>600000991</t>
  </si>
  <si>
    <t>PERBEL GERAN GARIS PNDN CIS 32:2024 CI IN MSIA JUN</t>
  </si>
  <si>
    <t>JHQ2026000632</t>
  </si>
  <si>
    <t>600000996</t>
  </si>
  <si>
    <t>PERBEL GERAN PREFIX&amp;SEFFIX PRGM KMPTNSI CIDB26 JUN</t>
  </si>
  <si>
    <t>JHQ2026000640</t>
  </si>
  <si>
    <t>VHQ2026004409</t>
  </si>
  <si>
    <t>4500027882</t>
  </si>
  <si>
    <t>600001005</t>
  </si>
  <si>
    <t>PERBEL GERAN T/BAIK SKIM PSIJILAN CPA PRDK IBS JUN</t>
  </si>
  <si>
    <t>JHQ2026000649</t>
  </si>
  <si>
    <t>IV-00002-26</t>
  </si>
  <si>
    <t>20260127</t>
  </si>
  <si>
    <t>510000065</t>
  </si>
  <si>
    <t>A72104</t>
  </si>
  <si>
    <t>GERAN PELAKSANA PRGM REVOLUSI PEMERKASAAN SKKP-1/2</t>
  </si>
  <si>
    <t>VHQ2026001045</t>
  </si>
  <si>
    <t>4500027069</t>
  </si>
  <si>
    <t>600000530</t>
  </si>
  <si>
    <t>PERBEL GERAN PRGM REVOLUSI PEMERKASAAN SKKP JAN</t>
  </si>
  <si>
    <t>PERBELANJAAN GERAN CLAB</t>
  </si>
  <si>
    <t>JHQ2026000328</t>
  </si>
  <si>
    <t>600000531</t>
  </si>
  <si>
    <t>PERBEL GERAN PRGM REVOLUSI PEMERKASAAN SKKP FEB</t>
  </si>
  <si>
    <t>JHQ2026000329</t>
  </si>
  <si>
    <t>600000532</t>
  </si>
  <si>
    <t>PERBEL GERAN PRGM REVOLUSI PEMERKASAAN SKKP MAC</t>
  </si>
  <si>
    <t>JHQ2026000349</t>
  </si>
  <si>
    <t>600000805</t>
  </si>
  <si>
    <t>PERBEL GERAN PRGM REVOLUSI PEMERKASAAN SKKP APR</t>
  </si>
  <si>
    <t>JHQ2026000550</t>
  </si>
  <si>
    <t>600000888</t>
  </si>
  <si>
    <t>PERBEL GERAN PRGM REVOLUSI PEMERKASAAN SKKP MEI</t>
  </si>
  <si>
    <t>JHQ2026000590</t>
  </si>
  <si>
    <t>I0226/80</t>
  </si>
  <si>
    <t>510000235</t>
  </si>
  <si>
    <t>A72201</t>
  </si>
  <si>
    <t>GERAN LAKSANA PRGM PERANTISAN IND PEMBINAAN 2026-1</t>
  </si>
  <si>
    <t>GERAN PERANTISAN 2026-1</t>
  </si>
  <si>
    <t>0526/122</t>
  </si>
  <si>
    <t>20260625</t>
  </si>
  <si>
    <t>510001644</t>
  </si>
  <si>
    <t>GERAN LAKSANA PRGM PERANTISAN IND PEMBINAAN 2026-2</t>
  </si>
  <si>
    <t>GERAN PERANTISAN 2026-2</t>
  </si>
  <si>
    <t>VHQ2026001482</t>
  </si>
  <si>
    <t>4500027224</t>
  </si>
  <si>
    <t>600000533</t>
  </si>
  <si>
    <t>PERBEL GERAN PERANTISAN IND PEMBINAAN 2026 MAC</t>
  </si>
  <si>
    <t>PERBELANJAAN GERAN ABMSEL</t>
  </si>
  <si>
    <t>JHQ2026000346</t>
  </si>
  <si>
    <t>600000806</t>
  </si>
  <si>
    <t>PERBEL GERAN PERANTISAN IND PEMBINAAN 2026 APR</t>
  </si>
  <si>
    <t>JHQ2026000551</t>
  </si>
  <si>
    <t>600000889</t>
  </si>
  <si>
    <t>PERBEL GERAN PERANTISAN IND PEMBINAAN 2026 MEI</t>
  </si>
  <si>
    <t>JHQ2026000591</t>
  </si>
  <si>
    <t>600000993</t>
  </si>
  <si>
    <t>PERBEL GERAN PERANTISAN IND PEMBINAAN 2026 JUN</t>
  </si>
  <si>
    <t>JHQ2026000637</t>
  </si>
  <si>
    <t>12937</t>
  </si>
  <si>
    <t>20260507</t>
  </si>
  <si>
    <t>510001024</t>
  </si>
  <si>
    <t>A72202</t>
  </si>
  <si>
    <t>GERAN PMBELIAN KMDHAN KELENGKAPAN &amp; ALAT ASRAMA-1</t>
  </si>
  <si>
    <t>GERAN ABM SELATAN 2026</t>
  </si>
  <si>
    <t>13072</t>
  </si>
  <si>
    <t>510001643</t>
  </si>
  <si>
    <t>VHQ2026005007</t>
  </si>
  <si>
    <t>4500027996</t>
  </si>
  <si>
    <t>600001010</t>
  </si>
  <si>
    <t>PERBELANJAAN GERAN ABMJHR</t>
  </si>
  <si>
    <t>JHQ2026000650</t>
  </si>
  <si>
    <t>00040575</t>
  </si>
  <si>
    <t>510000588</t>
  </si>
  <si>
    <t>A72203</t>
  </si>
  <si>
    <t>GERAN MLAKSANAKN PRGRM PERANTISAN IND PBINAAN-1</t>
  </si>
  <si>
    <t>GERAN PERANTISAN UTR-1</t>
  </si>
  <si>
    <t>VHQ2026002372</t>
  </si>
  <si>
    <t>4500027378</t>
  </si>
  <si>
    <t>600000808</t>
  </si>
  <si>
    <t>PERBEL GERAN LAKSANA PRGM PERANTISAN IND PBINA APR</t>
  </si>
  <si>
    <t>PERBELANJAAN GERAN ABMUTR</t>
  </si>
  <si>
    <t>JHQ2026000552</t>
  </si>
  <si>
    <t>600000890</t>
  </si>
  <si>
    <t>PERBEL GERAN LAKSANA PRGM PERANTISAN IND PBINA MEI</t>
  </si>
  <si>
    <t>JHQ2026000592</t>
  </si>
  <si>
    <t>600000994</t>
  </si>
  <si>
    <t>PERBEL GERAN LAKSANA PRGM PERANTISAN IND PBINA JUN</t>
  </si>
  <si>
    <t>JHQ2026000638</t>
  </si>
  <si>
    <t>00031341</t>
  </si>
  <si>
    <t>510000236</t>
  </si>
  <si>
    <t>A72204</t>
  </si>
  <si>
    <t>GERAN PERANTISAN INDUSTRI PEMBINAAN THN 2026-1</t>
  </si>
  <si>
    <t>00031761</t>
  </si>
  <si>
    <t>510000800</t>
  </si>
  <si>
    <t>GERAN PROJEK PMBINAAN&amp;N.TARAF LESEN MANDU H&amp;I -3</t>
  </si>
  <si>
    <t>GERAN TPK UJIAN MEMANDU-3</t>
  </si>
  <si>
    <t>00032120</t>
  </si>
  <si>
    <t>510001234</t>
  </si>
  <si>
    <t>GERAN PENGANJURAN PERINGKAT AKHIR WSMB ABMTGG-1</t>
  </si>
  <si>
    <t>GRAN PGNJURN WSMBABMTGG-1</t>
  </si>
  <si>
    <t>00032339</t>
  </si>
  <si>
    <t>20260618</t>
  </si>
  <si>
    <t>510001538</t>
  </si>
  <si>
    <t>GERAN PROJEK PMBINAAN&amp;N.TARAF LESEN MANDU H&amp;I -4</t>
  </si>
  <si>
    <t>GERAN TPK UJIAN MEMANDU-4</t>
  </si>
  <si>
    <t>4500027517</t>
  </si>
  <si>
    <t>600000376</t>
  </si>
  <si>
    <t>PERBEL GERAN PRJK PBINA&amp;N.TARAF LESEN MANDU H&amp;I-3</t>
  </si>
  <si>
    <t>PERBELANJAAN GERAN ABMTGG</t>
  </si>
  <si>
    <t>JHQ2026000186</t>
  </si>
  <si>
    <t>VHQ2026001481</t>
  </si>
  <si>
    <t>4500027225</t>
  </si>
  <si>
    <t>600000534</t>
  </si>
  <si>
    <t>JHQ2026000332</t>
  </si>
  <si>
    <t>4500027939</t>
  </si>
  <si>
    <t>600000745</t>
  </si>
  <si>
    <t>PERBEL GERAN PRJK PBINA&amp;N.TARAF LESEN MANDU H&amp;I-4</t>
  </si>
  <si>
    <t>JHQ2026000446</t>
  </si>
  <si>
    <t>600000809</t>
  </si>
  <si>
    <t>JHQ2026000553</t>
  </si>
  <si>
    <t>600000891</t>
  </si>
  <si>
    <t>JHQ2026000593</t>
  </si>
  <si>
    <t>VHQ2026003876</t>
  </si>
  <si>
    <t>4500027822</t>
  </si>
  <si>
    <t>600000922</t>
  </si>
  <si>
    <t>PERBEL GERAN PGNJURN PRINGKT AKHIR WSMB ABMTGG MEI</t>
  </si>
  <si>
    <t>JHQ2026000610</t>
  </si>
  <si>
    <t>600000995</t>
  </si>
  <si>
    <t>JHQ2026000639</t>
  </si>
  <si>
    <t>400-5/13/33J8(44</t>
  </si>
  <si>
    <t>240011074</t>
  </si>
  <si>
    <t>A72205</t>
  </si>
  <si>
    <t>PMLGN BKI GRN PMBELIAN PRLTN&amp; KLNGKPN BG CHARGEMAN</t>
  </si>
  <si>
    <t>PEMULANGAN BAKI GERAN</t>
  </si>
  <si>
    <t>IHQ2026011031</t>
  </si>
  <si>
    <t>00260001</t>
  </si>
  <si>
    <t>20260409</t>
  </si>
  <si>
    <t>510000716</t>
  </si>
  <si>
    <t>GERAN PROGRAM PERANTISAN IND PEMBINAAN 2026-1</t>
  </si>
  <si>
    <t>GERAN PRGM PERANTISAN -1</t>
  </si>
  <si>
    <t>VHQ2026002779</t>
  </si>
  <si>
    <t>4500027481</t>
  </si>
  <si>
    <t>600000914</t>
  </si>
  <si>
    <t>PERBEL GERAN PRGM PERANTISAN IND PBINA 2026 MEI</t>
  </si>
  <si>
    <t>PERBELANJAAN GERAN ABMSBH</t>
  </si>
  <si>
    <t>JHQ2026000602</t>
  </si>
  <si>
    <t>600000997</t>
  </si>
  <si>
    <t>PERBEL GERAN PRGM PERANTISAN IND PBINA 2026 JUN</t>
  </si>
  <si>
    <t>JHQ2026000641</t>
  </si>
  <si>
    <t>00026842</t>
  </si>
  <si>
    <t>510000520</t>
  </si>
  <si>
    <t>A72206</t>
  </si>
  <si>
    <t>GERAN PRGM PERANTISAN INDUSTRI PEMBINAAN 2026 -1</t>
  </si>
  <si>
    <t>00026844</t>
  </si>
  <si>
    <t>20260327</t>
  </si>
  <si>
    <t>510000604</t>
  </si>
  <si>
    <t>GERAN LWTN KE POLITEKNIK NGRI PONTIANAK (POLNEP)-1</t>
  </si>
  <si>
    <t>GERAN LWTN KE POLNEP-1</t>
  </si>
  <si>
    <t>VHQ2026002131</t>
  </si>
  <si>
    <t>4500027345</t>
  </si>
  <si>
    <t>600000535</t>
  </si>
  <si>
    <t>PERBEL GERAN PERANTISAN IND PEMBINAAN 2026 FEB</t>
  </si>
  <si>
    <t>PERBELANJAAN GERAN ABMSWK</t>
  </si>
  <si>
    <t>JHQ2026000333</t>
  </si>
  <si>
    <t>600000536</t>
  </si>
  <si>
    <t>JHQ2026000334</t>
  </si>
  <si>
    <t>VHQ2026002512</t>
  </si>
  <si>
    <t>4500027386</t>
  </si>
  <si>
    <t>600000538</t>
  </si>
  <si>
    <t>PERBEL GERAN POLITEKNIK NGRI PONTINAK (POLNEP) FEB</t>
  </si>
  <si>
    <t>JHQ2026000308</t>
  </si>
  <si>
    <t>600000810</t>
  </si>
  <si>
    <t>JHQ2026000554</t>
  </si>
  <si>
    <t>I2026-0005</t>
  </si>
  <si>
    <t>510000071</t>
  </si>
  <si>
    <t>A72207</t>
  </si>
  <si>
    <t>GERAN MELAKSANAKAN PROGRAM LATIHAN IBS 2026 - 1</t>
  </si>
  <si>
    <t>GERAN PROGRAM IBS 2026-1</t>
  </si>
  <si>
    <t>I2026-0001</t>
  </si>
  <si>
    <t>510000117</t>
  </si>
  <si>
    <t>GERAN LABOUR CONSTANT KAEDAH IBS &amp; KONVESIONAL-1</t>
  </si>
  <si>
    <t>GERAN KAEDAH IBS&amp;KONVES-1</t>
  </si>
  <si>
    <t>I2026-0035</t>
  </si>
  <si>
    <t>510000416</t>
  </si>
  <si>
    <t>GERAN PBNGUNN MODULAR ROADMAP 2026-2030 -1</t>
  </si>
  <si>
    <t>GERAN MODULAR ROADMAP-1</t>
  </si>
  <si>
    <t>I2026-055</t>
  </si>
  <si>
    <t>510000513</t>
  </si>
  <si>
    <t>GERAN PRGM FMPRO APPRENTICE (OJT) FM KE UAE -1</t>
  </si>
  <si>
    <t>GERAN FMPRO APPRENTICE -1</t>
  </si>
  <si>
    <t>I2026-056</t>
  </si>
  <si>
    <t>510000515</t>
  </si>
  <si>
    <t>GERAN PMBGNN SOR, SOM &amp; PANDUAN PEROLEHAN FM -1</t>
  </si>
  <si>
    <t>GERAN SOR, SOM &amp; FM -1</t>
  </si>
  <si>
    <t>I2026-037</t>
  </si>
  <si>
    <t>510000516</t>
  </si>
  <si>
    <t>GERAN PENGURUS ACARA INT. FM ENGAGEMENT DAY -1</t>
  </si>
  <si>
    <t>GERAN PENGURS ACARA FM-1</t>
  </si>
  <si>
    <t>I2026-054</t>
  </si>
  <si>
    <t>510000559</t>
  </si>
  <si>
    <t>GERAN PRGM KUMP TENAGA PENGAJAR PMERIKSA 2026-1</t>
  </si>
  <si>
    <t>GERAN TENAGA PENGAJAR-1</t>
  </si>
  <si>
    <t>I2026-043</t>
  </si>
  <si>
    <t>510000560</t>
  </si>
  <si>
    <t>GERAN PELAKSANAAN PODCAST PENGURUSAN FM 2026-1</t>
  </si>
  <si>
    <t>GERAN PODCAST FM 2026-1</t>
  </si>
  <si>
    <t>I2026-046</t>
  </si>
  <si>
    <t>510000666</t>
  </si>
  <si>
    <t>GERAN H/TUJU KPASITI KESIAPSIAGAAN TNAGA NUKLEAR-1</t>
  </si>
  <si>
    <t>GERAN TENAGA NUKLEAR-1</t>
  </si>
  <si>
    <t>I2026-066</t>
  </si>
  <si>
    <t>20260416</t>
  </si>
  <si>
    <t>510000829</t>
  </si>
  <si>
    <t>GERAN LAKSANA PEMBANGUNAN 5 MODUL SKP 2026-1</t>
  </si>
  <si>
    <t>GERAN 5MDUL ELEARNG SKP-1</t>
  </si>
  <si>
    <t>I2026-067</t>
  </si>
  <si>
    <t>510000830</t>
  </si>
  <si>
    <t>GERAN LAKSANA PBANGUN 5 MODUL BAHARU SKP 2026-1</t>
  </si>
  <si>
    <t>GERAN 5 MDUL BAHARU SKP-1</t>
  </si>
  <si>
    <t>I2026-0086</t>
  </si>
  <si>
    <t>510000951</t>
  </si>
  <si>
    <t>GERAN PERKHIDMATAN MELAKSANA PRGM SFERA CIDB-1</t>
  </si>
  <si>
    <t>GERAN LKSANA PRGM SFERA-1</t>
  </si>
  <si>
    <t>I2026-101</t>
  </si>
  <si>
    <t>510001158</t>
  </si>
  <si>
    <t>GERAN PENGANJURAN PRGM INSPIRED LEADERSHIP TALK-1</t>
  </si>
  <si>
    <t>GRAN INSPRD L/SHIP TALK-1</t>
  </si>
  <si>
    <t>I2026-069</t>
  </si>
  <si>
    <t>510001291</t>
  </si>
  <si>
    <t>GERAN MENGURUS DELEGASI CIDB KE LAS VEGAS -1</t>
  </si>
  <si>
    <t>GERAN KE LAS VEGAS-1</t>
  </si>
  <si>
    <t>I2026-109</t>
  </si>
  <si>
    <t>510001351</t>
  </si>
  <si>
    <t>GERAN PERANTI VR VIRTUAL TOUR GALERI KOMPONN IBS-1</t>
  </si>
  <si>
    <t>GERAN PERANTI VR-1</t>
  </si>
  <si>
    <t>I2026-053</t>
  </si>
  <si>
    <t>510001355</t>
  </si>
  <si>
    <t>GERAN OPS&amp;SLNGGRA 9RUMAH CTH IBS&amp;1 RUMAH CTH IBS-1</t>
  </si>
  <si>
    <t>GERAN RUMAH CTH-1</t>
  </si>
  <si>
    <t>I2026-102</t>
  </si>
  <si>
    <t>510001356</t>
  </si>
  <si>
    <t>GERAN PRGM PGURUSAN DIRECTORI ORANGE BOOK 2026-1</t>
  </si>
  <si>
    <t>GERAN ORANGE BOOK 2026-1</t>
  </si>
  <si>
    <t>VHQ2026000951</t>
  </si>
  <si>
    <t>4500027093</t>
  </si>
  <si>
    <t>600000539</t>
  </si>
  <si>
    <t>PERBEL GERAN MELAKSANAKAN PRGM LATIHAN IBS26 JAN</t>
  </si>
  <si>
    <t>PBELANJAAN GERAN CIDBIBS</t>
  </si>
  <si>
    <t>JHQ2026000335</t>
  </si>
  <si>
    <t>600000540</t>
  </si>
  <si>
    <t>PERBEL GERAN MELAKSANAKAN PRGM LATIHAN IBS26 FEB</t>
  </si>
  <si>
    <t>JHQ2026000336</t>
  </si>
  <si>
    <t>600000541</t>
  </si>
  <si>
    <t>PERBEL GERAN MELAKSANAKAN PRGM LATIHAN IBS26 MAC</t>
  </si>
  <si>
    <t>JHQ2026000337</t>
  </si>
  <si>
    <t>VHQ2026001254</t>
  </si>
  <si>
    <t>4500027163</t>
  </si>
  <si>
    <t>600000542</t>
  </si>
  <si>
    <t>PERBEL GERAN LABOUR CONSTANT IBS &amp; KONVESIONAL JAN</t>
  </si>
  <si>
    <t>JHQ2026000338</t>
  </si>
  <si>
    <t>600000543</t>
  </si>
  <si>
    <t>PERBEL GERAN LABOUR CONSTANT IBS &amp; KONVESIONAL FEB</t>
  </si>
  <si>
    <t>JHQ2026000339</t>
  </si>
  <si>
    <t>600000544</t>
  </si>
  <si>
    <t>PERBEL GERAN LABOUR CONSTANT IBS &amp; KONVESIONAL MAC</t>
  </si>
  <si>
    <t>JHQ2026000340</t>
  </si>
  <si>
    <t>VHQ2026002121</t>
  </si>
  <si>
    <t>4500027311</t>
  </si>
  <si>
    <t>600000545</t>
  </si>
  <si>
    <t>PERBEL GERAN PBNGUNN MODULAR ROADMAP 2026-2030 MAC</t>
  </si>
  <si>
    <t>JHQ2026000341</t>
  </si>
  <si>
    <t>VHQ2026002159</t>
  </si>
  <si>
    <t>4500027337</t>
  </si>
  <si>
    <t>600000546</t>
  </si>
  <si>
    <t>PERBEL GERAN PRGM FMPRO APRENTICE (OJT) FM UAE MAC</t>
  </si>
  <si>
    <t>JHQ2026000347</t>
  </si>
  <si>
    <t>VHQ2026002154</t>
  </si>
  <si>
    <t>4500027338</t>
  </si>
  <si>
    <t>600000547</t>
  </si>
  <si>
    <t>PERBEL GERAN PMBGN SOR,SOM&amp;PNDUAN PEROLEHAN FM MAC</t>
  </si>
  <si>
    <t>JHQ2026000342</t>
  </si>
  <si>
    <t>VHQ2026002132</t>
  </si>
  <si>
    <t>4500027339</t>
  </si>
  <si>
    <t>600000548</t>
  </si>
  <si>
    <t>PERBEL GERAN PGURUS ACARA INT.FM ENGAGEMNT DAY MAC</t>
  </si>
  <si>
    <t>JHQ2026000348</t>
  </si>
  <si>
    <t>VHQ2026002293</t>
  </si>
  <si>
    <t>4500027366</t>
  </si>
  <si>
    <t>600000551</t>
  </si>
  <si>
    <t>PERBEL GERAN PRGM KUM TENAGA PGAJAR PMERIKSA26 MAC</t>
  </si>
  <si>
    <t>JHQ2026000343</t>
  </si>
  <si>
    <t>VHQ2026002297</t>
  </si>
  <si>
    <t>4500027367</t>
  </si>
  <si>
    <t>600000553</t>
  </si>
  <si>
    <t>PERBEL GERAN PLAKSANAN PODCAST PGURUSN FM26 MAC</t>
  </si>
  <si>
    <t>JHQ2026000344</t>
  </si>
  <si>
    <t>600000811</t>
  </si>
  <si>
    <t>PERBEL GERAN MELAKSANAKAN PRGM LATIHAN IBS26 APR</t>
  </si>
  <si>
    <t>JHQ2026000555</t>
  </si>
  <si>
    <t>600000812</t>
  </si>
  <si>
    <t>PERBEL GERAN LABOUR CONSTANT IBS &amp; KONVESIONAL APR</t>
  </si>
  <si>
    <t>JHQ2026000556</t>
  </si>
  <si>
    <t>600000813</t>
  </si>
  <si>
    <t>PERBEL GERAN PBNGUNN MODULAR ROADMAP 2026-2030 APR</t>
  </si>
  <si>
    <t>JHQ2026000557</t>
  </si>
  <si>
    <t>600000814</t>
  </si>
  <si>
    <t>PERBEL GERAN PRGM FMPRO APRENTICE (OJT) FM UAE APR</t>
  </si>
  <si>
    <t>JHQ2026000558</t>
  </si>
  <si>
    <t>600000815</t>
  </si>
  <si>
    <t>PERBEL GERAN PMBGN SOR,SOM&amp;PNDUAN PEROLEHAN FM APR</t>
  </si>
  <si>
    <t>JHQ2026000559</t>
  </si>
  <si>
    <t>600000816</t>
  </si>
  <si>
    <t>PERBEL GERAN PRGM KUM TENAGA PGAJAR PMERIKSA26 APR</t>
  </si>
  <si>
    <t>JHQ2026000560</t>
  </si>
  <si>
    <t>600000817</t>
  </si>
  <si>
    <t>PERBEL GERAN PLAKSANAN PODCAST PGURUSN FM26 APR</t>
  </si>
  <si>
    <t>JHQ2026000561</t>
  </si>
  <si>
    <t>VHQ2026002535</t>
  </si>
  <si>
    <t>4500027458</t>
  </si>
  <si>
    <t>600000822</t>
  </si>
  <si>
    <t>PERBEL GERAN H/TUJU KSIAPSIAGAAN TNAGA NUKLEAR APR</t>
  </si>
  <si>
    <t>JHQ2026000565</t>
  </si>
  <si>
    <t>VHQ2026002881</t>
  </si>
  <si>
    <t>4500027540</t>
  </si>
  <si>
    <t>600000823</t>
  </si>
  <si>
    <t>PERBEL GERAN PBNGN 5 MODUL E-LEARNING SKP26 APR</t>
  </si>
  <si>
    <t>JHQ2026000566</t>
  </si>
  <si>
    <t>VHQ2026002873</t>
  </si>
  <si>
    <t>4500027541</t>
  </si>
  <si>
    <t>600000824</t>
  </si>
  <si>
    <t>PERBEL GERAN LAKSANA PBNGUN 5 MODUL BARU SKP26 APR</t>
  </si>
  <si>
    <t>JHQ2026000567</t>
  </si>
  <si>
    <t>VHQ2026003242</t>
  </si>
  <si>
    <t>4500027638</t>
  </si>
  <si>
    <t>600000825</t>
  </si>
  <si>
    <t>PERBEL GERAN PERKHID MELAKSANA PRGM SFERA CIDB APR</t>
  </si>
  <si>
    <t>JHQ2026000568</t>
  </si>
  <si>
    <t>600000892</t>
  </si>
  <si>
    <t>PERBEL GERAN PBNGUNN MODULAR ROADMAP 2026-2030 MEI</t>
  </si>
  <si>
    <t>PBELANJAAN GERAN CIDB IBS</t>
  </si>
  <si>
    <t>JHQ2026000594</t>
  </si>
  <si>
    <t>600000893</t>
  </si>
  <si>
    <t>PERBEL GERAN MELAKSANAKAN PRGM LATIHAN IBS26 MEI</t>
  </si>
  <si>
    <t>JHQ2026000595</t>
  </si>
  <si>
    <t>600000894</t>
  </si>
  <si>
    <t>PERBEL GERAN PRGM FMPRO APRENTICE (OJT) FM UAE MEI</t>
  </si>
  <si>
    <t>JHQ2026000596</t>
  </si>
  <si>
    <t>600000895</t>
  </si>
  <si>
    <t>PERBEL GERAN PMBGN SOR,SOM&amp;PNDUAN PEROLEHAN FM MEI</t>
  </si>
  <si>
    <t>JHQ2026000597</t>
  </si>
  <si>
    <t>600000896</t>
  </si>
  <si>
    <t>PERBEL GERAN PGURUS ACARA INT.FM ENGAGEMNT DAY MEI</t>
  </si>
  <si>
    <t>JHQ2026000598</t>
  </si>
  <si>
    <t>600000915</t>
  </si>
  <si>
    <t>PERBEL GERAN H/TUJU KSIAPSIAGAAN TNAGA NUKLEAR MEI</t>
  </si>
  <si>
    <t>JHQ2026000603</t>
  </si>
  <si>
    <t>600000916</t>
  </si>
  <si>
    <t>PERBEL GERAN PBNGN 5 MODUL E-LEARNING SKP26 MEI</t>
  </si>
  <si>
    <t>JHQ2026000604</t>
  </si>
  <si>
    <t>600000917</t>
  </si>
  <si>
    <t>PERBEL GERAN LAKSANA PBNGUN 5 MODUL BARU SKP26 MEI</t>
  </si>
  <si>
    <t>JHQ2026000605</t>
  </si>
  <si>
    <t>600000918</t>
  </si>
  <si>
    <t>PERBEL GERAN PERKHID MELAKSANA PRGM SFERA CIDB MEI</t>
  </si>
  <si>
    <t>JHQ2026000606</t>
  </si>
  <si>
    <t>VHQ2026003760</t>
  </si>
  <si>
    <t>4500027777</t>
  </si>
  <si>
    <t>600000923</t>
  </si>
  <si>
    <t>PERBEL GERAN PGNJURN PRGM INSPIRED L/SHIP TALK MEI</t>
  </si>
  <si>
    <t>JHQ2026000611</t>
  </si>
  <si>
    <t>600000979</t>
  </si>
  <si>
    <t>PERBEL GERAN MELAKSANAKAN PRGM LATIHAN IBS26 JUN</t>
  </si>
  <si>
    <t>JHQ2026000633</t>
  </si>
  <si>
    <t>600000980</t>
  </si>
  <si>
    <t>PERBEL GERAN PRGM FMPRO APRENTICE (OJT) FM UAE JUN</t>
  </si>
  <si>
    <t>JHQ2026000634</t>
  </si>
  <si>
    <t>600000983</t>
  </si>
  <si>
    <t>PERBEL GERAN PRGM KUM TENAGA PGAJAR PMERIKSA26 JUN</t>
  </si>
  <si>
    <t>JHQ2026000635</t>
  </si>
  <si>
    <t>600000998</t>
  </si>
  <si>
    <t>PERBEL GERAN PBNGN 5 MODUL E-LEARNING SKP26 JUN</t>
  </si>
  <si>
    <t>JHQ2026000642</t>
  </si>
  <si>
    <t>600000999</t>
  </si>
  <si>
    <t>PERBEL GERAN LAKSANA PBNGUN 5 MODUL BARU SKP26 JUN</t>
  </si>
  <si>
    <t>JHQ2026000643</t>
  </si>
  <si>
    <t>600001000</t>
  </si>
  <si>
    <t>PERBEL GERAN PERKHID MELAKSANA PRGM SFERA CIDB JUN</t>
  </si>
  <si>
    <t>JHQ2026000645</t>
  </si>
  <si>
    <t>VHQ2026004103</t>
  </si>
  <si>
    <t>4500027861</t>
  </si>
  <si>
    <t>600001011</t>
  </si>
  <si>
    <t>PERBEL GRAN MENGURUS DELEGASI CIDB KE LAS VEGAS-6</t>
  </si>
  <si>
    <t>JHQ2026000651</t>
  </si>
  <si>
    <t>VHQ2026004431</t>
  </si>
  <si>
    <t>4500027880</t>
  </si>
  <si>
    <t>600001012</t>
  </si>
  <si>
    <t>PERBEL GERAN OPS&amp;SLGGRA 1&amp;9 RMH CTH IBS JUN</t>
  </si>
  <si>
    <t>JHQ2026000652</t>
  </si>
  <si>
    <t>VHQ2026004379</t>
  </si>
  <si>
    <t>4500027881</t>
  </si>
  <si>
    <t>600001013</t>
  </si>
  <si>
    <t>PERBEL GERAN PGURUSN DIRECTORI ORANGE BOOK26 JUN</t>
  </si>
  <si>
    <t>JHQ2026000653</t>
  </si>
  <si>
    <t>20260204</t>
  </si>
  <si>
    <t>510000717</t>
  </si>
  <si>
    <t>A72209</t>
  </si>
  <si>
    <t>20260264</t>
  </si>
  <si>
    <t>510001043</t>
  </si>
  <si>
    <t>GERAN PENGANJURAN PERINGKAT AKHIR WSMB 2026-1</t>
  </si>
  <si>
    <t>GERAN PRNGKT AKHIR WSMB-1</t>
  </si>
  <si>
    <t>VHQ2026002780</t>
  </si>
  <si>
    <t>4500027482</t>
  </si>
  <si>
    <t>600000826</t>
  </si>
  <si>
    <t>PERBEL GERAN PROGRAM PERANTISAN IND PBINA26 APR</t>
  </si>
  <si>
    <t>PBELANJAAN GERAN CIDBTECH</t>
  </si>
  <si>
    <t>JHQ2026000569</t>
  </si>
  <si>
    <t>600000919</t>
  </si>
  <si>
    <t>PERBEL GERAN PROGRAM PERANTISAN IND PBINA26 MEI</t>
  </si>
  <si>
    <t>JHQ2026000607</t>
  </si>
  <si>
    <t>600001001</t>
  </si>
  <si>
    <t>PERBEL GERAN PROGRAM PERANTISAN IND PBINA26 JUN</t>
  </si>
  <si>
    <t>JHQ2026000646</t>
  </si>
  <si>
    <t>Entry Date</t>
  </si>
  <si>
    <t>Reference</t>
  </si>
  <si>
    <t>Assignment</t>
  </si>
  <si>
    <t>Document Number</t>
  </si>
  <si>
    <t>Invoice reference</t>
  </si>
  <si>
    <t>Document Type</t>
  </si>
  <si>
    <t>Document Date</t>
  </si>
  <si>
    <t>Posting Date</t>
  </si>
  <si>
    <t>Posting period</t>
  </si>
  <si>
    <t>Year/month</t>
  </si>
  <si>
    <t>Fiscal Year</t>
  </si>
  <si>
    <t>Posting Key</t>
  </si>
  <si>
    <t>Amount in local currency</t>
  </si>
  <si>
    <t>Local Currency</t>
  </si>
  <si>
    <t>Fund</t>
  </si>
  <si>
    <t>Funds Center</t>
  </si>
  <si>
    <t>Cost Center</t>
  </si>
  <si>
    <t>Profit Center</t>
  </si>
  <si>
    <t>G/L Account</t>
  </si>
  <si>
    <t>Commitment item</t>
  </si>
  <si>
    <t>Text</t>
  </si>
  <si>
    <t>Document Header Text</t>
  </si>
  <si>
    <t>User Name</t>
  </si>
  <si>
    <t>Ref.key (header) 1</t>
  </si>
  <si>
    <t>Reference Key 3</t>
  </si>
  <si>
    <t>Supplier</t>
  </si>
  <si>
    <t>LEGEND</t>
  </si>
  <si>
    <t>BB</t>
  </si>
  <si>
    <t>REVERSAL</t>
  </si>
  <si>
    <t>ADV</t>
  </si>
  <si>
    <t>BELJ</t>
  </si>
  <si>
    <t>Row Labels</t>
  </si>
  <si>
    <t>Grand Total</t>
  </si>
  <si>
    <t>Column Labels</t>
  </si>
  <si>
    <t>Sum of Amount in local currency</t>
  </si>
  <si>
    <t>NOTED</t>
  </si>
  <si>
    <t>A72101 Total</t>
  </si>
  <si>
    <t>A72102 Total</t>
  </si>
  <si>
    <t>A72103 Total</t>
  </si>
  <si>
    <t>A72104 Total</t>
  </si>
  <si>
    <t>A72201 Total</t>
  </si>
  <si>
    <t>A72202 Total</t>
  </si>
  <si>
    <t>A72203 Total</t>
  </si>
  <si>
    <t>A72204 Total</t>
  </si>
  <si>
    <t>A72205 Total</t>
  </si>
  <si>
    <t>A72206 Total</t>
  </si>
  <si>
    <t>A72207 Total</t>
  </si>
  <si>
    <t>A72209 Total</t>
  </si>
  <si>
    <t>Pendahuluan CIDB Holdings Sdn Bhd</t>
  </si>
  <si>
    <t>Pendahuluan CIDB Digital Sdn Bhd</t>
  </si>
  <si>
    <t>Pendahuluan CREAM</t>
  </si>
  <si>
    <t>Pendahuluan CLAB</t>
  </si>
  <si>
    <t>JUMLAH PENDAHULUAN SYARIKAT SUBSIDIARI</t>
  </si>
  <si>
    <t>PENDAHULUAN SYARIKAT SUB-SUBSIDIARI</t>
  </si>
  <si>
    <t>Pendahuluan ABM Selangor S/B</t>
  </si>
  <si>
    <t>Pendahuluan ABM Johor S/B</t>
  </si>
  <si>
    <t>Pendahuluan ABM Utara S/B</t>
  </si>
  <si>
    <t>Pendahuluan ABM Terengganu S/B</t>
  </si>
  <si>
    <t>Pendahuluan ABM Sabah S/B</t>
  </si>
  <si>
    <t>Pendahuluan ABM Sarawak S/B</t>
  </si>
  <si>
    <t>Pendahuluan CIDB IBS S/B</t>
  </si>
  <si>
    <t>Pendahuluan CIDB Technologies S/B</t>
  </si>
  <si>
    <t>JUMLAH</t>
  </si>
  <si>
    <t>BEZA</t>
  </si>
  <si>
    <t xml:space="preserve"> CIDB Holdings Sdn Bhd</t>
  </si>
  <si>
    <t xml:space="preserve"> CREAM</t>
  </si>
  <si>
    <t xml:space="preserve"> CLAB</t>
  </si>
  <si>
    <t xml:space="preserve"> ABM Selangor Sdn Bhd</t>
  </si>
  <si>
    <t xml:space="preserve"> ABM Johor Sdn Bhd</t>
  </si>
  <si>
    <t xml:space="preserve"> ABM Utara Sdn Bhd</t>
  </si>
  <si>
    <t xml:space="preserve"> ABM Terengganu Sdn Bhd</t>
  </si>
  <si>
    <t xml:space="preserve"> ABM Sabah Sdn Bhd</t>
  </si>
  <si>
    <t xml:space="preserve"> ABM Sarawak Sdn Bhd</t>
  </si>
  <si>
    <t xml:space="preserve"> CIDB IBS Sdn Bhd</t>
  </si>
  <si>
    <t xml:space="preserve"> CIDB Technologies Sdn Bhd</t>
  </si>
  <si>
    <t>BTM</t>
  </si>
  <si>
    <t>BPKB</t>
  </si>
  <si>
    <t>BPT</t>
  </si>
  <si>
    <t>BPS</t>
  </si>
  <si>
    <t>BPKPB</t>
  </si>
  <si>
    <t>BLA</t>
  </si>
  <si>
    <t>BPB</t>
  </si>
  <si>
    <t>BPK</t>
  </si>
  <si>
    <t>NAMA</t>
  </si>
  <si>
    <t>PTJ</t>
  </si>
  <si>
    <t xml:space="preserve"> CIDB Digital Sdn Bhd</t>
  </si>
  <si>
    <t>PEMBERIAN</t>
  </si>
  <si>
    <t>BAYAR BALIK</t>
  </si>
  <si>
    <t>PERBELANJAAN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</si>
</sst>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6" x14ac:knownFonts="1">
    <font>
      <sz val="10"/>
      <name val="Arial"/>
    </font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4" fontId="0" fillId="5" borderId="0" xfId="0" applyNumberFormat="1" applyFill="1" applyAlignment="1">
      <alignment horizontal="right"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43" fontId="0" fillId="0" borderId="0" xfId="0" applyNumberFormat="1" applyAlignment="1">
      <alignment vertical="top"/>
    </xf>
    <xf numFmtId="0" fontId="0" fillId="6" borderId="0" xfId="0" applyFill="1" applyAlignment="1">
      <alignment vertical="top"/>
    </xf>
    <xf numFmtId="0" fontId="0" fillId="0" borderId="0" xfId="0" applyFill="1" applyAlignment="1">
      <alignment vertical="top"/>
    </xf>
    <xf numFmtId="0" fontId="0" fillId="7" borderId="0" xfId="0" applyFill="1" applyAlignment="1">
      <alignment vertical="top"/>
    </xf>
    <xf numFmtId="43" fontId="0" fillId="5" borderId="0" xfId="0" applyNumberFormat="1" applyFill="1" applyAlignment="1">
      <alignment vertical="top"/>
    </xf>
    <xf numFmtId="0" fontId="3" fillId="0" borderId="0" xfId="0" applyFont="1" applyAlignment="1">
      <alignment vertical="top"/>
    </xf>
    <xf numFmtId="43" fontId="0" fillId="0" borderId="0" xfId="1" applyFont="1" applyAlignment="1">
      <alignment horizontal="center" vertical="top"/>
    </xf>
    <xf numFmtId="43" fontId="4" fillId="0" borderId="0" xfId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4" fontId="0" fillId="0" borderId="0" xfId="1" applyNumberFormat="1" applyFont="1" applyAlignment="1">
      <alignment vertical="top"/>
    </xf>
    <xf numFmtId="164" fontId="0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8" borderId="0" xfId="0" applyFont="1" applyFill="1" applyAlignment="1">
      <alignment horizontal="center" vertical="top"/>
    </xf>
    <xf numFmtId="0" fontId="4" fillId="8" borderId="0" xfId="0" applyFont="1" applyFill="1" applyAlignment="1">
      <alignment vertical="top"/>
    </xf>
    <xf numFmtId="43" fontId="4" fillId="8" borderId="0" xfId="1" applyFont="1" applyFill="1" applyAlignment="1">
      <alignment vertical="top"/>
    </xf>
    <xf numFmtId="0" fontId="0" fillId="7" borderId="1" xfId="0" applyFill="1" applyBorder="1" applyAlignment="1">
      <alignment vertical="top"/>
    </xf>
    <xf numFmtId="0" fontId="3" fillId="7" borderId="1" xfId="0" applyFont="1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0" borderId="0" xfId="0" applyFont="1"/>
    <xf numFmtId="4" fontId="3" fillId="0" borderId="0" xfId="0" applyNumberFormat="1" applyFont="1" applyAlignment="1">
      <alignment horizontal="right" vertical="top"/>
    </xf>
  </cellXfs>
  <cellStyles count="2">
    <cellStyle name="Comma" xfId="1" builtinId="3"/>
    <cellStyle name="Normal" xfId="0" builtinId="0"/>
  </cellStyles>
  <dxfs count="1"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aya Ahmad" refreshedDate="46227.913071643517" createdVersion="8" refreshedVersion="8" minRefreshableVersion="3" recordCount="278" xr:uid="{E02C5D02-F700-4ADF-B4F2-F2E8AFB5E3EF}">
  <cacheSource type="worksheet">
    <worksheetSource ref="M1:T279" sheet="ALL"/>
  </cacheSource>
  <cacheFields count="8">
    <cacheField name="Amount in local currency" numFmtId="0">
      <sharedItems containsSemiMixedTypes="0" containsString="0" containsNumber="1" minValue="-5360125.5999999996" maxValue="20340000"/>
    </cacheField>
    <cacheField name="LEGEND" numFmtId="4">
      <sharedItems count="4">
        <s v="BB"/>
        <s v="ADV"/>
        <s v="BELJ"/>
        <s v="REVERSAL"/>
      </sharedItems>
    </cacheField>
    <cacheField name="Text" numFmtId="0">
      <sharedItems containsBlank="1"/>
    </cacheField>
    <cacheField name="Document Header Text" numFmtId="0">
      <sharedItems containsBlank="1"/>
    </cacheField>
    <cacheField name="G/L Account" numFmtId="0">
      <sharedItems count="12">
        <s v="A72101"/>
        <s v="A72102"/>
        <s v="A72103"/>
        <s v="A72104"/>
        <s v="A72201"/>
        <s v="A72202"/>
        <s v="A72203"/>
        <s v="A72204"/>
        <s v="A72205"/>
        <s v="A72206"/>
        <s v="A72207"/>
        <s v="A72209"/>
      </sharedItems>
    </cacheField>
    <cacheField name="Local Currency" numFmtId="0">
      <sharedItems containsBlank="1"/>
    </cacheField>
    <cacheField name="Fund" numFmtId="0">
      <sharedItems containsBlank="1"/>
    </cacheField>
    <cacheField name="Funds Center" numFmtId="0">
      <sharedItems count="8">
        <s v="10150009"/>
        <s v="10170003"/>
        <s v="10170004"/>
        <s v="10150008"/>
        <s v="10130007"/>
        <s v="10140007"/>
        <s v="10120002"/>
        <s v="1014000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n v="-5400"/>
    <x v="0"/>
    <s v="PMLGN GRN MNGURUS &amp; MLRS PBLN &amp; PBGN INFRA DIGITAL"/>
    <s v="PMLGN GRN"/>
    <x v="0"/>
    <s v="RM"/>
    <s v="KWM"/>
    <x v="0"/>
  </r>
  <r>
    <n v="-11174.59"/>
    <x v="0"/>
    <s v="PMLGN GERAN PERALATAN SCAFFOLDING UTK LKK&amp;PKK"/>
    <s v="PMLGN GRN"/>
    <x v="0"/>
    <s v="RM"/>
    <s v="KWM"/>
    <x v="0"/>
  </r>
  <r>
    <n v="-4989.6000000000004"/>
    <x v="0"/>
    <s v="PMLGN GRN ALT PRG LATIHAN LKK &amp; PKK 2025-1"/>
    <s v="PMLGN GRN"/>
    <x v="0"/>
    <s v="RM"/>
    <s v="KWM"/>
    <x v="0"/>
  </r>
  <r>
    <n v="15255000"/>
    <x v="1"/>
    <s v="GERAN LTIHAN KMPETENSI KMAHIRAN BELIA &amp; PB 2026-1"/>
    <s v=""/>
    <x v="0"/>
    <s v="RM"/>
    <s v="KWM"/>
    <x v="0"/>
  </r>
  <r>
    <n v="720000"/>
    <x v="1"/>
    <s v="GERAN PGRUSN PEMBGNN PELAN STRATEGIK TVET- 3"/>
    <s v="GERAN PGRUSN STRATEGIK"/>
    <x v="0"/>
    <s v="RM"/>
    <s v="KWM"/>
    <x v="1"/>
  </r>
  <r>
    <n v="1900000"/>
    <x v="1"/>
    <s v="GERAN PBGNN BHN PGJRN SERTA SOALAN PLKK2025/2026-1"/>
    <s v=""/>
    <x v="0"/>
    <s v="RM"/>
    <s v="KWM"/>
    <x v="1"/>
  </r>
  <r>
    <n v="150000"/>
    <x v="1"/>
    <s v="GERAN PMBGN EKOSSTEM KTKR KRJA PMULIHN&amp;PMULIHARN-1"/>
    <s v="GERAN PMULIHN&amp;PMULIHARN-1"/>
    <x v="0"/>
    <s v="RM"/>
    <s v="KWM"/>
    <x v="2"/>
  </r>
  <r>
    <n v="370000"/>
    <x v="1"/>
    <s v="GERAN PROSES PNDAFTRN KONTR, SCORE &amp; MCORE - 1"/>
    <s v="PDFTRN KNTR SCORE,MCORE-1"/>
    <x v="0"/>
    <s v="RM"/>
    <s v="KWM"/>
    <x v="3"/>
  </r>
  <r>
    <n v="700000"/>
    <x v="1"/>
    <s v="GERAN MODUL PEMBELAJARAN &amp; SET SOALAN SKP 2026 - 1"/>
    <s v="GERAN CIDB HOLDINGS"/>
    <x v="0"/>
    <s v="RM"/>
    <s v="KWM"/>
    <x v="2"/>
  </r>
  <r>
    <n v="60000"/>
    <x v="1"/>
    <s v="GERAN KEMASKINI KOD,DESKRIPSI, SYARAT PENDF KONT-1"/>
    <s v="GERAN KPRLUAN PENDF KON-1"/>
    <x v="0"/>
    <s v="RM"/>
    <s v="KWM"/>
    <x v="2"/>
  </r>
  <r>
    <n v="80000"/>
    <x v="1"/>
    <s v="GERAN PRGM PSIJILN ANTI-BRIBERY (ABMS) ISO37001-1"/>
    <s v="GERAN ABMS ISO37001-1"/>
    <x v="0"/>
    <s v="RM"/>
    <s v="KWM"/>
    <x v="2"/>
  </r>
  <r>
    <n v="175000"/>
    <x v="1"/>
    <s v="GERAN MODUL SCORE BERASASKAN PARAMETER THN 2026-1"/>
    <s v="GERAN MODUL SCORE -1"/>
    <x v="0"/>
    <s v="RM"/>
    <s v="KWM"/>
    <x v="2"/>
  </r>
  <r>
    <n v="116000"/>
    <x v="1"/>
    <s v="GERAN PGURSAN &amp; PLAKSANAN KNVESNYEN KONT 2026-1"/>
    <s v="GERAN PLASANAN KNVENSYN-1"/>
    <x v="0"/>
    <s v="RM"/>
    <s v="KWM"/>
    <x v="2"/>
  </r>
  <r>
    <n v="380000"/>
    <x v="1"/>
    <s v="GERAN PELAKSANAN PRGM TVET SKILLTECHPRENEUR -1"/>
    <s v="GERAN TVET S/TECHPRENUR-1"/>
    <x v="0"/>
    <s v="RM"/>
    <s v="KWM"/>
    <x v="2"/>
  </r>
  <r>
    <n v="238000"/>
    <x v="1"/>
    <s v="GERAN TTT &amp; TTA TENAGA PENGAJAR PENILAIN 2026-1"/>
    <s v="GERAN TTT &amp; TTA -1"/>
    <x v="0"/>
    <s v="RM"/>
    <s v="KWM"/>
    <x v="1"/>
  </r>
  <r>
    <n v="380000"/>
    <x v="1"/>
    <s v="GERAN PRGM JELAJAH KONTRAKTOR CEKAP+ 2026 -1"/>
    <s v="GRAN JELAJAH KONT CEKAP-1"/>
    <x v="0"/>
    <s v="RM"/>
    <s v="KWM"/>
    <x v="2"/>
  </r>
  <r>
    <n v="781410.04"/>
    <x v="1"/>
    <s v="GERAN ALATAN PEMASANGAN PERANCAH PRGM LKK&amp;PKK - 4"/>
    <s v="GERAN CIDB HOLDINGS"/>
    <x v="0"/>
    <s v="RM"/>
    <s v="KWM"/>
    <x v="0"/>
  </r>
  <r>
    <n v="546345"/>
    <x v="1"/>
    <s v="GERAN LAKSANA AKTVT VERIFIKASI BHN BINA JDUAL4-JAN"/>
    <s v="GERAN CIDB HOLDINGS 1/26"/>
    <x v="0"/>
    <s v="RM"/>
    <s v="KWM"/>
    <x v="4"/>
  </r>
  <r>
    <n v="20340000"/>
    <x v="1"/>
    <s v="GERAN LTIHAN KMPETENSI KMAHIRAN BELIA &amp; PB 2026-2"/>
    <s v="GERAN CIDB HOLDINGS"/>
    <x v="0"/>
    <s v="RM"/>
    <s v="KWM"/>
    <x v="0"/>
  </r>
  <r>
    <n v="165000"/>
    <x v="1"/>
    <s v="GERAN PENSIJILAN BG SIJIL KOMPETENSI KEMAHIRAN-1"/>
    <s v="GERAN SJIL KMHR KMPTNSI-1"/>
    <x v="0"/>
    <s v="RM"/>
    <s v="KWM"/>
    <x v="1"/>
  </r>
  <r>
    <n v="365000"/>
    <x v="1"/>
    <s v="GERAN MJLS GRADUASI ABM&amp;CIDB TECH 2026 -1"/>
    <s v="GERAN GRDSI ABM&amp;CIDBTEC-1"/>
    <x v="0"/>
    <s v="RM"/>
    <s v="KWM"/>
    <x v="0"/>
  </r>
  <r>
    <n v="300000"/>
    <x v="1"/>
    <s v="GERAN PMBGNN VENDOR GLC KONTRAKTOR G1-G4-1"/>
    <s v="GRAN VDOR GLC KONTG1-G4-1"/>
    <x v="0"/>
    <s v="RM"/>
    <s v="KWM"/>
    <x v="2"/>
  </r>
  <r>
    <n v="137529.60000000001"/>
    <x v="1"/>
    <s v="GERAN PRGM PMBGNN KEPAKARAN PKPP &amp; TITU 2026-1"/>
    <s v="GERAN PKPP &amp; TITU 2026-1"/>
    <x v="0"/>
    <s v="RM"/>
    <s v="KWM"/>
    <x v="1"/>
  </r>
  <r>
    <n v="250000"/>
    <x v="1"/>
    <s v="GERAN PENYELARAS KERJA SELENGGARA ALATAN DIGITAL-1"/>
    <s v="SELGGARA ALATAN DIGITAL-1"/>
    <x v="0"/>
    <s v="RM"/>
    <s v="KWM"/>
    <x v="0"/>
  </r>
  <r>
    <n v="100000"/>
    <x v="1"/>
    <s v="GERAN PRGM LTHN PEGAWAI PENILAI QLASSIC UTK CTMO-1"/>
    <s v="GERAN QLASSIC UTK CTMO-1"/>
    <x v="0"/>
    <s v="RM"/>
    <s v="KWM"/>
    <x v="0"/>
  </r>
  <r>
    <n v="425600"/>
    <x v="1"/>
    <s v="GERAN PYELARAS BHN DIGITAL UTK ABM &amp; CIDBTECH-1"/>
    <s v="GERAN PNYELARAS BHN DIG-1"/>
    <x v="0"/>
    <s v="RM"/>
    <s v="KWM"/>
    <x v="1"/>
  </r>
  <r>
    <n v="62441.599999999999"/>
    <x v="1"/>
    <s v="GERAN KEMASKINI BUKU TATACARA MGIMPORT &amp; SOP COA-1"/>
    <s v="GERAN SOP &amp; COA BUKU-1"/>
    <x v="0"/>
    <s v="RM"/>
    <s v="KWM"/>
    <x v="4"/>
  </r>
  <r>
    <n v="376029"/>
    <x v="1"/>
    <s v="GERAN LAKSANA AKTVT VERIFIKASI BHN BINA JDUAL4-FEB"/>
    <s v="GERAN CIDB HOLDINGS 2/26"/>
    <x v="0"/>
    <s v="RM"/>
    <s v="KWM"/>
    <x v="4"/>
  </r>
  <r>
    <n v="370000"/>
    <x v="1"/>
    <s v="GERAN PROSES PNDAFTRN KONTR, SCORE &amp; MCORE - 2"/>
    <s v="PDFTRN KNTR SCORE,MCORE-2"/>
    <x v="0"/>
    <s v="RM"/>
    <s v="KWM"/>
    <x v="3"/>
  </r>
  <r>
    <n v="86998.25"/>
    <x v="1"/>
    <s v="GERAN MANUAL OPS PMANTAUN PRGM AKREDITASI 2025-2"/>
    <s v="GERAN PRGM AKREDITASI25-2"/>
    <x v="0"/>
    <s v="RM"/>
    <s v="KWM"/>
    <x v="0"/>
  </r>
  <r>
    <n v="434538"/>
    <x v="1"/>
    <s v="GERAN LAKSANA AKTVT VERIFIKASI BHN BINA JDUAL4-MAC"/>
    <s v="GERAN CIDB HOLDINGS 3/26"/>
    <x v="0"/>
    <s v="RM"/>
    <s v="KWM"/>
    <x v="4"/>
  </r>
  <r>
    <n v="165000"/>
    <x v="1"/>
    <s v="GERAN PENSIJILAN BG SIJIL KOMPETENSI KEMAHIRAN-2"/>
    <s v="GERAN SJIL KMHR KMPTNSI-2"/>
    <x v="0"/>
    <s v="RM"/>
    <s v="KWM"/>
    <x v="1"/>
  </r>
  <r>
    <n v="295500"/>
    <x v="1"/>
    <s v="GERAN LKSANA FUNGSI CCA&amp;SLGGARA D/BOARD2026/2027-1"/>
    <s v="GERAN CCA&amp;D/BOARD-1"/>
    <x v="0"/>
    <s v="RM"/>
    <s v="KWM"/>
    <x v="2"/>
  </r>
  <r>
    <n v="40000"/>
    <x v="1"/>
    <s v="GERAN PLATFORM SIST PNILAIAN PRESTASI KONT&amp;SCORE-1"/>
    <s v="GERAN SIST PRSTASI KONT-1"/>
    <x v="0"/>
    <s v="RM"/>
    <s v="KWM"/>
    <x v="2"/>
  </r>
  <r>
    <n v="-546345"/>
    <x v="2"/>
    <s v="PERBEL GERAN AKTVT VERIFIKASI BHN BINA JDUAL4-JAN"/>
    <s v="PERBELANJAAN GERAN CIDBH"/>
    <x v="0"/>
    <s v="RM"/>
    <s v="KWM"/>
    <x v="4"/>
  </r>
  <r>
    <n v="-63333.34"/>
    <x v="2"/>
    <s v="PERBEL GERAN PBGN BHN PGJR SRTA SOAL PLKK25/26 JAN"/>
    <s v="PERBELANJAAN GERAN CIDBH"/>
    <x v="0"/>
    <s v="RM"/>
    <s v="KWM"/>
    <x v="1"/>
  </r>
  <r>
    <n v="-123378.34"/>
    <x v="2"/>
    <s v="PERBEL GERAN PBGN BHN PGJR SRTA SOAL PLKK25/26 FEB"/>
    <s v="PERBELANJAAN GERAN CIDBH"/>
    <x v="0"/>
    <s v="RM"/>
    <s v="KWM"/>
    <x v="1"/>
  </r>
  <r>
    <n v="-121797.11"/>
    <x v="2"/>
    <s v="PERBEL GERAN PBGN BHN PGJR SRTA SOAL PLKK25/26 MAC"/>
    <s v="PERBELANJAAN GERAN CIDBH"/>
    <x v="0"/>
    <s v="RM"/>
    <s v="KWM"/>
    <x v="1"/>
  </r>
  <r>
    <n v="-6666.7"/>
    <x v="2"/>
    <s v="PERBEL GERAN EKOSTEM KTKR KRJA PMULIH&amp;PMULIHAR FEB"/>
    <s v="PERBELANJAAN GERAN CIDBH"/>
    <x v="0"/>
    <s v="RM"/>
    <s v="KWM"/>
    <x v="2"/>
  </r>
  <r>
    <n v="-6666.7"/>
    <x v="2"/>
    <s v="PERBEL GERAN EKOSTEM KTKR KRJA PMULIH&amp;PMULIHAR MAC"/>
    <s v="PERBELANJAAN GERAN CIDBH"/>
    <x v="0"/>
    <s v="RM"/>
    <s v="KWM"/>
    <x v="2"/>
  </r>
  <r>
    <n v="-22611.27"/>
    <x v="2"/>
    <s v="PERBEL GERAN 10MODUL PBELAJARN&amp;SET SOAL SKP'26 FEB"/>
    <s v="PERBELANJAAN GERAN CIDBH"/>
    <x v="0"/>
    <s v="RM"/>
    <s v="KWM"/>
    <x v="2"/>
  </r>
  <r>
    <n v="-88278.13"/>
    <x v="2"/>
    <s v="PERBEL GERAN 10MODUL PBELAJARN&amp;SET SOAL SKP'26 MAC"/>
    <s v="PERBELANJAAN GERAN CIDBH"/>
    <x v="0"/>
    <s v="RM"/>
    <s v="KWM"/>
    <x v="2"/>
  </r>
  <r>
    <n v="-26052.86"/>
    <x v="2"/>
    <s v="PERBE GERAN KMSKN KOD,DSKRIPSI,SYRT PENDF KONT MAC"/>
    <s v="PERBELANJAAN GERAN CIDBH"/>
    <x v="0"/>
    <s v="RM"/>
    <s v="KWM"/>
    <x v="2"/>
  </r>
  <r>
    <n v="-8000"/>
    <x v="2"/>
    <s v="PERBEL GERAN PSIJILN ANTIBRIBERY(ABMS)ISO37001 MAC"/>
    <s v="PERBELANJAAN GERAN CIDBH"/>
    <x v="0"/>
    <s v="RM"/>
    <s v="KWM"/>
    <x v="2"/>
  </r>
  <r>
    <n v="-1256.9000000000001"/>
    <x v="2"/>
    <s v="PERBEL GERAN PGURSAN&amp;PLAKSANA KNVSNYEN KONT26 MAC"/>
    <s v="PERBELANJAAN GERAN CIDBH"/>
    <x v="0"/>
    <s v="RM"/>
    <s v="KWM"/>
    <x v="2"/>
  </r>
  <r>
    <n v="-8700"/>
    <x v="2"/>
    <s v="PERBEL GERAN PLAKSANA PRGM TVET SKILLTCHPRNUR FEB"/>
    <s v="PERBELANJAAN GERAN CIDBH"/>
    <x v="0"/>
    <s v="RM"/>
    <s v="KWM"/>
    <x v="2"/>
  </r>
  <r>
    <n v="-16800"/>
    <x v="2"/>
    <s v="PERBEL GERAN PRGM JELAJAH KONTRAKTOR CEKAP+26 FEB"/>
    <s v="PERBELANJAAN GERAN CIDBH"/>
    <x v="0"/>
    <s v="RM"/>
    <s v="KWM"/>
    <x v="2"/>
  </r>
  <r>
    <n v="-4893801.5999999996"/>
    <x v="2"/>
    <s v="PERBEL LTIHAN KMPETENSI KMAHIRAN BELIA &amp; PB-JAN'26"/>
    <s v="PERBELANJAAN GERAN CIDBH"/>
    <x v="0"/>
    <s v="RM"/>
    <s v="KWM"/>
    <x v="0"/>
  </r>
  <r>
    <n v="-5360125.5999999996"/>
    <x v="2"/>
    <s v="PERBEL LTIHAN KMPETENSI KMAHIRAN BELIA &amp; PB-FEB'26"/>
    <s v="PERBELANJAAN GERAN CIDBH"/>
    <x v="0"/>
    <s v="RM"/>
    <s v="KWM"/>
    <x v="0"/>
  </r>
  <r>
    <n v="-4585488.4000000004"/>
    <x v="2"/>
    <s v="PERBEL LTIHAN KMPETENSI KMAHIRAN BELIA &amp; PB-MAC'26"/>
    <s v="PERBELANJAAN GERAN CIDBH"/>
    <x v="0"/>
    <s v="RM"/>
    <s v="KWM"/>
    <x v="0"/>
  </r>
  <r>
    <n v="-781410.04"/>
    <x v="2"/>
    <s v="PERBEL GERAN PEMB. PERALATAN, MESIN LKK&amp;PKK-MAC'26"/>
    <s v="PERBELANJAAN GERAN CIDBH"/>
    <x v="0"/>
    <s v="RM"/>
    <s v="KWM"/>
    <x v="0"/>
  </r>
  <r>
    <n v="-376029"/>
    <x v="2"/>
    <s v="PERBEL GERAN AKTVT VERIFIKASI BHN BINA JDUAL4-FEB"/>
    <s v="PERBELANJAAN GERAN CIDBH"/>
    <x v="0"/>
    <s v="RM"/>
    <s v="KWM"/>
    <x v="4"/>
  </r>
  <r>
    <n v="-434538"/>
    <x v="2"/>
    <s v="PERBEL GERAN AKTVT VERIFIKASI BHN BINA JDUAL4-MAC"/>
    <s v="PERBELANJAAN GERAN CIDBH"/>
    <x v="0"/>
    <s v="RM"/>
    <s v="KWM"/>
    <x v="4"/>
  </r>
  <r>
    <n v="-391764.08"/>
    <x v="2"/>
    <s v="PERBEL GERAN PBGN BHN PGJR SRTA SOAL PLKK25/26 APR"/>
    <s v="PERBELANJAAN GERAN CIDBH"/>
    <x v="0"/>
    <s v="RM"/>
    <s v="KWM"/>
    <x v="1"/>
  </r>
  <r>
    <n v="-12485.67"/>
    <x v="2"/>
    <s v="PERBEL GERAN EKOSTEM KTKR KRJA PMULIH&amp;PMULIHAR APR"/>
    <s v="PERBELANJAAN GERAN CIDBH"/>
    <x v="0"/>
    <s v="RM"/>
    <s v="KWM"/>
    <x v="2"/>
  </r>
  <r>
    <n v="-323935"/>
    <x v="2"/>
    <s v="GERAN PROSES PNDAFTRN KONTR, SCORE &amp; MCORE JAN-APR"/>
    <s v="PERBELANJAAN GERAN CIDBH"/>
    <x v="0"/>
    <s v="RM"/>
    <s v="KWM"/>
    <x v="3"/>
  </r>
  <r>
    <n v="-230198.3"/>
    <x v="2"/>
    <s v="PERBEL GERAN 10MODUL PBELAJARN&amp;SET SOAL SKP'26 APR"/>
    <s v="PERBELANJAAN GERAN CIDBH"/>
    <x v="0"/>
    <s v="RM"/>
    <s v="KWM"/>
    <x v="2"/>
  </r>
  <r>
    <n v="-8000"/>
    <x v="2"/>
    <s v="PERBEL GERAN PSIJILN ANTIBRIBERY(ABMS)ISO37001 APR"/>
    <s v="PERBELANJAAN GERAN CIDBH"/>
    <x v="0"/>
    <s v="RM"/>
    <s v="KWM"/>
    <x v="2"/>
  </r>
  <r>
    <n v="-14258.41"/>
    <x v="2"/>
    <s v="PERBEL GERAN PGURSAN&amp;PLAKSANAN KVESNYEN KONT26 APR"/>
    <s v="PERBELANJAAN GERAN CIDBH"/>
    <x v="0"/>
    <s v="RM"/>
    <s v="KWM"/>
    <x v="2"/>
  </r>
  <r>
    <n v="-24635.51"/>
    <x v="2"/>
    <s v="PERBEL GERAN PGURSAN&amp;PLAKSANA KNVSNYEN KONT26 APR"/>
    <s v="PERBELANJAAN GERAN CIDBH"/>
    <x v="0"/>
    <s v="RM"/>
    <s v="KWM"/>
    <x v="2"/>
  </r>
  <r>
    <n v="-190454.28"/>
    <x v="2"/>
    <s v="PERBEL GERAN PLAKSANA PRGM TVET SKILLTCHPRNUR APR"/>
    <s v="PERBELANJAAN GERAN CIDBH"/>
    <x v="0"/>
    <s v="RM"/>
    <s v="KWM"/>
    <x v="2"/>
  </r>
  <r>
    <n v="-52526.559999999998"/>
    <x v="2"/>
    <s v="PERBEL GERAN PRGM JELAJAH KONTRAKTOR CEKAP+26 APR"/>
    <s v="PERBELANJAAN GERAN CIDBH"/>
    <x v="0"/>
    <s v="RM"/>
    <s v="KWM"/>
    <x v="2"/>
  </r>
  <r>
    <n v="-1977.32"/>
    <x v="2"/>
    <s v="PERBEL GERAN MJLS GRADUASI ABM&amp;CIDB TECH 2026 APR"/>
    <s v="PERBELANJAAN GERAN CIDBH"/>
    <x v="0"/>
    <s v="RM"/>
    <s v="KWM"/>
    <x v="0"/>
  </r>
  <r>
    <n v="-14225.76"/>
    <x v="2"/>
    <s v="PERBEL GERAN PBGNN VENDOR GLC KONTRAKTOR G1-G4 APR"/>
    <s v="PERBELANJAAN GERAN CIDBH"/>
    <x v="0"/>
    <s v="RM"/>
    <s v="KWM"/>
    <x v="2"/>
  </r>
  <r>
    <n v="-256835.42"/>
    <x v="2"/>
    <s v="PERBEL GERAN PBGN BHN PGJR SRTA SOAL PLKK25/26 MEI"/>
    <s v="PERBELANJAAN GERAN CIDBH"/>
    <x v="0"/>
    <s v="RM"/>
    <s v="KWM"/>
    <x v="1"/>
  </r>
  <r>
    <n v="-13387.21"/>
    <x v="2"/>
    <s v="PERBEL GERAN EKOSTEM KTKR KRJA PMULIH&amp;PMULIHAR MEI"/>
    <s v="PERBELANJAAN GERAN CIDBH"/>
    <x v="0"/>
    <s v="RM"/>
    <s v="KWM"/>
    <x v="2"/>
  </r>
  <r>
    <n v="-77175"/>
    <x v="2"/>
    <s v="GERAN PROSES PNDAFTRN KONTR, SCORE &amp; MCORE MEI"/>
    <s v="PERBELANJAAN GERAN CIDBH"/>
    <x v="0"/>
    <s v="RM"/>
    <s v="KWM"/>
    <x v="3"/>
  </r>
  <r>
    <n v="-82436.240000000005"/>
    <x v="2"/>
    <s v="PERBEL GERAN 10MODUL PBELAJARN&amp;SET SOAL SKP'26 MEI"/>
    <s v="PERBELANJAAN GERAN CIDBH"/>
    <x v="0"/>
    <s v="RM"/>
    <s v="KWM"/>
    <x v="2"/>
  </r>
  <r>
    <n v="-11000"/>
    <x v="2"/>
    <s v="PERBEL GERAN PSIJILN ANTIBRIBERY(ABMS)ISO37001 MEI"/>
    <s v="PERBELANJAAN GERAN CIDBH"/>
    <x v="0"/>
    <s v="RM"/>
    <s v="KWM"/>
    <x v="2"/>
  </r>
  <r>
    <n v="-76914.41"/>
    <x v="2"/>
    <s v="PERBEL GERAN PGURSAN&amp;PLAKSANAN KVESNYEN KONT26 MEI"/>
    <s v="PERBELANJAAN GERAN CIDBH"/>
    <x v="0"/>
    <s v="RM"/>
    <s v="KWM"/>
    <x v="2"/>
  </r>
  <r>
    <n v="-1500"/>
    <x v="2"/>
    <s v="PERBEL GERAN PGURSAN&amp;PLAKSANA KNVSNYEN KONT26 MEI"/>
    <s v="PERBELANJAAN GERAN CIDBH"/>
    <x v="0"/>
    <s v="RM"/>
    <s v="KWM"/>
    <x v="2"/>
  </r>
  <r>
    <n v="-22671.33"/>
    <x v="2"/>
    <s v="PERBEL GERAN PLAKSANA PRGM TVET SKILLTCHPRNUR MEI"/>
    <s v="PERBELANJAAN GERAN CIDBH"/>
    <x v="0"/>
    <s v="RM"/>
    <s v="KWM"/>
    <x v="2"/>
  </r>
  <r>
    <n v="-21503"/>
    <x v="2"/>
    <s v="PERBEL GERAN TTT&amp;TTA TENAGA PGAJAR PENILAIN26 MEI"/>
    <s v="PERBELANJAAN GERAN CIDBH"/>
    <x v="0"/>
    <s v="RM"/>
    <s v="KWM"/>
    <x v="1"/>
  </r>
  <r>
    <n v="-53840"/>
    <x v="2"/>
    <s v="PERBEL GERAN PRGM JELAJAH KONTRAKTOR CEKAP+26 MEI"/>
    <s v="PERBELANJAAN GERAN CIDBH"/>
    <x v="0"/>
    <s v="RM"/>
    <s v="KWM"/>
    <x v="2"/>
  </r>
  <r>
    <n v="-134726.20000000001"/>
    <x v="2"/>
    <s v="PERBEL GERAN MJLS GRADUASI ABM&amp;CIDB TECH 2026 MEI"/>
    <s v="PERBELANJAAN GERAN CIDBH"/>
    <x v="0"/>
    <s v="RM"/>
    <s v="KWM"/>
    <x v="0"/>
  </r>
  <r>
    <n v="-27238.98"/>
    <x v="2"/>
    <s v="PERBEL GERAN PRGM PBGN PAKAR PKPP &amp; TITU26 MEI"/>
    <s v="PERBELANJAAN GERAN CIDBH"/>
    <x v="0"/>
    <s v="RM"/>
    <s v="KWM"/>
    <x v="1"/>
  </r>
  <r>
    <n v="-118700"/>
    <x v="2"/>
    <s v="PERBEL GERAN KERJA SLNGGARA ALATAN DIGITAL MEI"/>
    <s v="PERBELANJAAN GERAN CIDBH"/>
    <x v="0"/>
    <s v="RM"/>
    <s v="KWM"/>
    <x v="0"/>
  </r>
  <r>
    <n v="-4839867.2"/>
    <x v="2"/>
    <s v="PERBEL LTIHAN KMPETENSI KMAHIRAN BELIA &amp; PB-APR'26"/>
    <s v="PERBELANJAAN GERAN CIDBH"/>
    <x v="0"/>
    <s v="RM"/>
    <s v="KWM"/>
    <x v="0"/>
  </r>
  <r>
    <n v="-4732575.6399999997"/>
    <x v="2"/>
    <s v="PERBEL LTIHAN KMPETENSI KMAHIRAN BELIA &amp; PB-MEI'26"/>
    <s v="PERBELANJAAN GERAN CIDBH"/>
    <x v="0"/>
    <s v="RM"/>
    <s v="KWM"/>
    <x v="0"/>
  </r>
  <r>
    <n v="-177223.97"/>
    <x v="2"/>
    <s v="PERBEL GERAN PBGN BHN PGJR SRTA SOAL PLKK25/26 JUN"/>
    <s v="PERBELANJAAN GERAN CIDBH"/>
    <x v="0"/>
    <s v="RM"/>
    <s v="KWM"/>
    <x v="1"/>
  </r>
  <r>
    <n v="-6666.67"/>
    <x v="2"/>
    <s v="PERBEL GERAN EKOSTEM KTKR KRJA PMULIH&amp;PMULIHAR JUN"/>
    <s v="PERBELANJAAN GERAN CIDBH"/>
    <x v="0"/>
    <s v="RM"/>
    <s v="KWM"/>
    <x v="2"/>
  </r>
  <r>
    <n v="-8000"/>
    <x v="2"/>
    <s v="PERBEL GERAN PSIJILN ANTIBRIBERY(ABMS)ISO37001 JUN"/>
    <s v="PERBELANJAAN GERAN CIDBH"/>
    <x v="0"/>
    <s v="RM"/>
    <s v="KWM"/>
    <x v="2"/>
  </r>
  <r>
    <n v="-22914.41"/>
    <x v="2"/>
    <s v="PERBEL GERAN PGURSAN&amp;PLAKSANAN KVESNYEN KONT26 JUN"/>
    <s v="PERBELANJAAN GERAN CIDBH"/>
    <x v="0"/>
    <s v="RM"/>
    <s v="KWM"/>
    <x v="2"/>
  </r>
  <r>
    <n v="-58289.77"/>
    <x v="2"/>
    <s v="PERBEL GERAN TTT&amp;TTA TENAGA PGAJAR PENILAIN26 JUN"/>
    <s v="PERBELANJAAN GERAN CIDBH"/>
    <x v="0"/>
    <s v="RM"/>
    <s v="KWM"/>
    <x v="1"/>
  </r>
  <r>
    <n v="-3799.2"/>
    <x v="2"/>
    <s v="PERBEL GERAN PRGM JELAJAH KONTRAKTOR CEKAP+26 JUN"/>
    <s v="PERBELANJAAN GERAN CIDBH"/>
    <x v="0"/>
    <s v="RM"/>
    <s v="KWM"/>
    <x v="2"/>
  </r>
  <r>
    <n v="-48756.6"/>
    <x v="2"/>
    <s v="PERBEL GERAN PSIJILAN SIJIL KPETENSI KEMAHIRAN JUN"/>
    <s v="PERBELANJAAN GERAN CIDBH"/>
    <x v="0"/>
    <s v="RM"/>
    <s v="KWM"/>
    <x v="1"/>
  </r>
  <r>
    <n v="-6278.36"/>
    <x v="2"/>
    <s v="PERBEL GERAN PRGM PBGN PAKAR PKPP &amp; TITU26 JUN"/>
    <s v="PERBELANJAAN GERAN CIDBH"/>
    <x v="0"/>
    <s v="RM"/>
    <s v="KWM"/>
    <x v="1"/>
  </r>
  <r>
    <n v="-79134"/>
    <x v="2"/>
    <s v="PERBEL GERAN KERJA SLNGGARA ALATAN DIGITAL JUN"/>
    <s v="PERBELANJAAN GERAN CIDBH"/>
    <x v="0"/>
    <s v="RM"/>
    <s v="KWM"/>
    <x v="0"/>
  </r>
  <r>
    <n v="-86998.25"/>
    <x v="2"/>
    <s v="PERBEL GERAN OPS PEMANTAUN PRGM AKREDITASI25 JUN"/>
    <s v="PERBELANJAAN GERAN CIDBH"/>
    <x v="0"/>
    <s v="RM"/>
    <s v="KWM"/>
    <x v="0"/>
  </r>
  <r>
    <n v="-4703675.74"/>
    <x v="2"/>
    <s v="PERBEL LTIHAN KMPETENSI KMAHIRAN BELIA &amp; PB-JUN'26"/>
    <s v="PERBELANJAAN GERAN CIDBH"/>
    <x v="0"/>
    <s v="RM"/>
    <s v="KWM"/>
    <x v="0"/>
  </r>
  <r>
    <n v="-5695"/>
    <x v="3"/>
    <s v="PMLGN BKI GRN BG PENGANJURAN JELAJAH PMBINAAN C4.0"/>
    <s v="GRN JELAJAH PMBINAAN C4.0"/>
    <x v="1"/>
    <s v="RM"/>
    <s v="KWM"/>
    <x v="5"/>
  </r>
  <r>
    <n v="1600000"/>
    <x v="1"/>
    <s v="GERAN PKHID. MLAKSANAKN PROGRAM LTIHAN BIM 2026-1"/>
    <s v="GERAN CIDB ECONS"/>
    <x v="1"/>
    <s v="RM"/>
    <s v="KWM"/>
    <x v="0"/>
  </r>
  <r>
    <n v="467000"/>
    <x v="1"/>
    <s v="GERAN PMBGNN BHN MGAJAR &amp; PBELAJAR SOAL BIM25/26-1"/>
    <s v="GERAN KMHRN BIM 25/26-1"/>
    <x v="1"/>
    <s v="RM"/>
    <s v="KWM"/>
    <x v="1"/>
  </r>
  <r>
    <n v="61250"/>
    <x v="1"/>
    <s v="GERAN OPRSI&amp;SLNGGRA OBJEK 3D BIM BG MYBIM LIB 25-3"/>
    <s v="GERAN PORTAL MYBIM LIB-3"/>
    <x v="1"/>
    <s v="RM"/>
    <s v="KWM"/>
    <x v="5"/>
  </r>
  <r>
    <n v="61250"/>
    <x v="1"/>
    <s v="GERAN OPERASI &amp; SELENGGARA PORTAL SMART 2025 - 3"/>
    <s v="GERAN PORTAL SMART-3"/>
    <x v="1"/>
    <s v="RM"/>
    <s v="KWM"/>
    <x v="5"/>
  </r>
  <r>
    <n v="250000"/>
    <x v="1"/>
    <s v="GERAN PEMBGNN SISTEM AI CHECKER PENILAIAN SKKP-1"/>
    <s v="GERAN SIST AI CHECKER -1"/>
    <x v="1"/>
    <s v="RM"/>
    <s v="KWM"/>
    <x v="0"/>
  </r>
  <r>
    <n v="1639627.33"/>
    <x v="1"/>
    <s v="GERAN PKHIDMATAN PUSAT PEMULIHAN BENCANA(DRC) 26-2"/>
    <s v="GERAN CIDB ECONS"/>
    <x v="1"/>
    <s v="RM"/>
    <s v="KWM"/>
    <x v="6"/>
  </r>
  <r>
    <n v="77644.83"/>
    <x v="1"/>
    <s v="GERAN PROGRAM PELAKSANAAN NBES DI DBKK &amp; MBKS - 4"/>
    <s v="GERAN NBES DBKK MBKS -4"/>
    <x v="1"/>
    <s v="RM"/>
    <s v="KWM"/>
    <x v="5"/>
  </r>
  <r>
    <n v="16848"/>
    <x v="1"/>
    <s v="GERAN OPERASI &amp; SELENGGARA PORTAL CONVINCE CIDB -5"/>
    <s v="GERAN PORTAL CONVINCE -5"/>
    <x v="1"/>
    <s v="RM"/>
    <s v="KWM"/>
    <x v="7"/>
  </r>
  <r>
    <n v="910000"/>
    <x v="1"/>
    <s v="GERAN MLAKSANAKN PRGRM LATIHAN&amp;PERANTISAN BIM'26-1"/>
    <s v="GERAN PRGM PERANTISAN BIM"/>
    <x v="1"/>
    <s v="RM"/>
    <s v="KWM"/>
    <x v="0"/>
  </r>
  <r>
    <n v="450000"/>
    <x v="1"/>
    <s v="GERAN LTHN PMBGNN &amp; PKASAAN KONT BIDANG BIM 2026-1"/>
    <s v="GERAN LTHN KONT DLM BIM-1"/>
    <x v="1"/>
    <s v="RM"/>
    <s v="KWM"/>
    <x v="2"/>
  </r>
  <r>
    <n v="56171.23"/>
    <x v="1"/>
    <s v="GERAN OPERASI &amp; SELENGGARA PORTAL CONVINCE CIDB -4"/>
    <s v="GERAN PORTAL CONVINCE -4"/>
    <x v="1"/>
    <s v="RM"/>
    <s v="KWM"/>
    <x v="7"/>
  </r>
  <r>
    <n v="10750"/>
    <x v="1"/>
    <s v="GERAN PENGANJURAN PERINGKAT AKHIR WSMB-1"/>
    <s v="GERAN PENGANJURAN WSMB-1"/>
    <x v="1"/>
    <s v="RM"/>
    <s v="KWM"/>
    <x v="0"/>
  </r>
  <r>
    <n v="61250"/>
    <x v="1"/>
    <s v="GERAN OPRSI&amp;SLNGGRA OBJEK 3D BIM BG MYBIM LIB 25-4"/>
    <s v="GERAN PORTAL MYBIM LIB-4"/>
    <x v="1"/>
    <s v="RM"/>
    <s v="KWM"/>
    <x v="5"/>
  </r>
  <r>
    <n v="61250"/>
    <x v="1"/>
    <s v="GERAN OPERASI &amp; SELENGGARA PORTAL SMART 2025 - 4"/>
    <s v="GERAN PORTAL SMART-4"/>
    <x v="1"/>
    <s v="RM"/>
    <s v="KWM"/>
    <x v="5"/>
  </r>
  <r>
    <n v="68000.289999999994"/>
    <x v="1"/>
    <s v="GERAN PERKHID. OPERASI &amp; SELENGGARA SISTEM NBES-1"/>
    <s v="GERAN OPS&amp;SLNGGARA NBES-1"/>
    <x v="1"/>
    <s v="RM"/>
    <s v="KWM"/>
    <x v="5"/>
  </r>
  <r>
    <n v="76600"/>
    <x v="1"/>
    <s v="GERAN SKONGAN TKNIKAL MYBIM CNTRE&amp;MYBIM SATELITE-4"/>
    <s v="GRAN MYBIM CNTR&amp;SATELIT-4"/>
    <x v="1"/>
    <s v="RM"/>
    <s v="KWM"/>
    <x v="5"/>
  </r>
  <r>
    <n v="110000"/>
    <x v="1"/>
    <s v="GERAN PERKHID. PENAMBAHBAIKAN PORTAL SMART CIDB-1"/>
    <s v="GERAN T/BAIK PORTAL-1"/>
    <x v="1"/>
    <s v="RM"/>
    <s v="KWM"/>
    <x v="5"/>
  </r>
  <r>
    <n v="-16848"/>
    <x v="2"/>
    <s v="PERBEL GERAN OPS&amp;SLNGGARA PORTAL CONVINCE CID"/>
    <s v="PERBELANJAAN GERAN ECONS."/>
    <x v="1"/>
    <s v="RM"/>
    <s v="KWM"/>
    <x v="7"/>
  </r>
  <r>
    <n v="-77644.83"/>
    <x v="2"/>
    <s v="PERBEL GERAN PRGM PELAKSANA NBES DBKK&amp;MBKS"/>
    <s v="PERBELANJAAN GERAN ECONS"/>
    <x v="1"/>
    <s v="RM"/>
    <s v="KWM"/>
    <x v="5"/>
  </r>
  <r>
    <n v="-280000"/>
    <x v="2"/>
    <s v="PERBEL GERAN MELAKSANA PRGM LTHN BIM2026 JAN"/>
    <s v="PERBELANJAAN GERAN ECONS"/>
    <x v="1"/>
    <s v="RM"/>
    <s v="KWM"/>
    <x v="0"/>
  </r>
  <r>
    <n v="-108000"/>
    <x v="2"/>
    <s v="PERBEL GERAN MELAKSANA PRGM LTHN BIM2026 FEB"/>
    <s v="PERBELANJAAN GERAN ECONS"/>
    <x v="1"/>
    <s v="RM"/>
    <s v="KWM"/>
    <x v="0"/>
  </r>
  <r>
    <n v="-80000"/>
    <x v="2"/>
    <s v="PERBEL GERAN MELAKSANA PRGM LTHN BIM2026 MAC"/>
    <s v="PERBELANJAAN GERAN ECONS"/>
    <x v="1"/>
    <s v="RM"/>
    <s v="KWM"/>
    <x v="0"/>
  </r>
  <r>
    <n v="-128245.7"/>
    <x v="2"/>
    <s v="PERBEL GERAN BHN MGAJAR&amp;BLJR SOAL BIM25/26 JAN-MAC"/>
    <s v="PRBELANJAN GERAN CIDB DIG"/>
    <x v="1"/>
    <s v="RM"/>
    <s v="KWM"/>
    <x v="1"/>
  </r>
  <r>
    <n v="-19577.599999999999"/>
    <x v="2"/>
    <s v="PERBEL GERAN PBGN SIST AI CHECKER PNILAIN SKKP FEB"/>
    <s v="PRBELANJAN GERAN CIDB DIG"/>
    <x v="1"/>
    <s v="RM"/>
    <s v="KWM"/>
    <x v="0"/>
  </r>
  <r>
    <n v="-19577.599999999999"/>
    <x v="2"/>
    <s v="PERBEL GERAN PBGN SIST AI CHECKER PNILAIN SKKP MAC"/>
    <s v="PRBELANJAN GERAN CIDB DIG"/>
    <x v="1"/>
    <s v="RM"/>
    <s v="KWM"/>
    <x v="0"/>
  </r>
  <r>
    <n v="-56171.23"/>
    <x v="2"/>
    <s v="PERBEL GERAN OPS&amp;SLNGGARA PORTAL CONVINCE CIDB"/>
    <s v="PRBELANJAAN GERAN CIDBDIG"/>
    <x v="1"/>
    <s v="RM"/>
    <s v="KWM"/>
    <x v="7"/>
  </r>
  <r>
    <n v="-212000"/>
    <x v="2"/>
    <s v="PERBEL GERAN MELAKSANA PRGM LTHN BIM2026 APR"/>
    <s v="PERBELANJAAN GERAN ECONS"/>
    <x v="1"/>
    <s v="RM"/>
    <s v="KWM"/>
    <x v="0"/>
  </r>
  <r>
    <n v="-71466.14"/>
    <x v="2"/>
    <s v="PERBEL GERAN BHN MGAJAR&amp;BLJR SOAL BIM25/26 APR"/>
    <s v="PBELANJAAN GERAN CIDB DIG"/>
    <x v="1"/>
    <s v="RM"/>
    <s v="KWM"/>
    <x v="1"/>
  </r>
  <r>
    <n v="-1978.36"/>
    <x v="2"/>
    <s v="PERBEL GERAN PBGN SIST AI CHECKER PNILAIN SKKP APR"/>
    <s v="PBELANJAAN GERAN CIDB DIG"/>
    <x v="1"/>
    <s v="RM"/>
    <s v="KWM"/>
    <x v="0"/>
  </r>
  <r>
    <n v="-158000"/>
    <x v="2"/>
    <s v="PERBEL GERAN MELAKSANA PRGM LTHN BIM2026 MEI"/>
    <s v="PBELANJAAN GERAN CIDB DIG"/>
    <x v="1"/>
    <s v="RM"/>
    <s v="KWM"/>
    <x v="0"/>
  </r>
  <r>
    <n v="-32001.439999999999"/>
    <x v="2"/>
    <s v="PERBEL GERAN BHN MGAJAR&amp;BLJR SOAL BIM25/26 MEI"/>
    <s v="PBELANJAAN GERAN CIDB DIG"/>
    <x v="1"/>
    <s v="RM"/>
    <s v="KWM"/>
    <x v="1"/>
  </r>
  <r>
    <n v="-47950.66"/>
    <x v="2"/>
    <s v="PERBEL GERAN PBGN SIST AI CHECKER PNILAIN SKKP MEI"/>
    <s v="PBELANJAAN GERAN CIDB DIG"/>
    <x v="1"/>
    <s v="RM"/>
    <s v="KWM"/>
    <x v="0"/>
  </r>
  <r>
    <n v="-145785.35999999999"/>
    <x v="2"/>
    <s v="PERBEL GERAN PKHID.PUSAT PMULIHN BENCANA(DRC) MEI"/>
    <s v="PBELANJAAN GERAN CIDB DIG"/>
    <x v="1"/>
    <s v="RM"/>
    <s v="KWM"/>
    <x v="6"/>
  </r>
  <r>
    <n v="-29611.61"/>
    <x v="2"/>
    <s v="PERBEL GERAN PMBGN &amp; PKASAAN KONT BIDANG BIM26 MEI"/>
    <s v="PBELANJAAN GERAN CIDB DIG"/>
    <x v="1"/>
    <s v="RM"/>
    <s v="KWM"/>
    <x v="2"/>
  </r>
  <r>
    <n v="-10665"/>
    <x v="2"/>
    <s v="PERBEL GERAN PGANJURAN PERINGKAT AKHIR WSMB MEI"/>
    <s v="PBELANJAAN GERAN CIDB DIG"/>
    <x v="1"/>
    <s v="RM"/>
    <s v="KWM"/>
    <x v="0"/>
  </r>
  <r>
    <n v="-246000"/>
    <x v="2"/>
    <s v="PERBEL GERAN MELAKSANA PRGM LTHN BIM2026 JUN"/>
    <s v="PBELANJAAN GERAN CIDB DIG"/>
    <x v="1"/>
    <s v="RM"/>
    <s v="KWM"/>
    <x v="0"/>
  </r>
  <r>
    <n v="-5236.1000000000004"/>
    <x v="2"/>
    <s v="PERBEL GERAN BHN MGAJAR&amp;BLJR SOAL BIM25/26 JUN"/>
    <s v="PBELANJAAN GERAN CIDB DIG"/>
    <x v="1"/>
    <s v="RM"/>
    <s v="KWM"/>
    <x v="1"/>
  </r>
  <r>
    <n v="-54655.040000000001"/>
    <x v="2"/>
    <s v="PERBEL GERAN PBGN SIST AI CHECKER PNILAIN SKKP JUN"/>
    <s v="PBELANJAAN GERAN CIDB DIG"/>
    <x v="1"/>
    <s v="RM"/>
    <s v="KWM"/>
    <x v="0"/>
  </r>
  <r>
    <n v="-122685.36"/>
    <x v="2"/>
    <s v="PERBEL GERAN PKHID.PUSAT PMULIHN BENCANA(DRC) JUN"/>
    <s v="PBELANJAAN GERAN CIDB DIG"/>
    <x v="1"/>
    <s v="RM"/>
    <s v="KWM"/>
    <x v="6"/>
  </r>
  <r>
    <n v="5695"/>
    <x v="3"/>
    <s v="PLRSN KOD HASIL (GRN JELAJAH PMBINAAN C4.0)"/>
    <s v="GRN JELAJAH PMBINAAN C4.0"/>
    <x v="1"/>
    <s v="RM"/>
    <s v="KWM"/>
    <x v="5"/>
  </r>
  <r>
    <n v="108000"/>
    <x v="1"/>
    <s v="GERAN 3THN PNERBITAN CIDB CONST.LAW REPORT(CCLR)-3"/>
    <s v="GERAN CCLR THN 2025 - 3"/>
    <x v="2"/>
    <s v="RM"/>
    <s v="KWM"/>
    <x v="7"/>
  </r>
  <r>
    <n v="100000"/>
    <x v="1"/>
    <s v="GERAN MANUAL PROSEDUR PENTAULIAHAN PRGM SHEQ -1"/>
    <s v="GERAN PRGM SHEQ-1"/>
    <x v="2"/>
    <s v="RM"/>
    <s v="KWM"/>
    <x v="0"/>
  </r>
  <r>
    <n v="245200"/>
    <x v="1"/>
    <s v="GERAN PGELUARN COA BHN BINA IMPORT JDUA4 AKTA520-1"/>
    <s v="GERAN COA BHN BINA -1"/>
    <x v="2"/>
    <s v="RM"/>
    <s v="KWM"/>
    <x v="4"/>
  </r>
  <r>
    <n v="151300"/>
    <x v="1"/>
    <s v="GERAN PGELUARN COA BHN BINA IMPORT JDUA4 AKTA520-2"/>
    <s v="GERAN COA BHN BINA -2"/>
    <x v="2"/>
    <s v="RM"/>
    <s v="KWM"/>
    <x v="4"/>
  </r>
  <r>
    <n v="100000"/>
    <x v="1"/>
    <s v="GERAN GARIS PANDUAN CIS 32:2024 CI IN M'SIA -1"/>
    <s v="GERAN CIS 32:2025 CI-1"/>
    <x v="2"/>
    <s v="RM"/>
    <s v="KWM"/>
    <x v="5"/>
  </r>
  <r>
    <n v="132500"/>
    <x v="1"/>
    <s v="GERAN PREFIX &amp; SEFFIX PRGM KOMPETENSI CIDB 2026-1"/>
    <s v="GERAN PREFIX &amp; SEFFIX-1"/>
    <x v="2"/>
    <s v="RM"/>
    <s v="KWM"/>
    <x v="1"/>
  </r>
  <r>
    <n v="186250"/>
    <x v="1"/>
    <s v="GERAN PGELUARN COA BHN BINA IMPORT JDUA4 AKTA520-3"/>
    <s v="GERAN COA BHN BINA -3"/>
    <x v="2"/>
    <s v="RM"/>
    <s v="KWM"/>
    <x v="4"/>
  </r>
  <r>
    <n v="30000"/>
    <x v="1"/>
    <s v="GERAN KURSUS REFRESHER &amp; AUDITOR BAGI CQMS-1"/>
    <s v="GERAN AUDITOR BG CQMS-1"/>
    <x v="2"/>
    <s v="RM"/>
    <s v="KWM"/>
    <x v="0"/>
  </r>
  <r>
    <n v="37908"/>
    <x v="1"/>
    <s v="GERAN PRGM PENILAIAN CQMS PRJK KERAJAAN 2026-1"/>
    <s v="GERAN CQMS PRJK KRAJN26-1"/>
    <x v="2"/>
    <s v="RM"/>
    <s v="KWM"/>
    <x v="4"/>
  </r>
  <r>
    <n v="35532"/>
    <x v="1"/>
    <s v="GERAN PRGM PENILAIAN SHASSIC PRJK KERAJAAN 2026-1"/>
    <s v="GRAN SHASSIC PRJ KRJN26-1"/>
    <x v="2"/>
    <s v="RM"/>
    <s v="KWM"/>
    <x v="4"/>
  </r>
  <r>
    <n v="13996.8"/>
    <x v="1"/>
    <s v="GERAN PRGM PENILAIAN MYCREST PRJK KERAJAAN 2026-1"/>
    <s v="GRAN MYCREST PRJ KRJN26-1"/>
    <x v="2"/>
    <s v="RM"/>
    <s v="KWM"/>
    <x v="4"/>
  </r>
  <r>
    <n v="215500"/>
    <x v="1"/>
    <s v="GERAN T/BAIK SKIM PENSIJILAN CPA BAGI PRODUK IBS-1"/>
    <s v="GERAN SIJIL CPA-1"/>
    <x v="2"/>
    <s v="RM"/>
    <s v="KWM"/>
    <x v="5"/>
  </r>
  <r>
    <n v="212450"/>
    <x v="1"/>
    <s v="GERAN PGELUARN COA BHN BINA IMPORT JDUA4 AKTA520-4"/>
    <s v="GERAN COA BHN BINA -4"/>
    <x v="2"/>
    <s v="RM"/>
    <s v="KWM"/>
    <x v="4"/>
  </r>
  <r>
    <n v="12204"/>
    <x v="1"/>
    <s v="GERAN PRGM PENILAIAN CQMS PRJK KERAJAAN 2026-2"/>
    <s v="GERAN CQMS PRJK KRAJN26-2"/>
    <x v="2"/>
    <s v="RM"/>
    <s v="KWM"/>
    <x v="4"/>
  </r>
  <r>
    <n v="2538"/>
    <x v="1"/>
    <s v="GERAN PRGM PENILAIAN SHASSIC PRJK KERAJAAN 2026-2"/>
    <s v="GRAN SHASSIC PRJ KRJN26-2"/>
    <x v="2"/>
    <s v="RM"/>
    <s v="KWM"/>
    <x v="4"/>
  </r>
  <r>
    <n v="-245200"/>
    <x v="2"/>
    <s v="PERBEL GERAN COA BHN BINA IMPORT JDUA4 AKTA520-1"/>
    <s v="PERBELANJAAN GERAN CREAM"/>
    <x v="2"/>
    <s v="RM"/>
    <s v="KWM"/>
    <x v="4"/>
  </r>
  <r>
    <n v="-151300"/>
    <x v="2"/>
    <s v="PERBEL GERAN COA BHN BINA IMPORT JDUA4 AKTA520-2"/>
    <s v="PERBELANJAAN GERAN CREAM"/>
    <x v="2"/>
    <s v="RM"/>
    <s v="KWM"/>
    <x v="4"/>
  </r>
  <r>
    <n v="-186250"/>
    <x v="2"/>
    <s v="PERBEL GERAN COA BHN BINA IMPORT JDUA4 AKTA520-3"/>
    <s v="PERBELANJAAN GERAN CREAM"/>
    <x v="2"/>
    <s v="RM"/>
    <s v="KWM"/>
    <x v="4"/>
  </r>
  <r>
    <n v="-37908"/>
    <x v="2"/>
    <s v="PERBEL GERAN PNILAIN CQMS PRJK KRAJN26-JAN-MAC26"/>
    <s v="PERBELANJAAN GERAN CREAM"/>
    <x v="2"/>
    <s v="RM"/>
    <s v="KWM"/>
    <x v="4"/>
  </r>
  <r>
    <n v="-35532"/>
    <x v="2"/>
    <s v="PRBEL GERAN PNILAIN SHASSIC PRJK KRAJN26-JAN-MAC26"/>
    <s v="PERBELANJAAN GERAN CREAM"/>
    <x v="2"/>
    <s v="RM"/>
    <s v="KWM"/>
    <x v="4"/>
  </r>
  <r>
    <n v="-13996.8"/>
    <x v="2"/>
    <s v="PRBEL GERAN PNILAIN MYCREST PRJK KRAJN26-JAN-MAC26"/>
    <s v="PERBELANJAAN GERAN CREAM"/>
    <x v="2"/>
    <s v="RM"/>
    <s v="KWM"/>
    <x v="4"/>
  </r>
  <r>
    <n v="-25336.799999999999"/>
    <x v="2"/>
    <s v="PERBEL GERAN MANUAL PRSEDUR PTAULIAH PRGM SHEQ FEB"/>
    <s v="PERBELANJAAN GERAN CREAM"/>
    <x v="2"/>
    <s v="RM"/>
    <s v="KWM"/>
    <x v="0"/>
  </r>
  <r>
    <n v="-25158.6"/>
    <x v="2"/>
    <s v="PERBEL GERAN MANUAL PRSEDUR PTAULIAH PRGM SHEQ MAC"/>
    <s v="PERBELANJAAN GERAN CREAM"/>
    <x v="2"/>
    <s v="RM"/>
    <s v="KWM"/>
    <x v="0"/>
  </r>
  <r>
    <n v="-8432.11"/>
    <x v="2"/>
    <s v="PERBEL GERAN GARIS PNDN CIS 32:2024 CI IN MSIA MAC"/>
    <s v="PERBELANJAAN GERAN CREAM"/>
    <x v="2"/>
    <s v="RM"/>
    <s v="KWM"/>
    <x v="5"/>
  </r>
  <r>
    <n v="-212450"/>
    <x v="2"/>
    <s v="PERBEL GERAN COA BHN BINA IMPORT JDUA4 AKTA520-4"/>
    <s v="PERBELANJAAN GERAN CREAM"/>
    <x v="2"/>
    <s v="RM"/>
    <s v="KWM"/>
    <x v="4"/>
  </r>
  <r>
    <n v="-12204"/>
    <x v="2"/>
    <s v="PERBEL GERAN PNILAIN CQMS PRJK KRAJN26-APR26"/>
    <s v="PERBELANJAAN GERAN CREAM"/>
    <x v="2"/>
    <s v="RM"/>
    <s v="KWM"/>
    <x v="4"/>
  </r>
  <r>
    <n v="-2538"/>
    <x v="2"/>
    <s v="PRBEL GERAN PNILAIN SHASSIC PRJK KRAJN26-APR26"/>
    <s v="PERBELANJAAN GERAN CREAM"/>
    <x v="2"/>
    <s v="RM"/>
    <s v="KWM"/>
    <x v="4"/>
  </r>
  <r>
    <n v="-5832"/>
    <x v="2"/>
    <s v="GERAN 3THN PNERBITAN CIDB CONST.LAW REPORT(CCLR)-3"/>
    <s v="PERBELANJAAN GERAN CREAM"/>
    <x v="2"/>
    <s v="RM"/>
    <s v="KWM"/>
    <x v="7"/>
  </r>
  <r>
    <n v="-64881"/>
    <x v="2"/>
    <s v="PERBEL GERAN MANUAL PRSEDUR PTAULIAH PRGM SHEQ APR"/>
    <s v="PERBELANJAAN GERAN CREAM"/>
    <x v="2"/>
    <s v="RM"/>
    <s v="KWM"/>
    <x v="0"/>
  </r>
  <r>
    <n v="-6836.85"/>
    <x v="2"/>
    <s v="PERBEL GERAN GARIS PNDN CIS 32:2024 CI IN MSIA APR"/>
    <s v="PERBELANJAAN GERAN CREAM"/>
    <x v="2"/>
    <s v="RM"/>
    <s v="KWM"/>
    <x v="5"/>
  </r>
  <r>
    <n v="-57775"/>
    <x v="2"/>
    <s v="PERBEL GERAN PREFIX&amp;SEFFIX PRGM KMPTNSI CIDB26 APR"/>
    <s v="PERBELANJAAN GERAN CREAM"/>
    <x v="2"/>
    <s v="RM"/>
    <s v="KWM"/>
    <x v="1"/>
  </r>
  <r>
    <n v="-6836.85"/>
    <x v="2"/>
    <s v="PERBEL GERAN GARIS PNDN CIS 32:2024 CI IN MSIA MEI"/>
    <s v="PERBELANJAAN GERAN CREAM"/>
    <x v="2"/>
    <s v="RM"/>
    <s v="KWM"/>
    <x v="5"/>
  </r>
  <r>
    <n v="-28150"/>
    <x v="2"/>
    <s v="PERBEL GERAN PREFIX&amp;SEFFIX PRGM KMPTNSI CIDB26 MEI"/>
    <s v="PERBELANJAAN GERAN CREAM"/>
    <x v="2"/>
    <s v="RM"/>
    <s v="KWM"/>
    <x v="1"/>
  </r>
  <r>
    <n v="-6836.85"/>
    <x v="2"/>
    <s v="PERBEL GERAN GARIS PNDN CIS 32:2024 CI IN MSIA JUN"/>
    <s v="PERBELANJAAN GERAN CREAM"/>
    <x v="2"/>
    <s v="RM"/>
    <s v="KWM"/>
    <x v="5"/>
  </r>
  <r>
    <n v="-13762"/>
    <x v="2"/>
    <s v="PERBEL GERAN PREFIX&amp;SEFFIX PRGM KMPTNSI CIDB26 JUN"/>
    <s v="PERBELANJAAN GERAN CREAM"/>
    <x v="2"/>
    <s v="RM"/>
    <s v="KWM"/>
    <x v="1"/>
  </r>
  <r>
    <n v="-33022.97"/>
    <x v="2"/>
    <s v="PERBEL GERAN T/BAIK SKIM PSIJILAN CPA PRDK IBS JUN"/>
    <s v="PERBELANJAAN GERAN CREAM"/>
    <x v="2"/>
    <s v="RM"/>
    <s v="KWM"/>
    <x v="5"/>
  </r>
  <r>
    <n v="1500000"/>
    <x v="1"/>
    <s v="GERAN PELAKSANA PRGM REVOLUSI PEMERKASAAN SKKP-1/2"/>
    <s v=""/>
    <x v="3"/>
    <s v="RM"/>
    <s v="KWM"/>
    <x v="0"/>
  </r>
  <r>
    <n v="-353970.88"/>
    <x v="2"/>
    <s v="PERBEL GERAN PRGM REVOLUSI PEMERKASAAN SKKP JAN"/>
    <s v="PERBELANJAAN GERAN CLAB"/>
    <x v="3"/>
    <s v="RM"/>
    <s v="KWM"/>
    <x v="0"/>
  </r>
  <r>
    <n v="-306244.8"/>
    <x v="2"/>
    <s v="PERBEL GERAN PRGM REVOLUSI PEMERKASAAN SKKP FEB"/>
    <s v="PERBELANJAAN GERAN CLAB"/>
    <x v="3"/>
    <s v="RM"/>
    <s v="KWM"/>
    <x v="0"/>
  </r>
  <r>
    <n v="-161212.42000000001"/>
    <x v="2"/>
    <s v="PERBEL GERAN PRGM REVOLUSI PEMERKASAAN SKKP MAC"/>
    <s v="PERBELANJAAN GERAN CLAB"/>
    <x v="3"/>
    <s v="RM"/>
    <s v="KWM"/>
    <x v="0"/>
  </r>
  <r>
    <n v="-242513.96"/>
    <x v="2"/>
    <s v="PERBEL GERAN PRGM REVOLUSI PEMERKASAAN SKKP APR"/>
    <s v="PERBELANJAAN GERAN CLAB"/>
    <x v="3"/>
    <s v="RM"/>
    <s v="KWM"/>
    <x v="0"/>
  </r>
  <r>
    <n v="-268907.27"/>
    <x v="2"/>
    <s v="PERBEL GERAN PRGM REVOLUSI PEMERKASAAN SKKP MEI"/>
    <s v="PERBELANJAAN GERAN CLAB"/>
    <x v="3"/>
    <s v="RM"/>
    <s v="KWM"/>
    <x v="0"/>
  </r>
  <r>
    <n v="91440"/>
    <x v="1"/>
    <s v="GERAN LAKSANA PRGM PERANTISAN IND PEMBINAAN 2026-1"/>
    <s v="GERAN PERANTISAN 2026-1"/>
    <x v="4"/>
    <s v="RM"/>
    <s v="KWM"/>
    <x v="0"/>
  </r>
  <r>
    <n v="91440"/>
    <x v="1"/>
    <s v="GERAN LAKSANA PRGM PERANTISAN IND PEMBINAAN 2026-2"/>
    <s v="GERAN PERANTISAN 2026-2"/>
    <x v="4"/>
    <s v="RM"/>
    <s v="KWM"/>
    <x v="0"/>
  </r>
  <r>
    <n v="-70104"/>
    <x v="2"/>
    <s v="PERBEL GERAN PERANTISAN IND PEMBINAAN 2026 MAC"/>
    <s v="PERBELANJAAN GERAN ABMSEL"/>
    <x v="4"/>
    <s v="RM"/>
    <s v="KWM"/>
    <x v="0"/>
  </r>
  <r>
    <n v="-35560"/>
    <x v="2"/>
    <s v="PERBEL GERAN PERANTISAN IND PEMBINAAN 2026 APR"/>
    <s v="PERBELANJAAN GERAN ABMSEL"/>
    <x v="4"/>
    <s v="RM"/>
    <s v="KWM"/>
    <x v="0"/>
  </r>
  <r>
    <n v="-4064"/>
    <x v="2"/>
    <s v="PERBEL GERAN PERANTISAN IND PEMBINAAN 2026 MEI"/>
    <s v="PERBELANJAAN GERAN ABMSEL"/>
    <x v="4"/>
    <s v="RM"/>
    <s v="KWM"/>
    <x v="0"/>
  </r>
  <r>
    <n v="-20320"/>
    <x v="2"/>
    <s v="PERBEL GERAN PERANTISAN IND PEMBINAAN 2026 JUN"/>
    <s v="PERBELANJAAN GERAN ABMSEL"/>
    <x v="4"/>
    <s v="RM"/>
    <s v="KWM"/>
    <x v="0"/>
  </r>
  <r>
    <n v="732000"/>
    <x v="1"/>
    <s v="GERAN PMBELIAN KMDHAN KELENGKAPAN &amp; ALAT ASRAMA-1"/>
    <s v="GERAN ABM SELATAN 2026"/>
    <x v="5"/>
    <s v="RM"/>
    <s v="KWM"/>
    <x v="0"/>
  </r>
  <r>
    <n v="91440"/>
    <x v="1"/>
    <s v="GERAN LAKSANA PRGM PERANTISAN IND PEMBINAAN 2026-1"/>
    <s v="GERAN PERANTISAN 2026-1"/>
    <x v="5"/>
    <s v="RM"/>
    <s v="KWM"/>
    <x v="0"/>
  </r>
  <r>
    <n v="-88900"/>
    <x v="2"/>
    <s v="PERBEL GERAN PERANTISAN IND PEMBINAAN 2026 JUN"/>
    <s v="PERBELANJAAN GERAN ABMJHR"/>
    <x v="5"/>
    <s v="RM"/>
    <s v="KWM"/>
    <x v="0"/>
  </r>
  <r>
    <n v="91440"/>
    <x v="1"/>
    <s v="GERAN MLAKSANAKN PRGRM PERANTISAN IND PBINAAN-1"/>
    <s v="GERAN PERANTISAN UTR-1"/>
    <x v="6"/>
    <s v="RM"/>
    <s v="KWM"/>
    <x v="0"/>
  </r>
  <r>
    <n v="-7112"/>
    <x v="2"/>
    <s v="PERBEL GERAN LAKSANA PRGM PERANTISAN IND PBINA APR"/>
    <s v="PERBELANJAAN GERAN ABMUTR"/>
    <x v="6"/>
    <s v="RM"/>
    <s v="KWM"/>
    <x v="0"/>
  </r>
  <r>
    <n v="-12192"/>
    <x v="2"/>
    <s v="PERBEL GERAN LAKSANA PRGM PERANTISAN IND PBINA MEI"/>
    <s v="PERBELANJAAN GERAN ABMUTR"/>
    <x v="6"/>
    <s v="RM"/>
    <s v="KWM"/>
    <x v="0"/>
  </r>
  <r>
    <n v="-38608"/>
    <x v="2"/>
    <s v="PERBEL GERAN LAKSANA PRGM PERANTISAN IND PBINA JUN"/>
    <s v="PERBELANJAAN GERAN ABMUTR"/>
    <x v="6"/>
    <s v="RM"/>
    <s v="KWM"/>
    <x v="0"/>
  </r>
  <r>
    <n v="91440"/>
    <x v="1"/>
    <s v="GERAN PERANTISAN INDUSTRI PEMBINAAN THN 2026-1"/>
    <s v="GERAN PERANTISAN 2026-1"/>
    <x v="7"/>
    <s v="RM"/>
    <s v="KWM"/>
    <x v="0"/>
  </r>
  <r>
    <n v="142597.98000000001"/>
    <x v="1"/>
    <s v="GERAN PROJEK PMBINAAN&amp;N.TARAF LESEN MANDU H&amp;I -3"/>
    <s v="GERAN TPK UJIAN MEMANDU-3"/>
    <x v="7"/>
    <s v="RM"/>
    <s v="KWM"/>
    <x v="0"/>
  </r>
  <r>
    <n v="153500"/>
    <x v="1"/>
    <s v="GERAN PENGANJURAN PERINGKAT AKHIR WSMB ABMTGG-1"/>
    <s v="GRAN PGNJURN WSMBABMTGG-1"/>
    <x v="7"/>
    <s v="RM"/>
    <s v="KWM"/>
    <x v="0"/>
  </r>
  <r>
    <n v="40216"/>
    <x v="1"/>
    <s v="GERAN PROJEK PMBINAAN&amp;N.TARAF LESEN MANDU H&amp;I -4"/>
    <s v="GERAN TPK UJIAN MEMANDU-4"/>
    <x v="7"/>
    <s v="RM"/>
    <s v="KWM"/>
    <x v="0"/>
  </r>
  <r>
    <n v="-142597.98000000001"/>
    <x v="2"/>
    <s v="PERBEL GERAN PRJK PBINA&amp;N.TARAF LESEN MANDU H&amp;I-3"/>
    <s v="PERBELANJAAN GERAN ABMTGG"/>
    <x v="7"/>
    <s v="RM"/>
    <s v="KWM"/>
    <x v="0"/>
  </r>
  <r>
    <n v="-5388"/>
    <x v="2"/>
    <s v="PERBEL GERAN PERANTISAN IND PEMBINAAN 2026 MAC"/>
    <s v="PERBELANJAAN GERAN ABMTGG"/>
    <x v="7"/>
    <s v="RM"/>
    <s v="KWM"/>
    <x v="0"/>
  </r>
  <r>
    <n v="-40216"/>
    <x v="2"/>
    <s v="PERBEL GERAN PRJK PBINA&amp;N.TARAF LESEN MANDU H&amp;I-4"/>
    <s v="PERBELANJAAN GERAN ABMTGG"/>
    <x v="7"/>
    <s v="RM"/>
    <s v="KWM"/>
    <x v="0"/>
  </r>
  <r>
    <n v="-11392"/>
    <x v="2"/>
    <s v="PERBEL GERAN PERANTISAN IND PEMBINAAN 2026 APR"/>
    <s v="PERBELANJAAN GERAN ABMTGG"/>
    <x v="7"/>
    <s v="RM"/>
    <s v="KWM"/>
    <x v="0"/>
  </r>
  <r>
    <n v="-12192"/>
    <x v="2"/>
    <s v="PERBEL GERAN PERANTISAN IND PEMBINAAN 2026 MEI"/>
    <s v="PERBELANJAAN GERAN ABMTGG"/>
    <x v="7"/>
    <s v="RM"/>
    <s v="KWM"/>
    <x v="0"/>
  </r>
  <r>
    <n v="-95430.85"/>
    <x v="2"/>
    <s v="PERBEL GERAN PGNJURN PRINGKT AKHIR WSMB ABMTGG MEI"/>
    <s v="PERBELANJAAN GERAN ABMTGG"/>
    <x v="7"/>
    <s v="RM"/>
    <s v="KWM"/>
    <x v="0"/>
  </r>
  <r>
    <n v="-12700"/>
    <x v="2"/>
    <s v="PERBEL GERAN PERANTISAN IND PEMBINAAN 2026 JUN"/>
    <s v="PERBELANJAAN GERAN ABMTGG"/>
    <x v="7"/>
    <s v="RM"/>
    <s v="KWM"/>
    <x v="0"/>
  </r>
  <r>
    <n v="-641.09"/>
    <x v="0"/>
    <s v="PMLGN BKI GRN PMBELIAN PRLTN&amp; KLNGKPN BG CHARGEMAN"/>
    <s v="PEMULANGAN BAKI GERAN"/>
    <x v="8"/>
    <s v="RM"/>
    <s v="KWM"/>
    <x v="0"/>
  </r>
  <r>
    <n v="91440"/>
    <x v="1"/>
    <s v="GERAN PROGRAM PERANTISAN IND PEMBINAAN 2026-1"/>
    <s v="GERAN PRGM PERANTISAN -1"/>
    <x v="8"/>
    <s v="RM"/>
    <s v="KWM"/>
    <x v="0"/>
  </r>
  <r>
    <n v="-35560"/>
    <x v="2"/>
    <s v="PERBEL GERAN PRGM PERANTISAN IND PBINA 2026 MEI"/>
    <s v="PERBELANJAAN GERAN ABMSBH"/>
    <x v="8"/>
    <s v="RM"/>
    <s v="KWM"/>
    <x v="0"/>
  </r>
  <r>
    <n v="-35560"/>
    <x v="2"/>
    <s v="PERBEL GERAN PRGM PERANTISAN IND PBINA 2026 JUN"/>
    <s v="PERBELANJAAN GERAN ABMSBH"/>
    <x v="8"/>
    <s v="RM"/>
    <s v="KWM"/>
    <x v="0"/>
  </r>
  <r>
    <n v="76200"/>
    <x v="1"/>
    <s v="GERAN PRGM PERANTISAN INDUSTRI PEMBINAAN 2026 -1"/>
    <s v="GERAN PRGM PERANTISAN -1"/>
    <x v="9"/>
    <s v="RM"/>
    <s v="KWM"/>
    <x v="0"/>
  </r>
  <r>
    <n v="48640"/>
    <x v="1"/>
    <s v="GERAN LWTN KE POLITEKNIK NGRI PONTIANAK (POLNEP)-1"/>
    <s v="GERAN LWTN KE POLNEP-1"/>
    <x v="9"/>
    <s v="RM"/>
    <s v="KWM"/>
    <x v="1"/>
  </r>
  <r>
    <n v="-2032"/>
    <x v="2"/>
    <s v="PERBEL GERAN PERANTISAN IND PEMBINAAN 2026 FEB"/>
    <s v="PERBELANJAAN GERAN ABMSWK"/>
    <x v="9"/>
    <s v="RM"/>
    <s v="KWM"/>
    <x v="0"/>
  </r>
  <r>
    <n v="-2032"/>
    <x v="2"/>
    <s v="PERBEL GERAN PERANTISAN IND PEMBINAAN 2026 MAC"/>
    <s v="PERBELANJAAN GERAN ABMSWK"/>
    <x v="9"/>
    <s v="RM"/>
    <s v="KWM"/>
    <x v="0"/>
  </r>
  <r>
    <n v="-48640"/>
    <x v="2"/>
    <s v="PERBEL GERAN POLITEKNIK NGRI PONTINAK (POLNEP) FEB"/>
    <s v="PERBELANJAAN GERAN ABMSWK"/>
    <x v="9"/>
    <s v="RM"/>
    <s v="KWM"/>
    <x v="1"/>
  </r>
  <r>
    <n v="-2032"/>
    <x v="2"/>
    <s v="PERBEL GERAN PERANTISAN IND PEMBINAAN 2026 APR"/>
    <s v="PERBELANJAAN GERAN ABMSWK"/>
    <x v="9"/>
    <s v="RM"/>
    <s v="KWM"/>
    <x v="0"/>
  </r>
  <r>
    <n v="465000"/>
    <x v="1"/>
    <s v="GERAN MELAKSANAKAN PROGRAM LATIHAN IBS 2026 - 1"/>
    <s v="GERAN PROGRAM IBS 2026-1"/>
    <x v="10"/>
    <s v="RM"/>
    <s v="KWM"/>
    <x v="0"/>
  </r>
  <r>
    <n v="200000"/>
    <x v="1"/>
    <s v="GERAN LABOUR CONSTANT KAEDAH IBS &amp; KONVESIONAL-1"/>
    <s v="GERAN KAEDAH IBS&amp;KONVES-1"/>
    <x v="10"/>
    <s v="RM"/>
    <s v="KWM"/>
    <x v="5"/>
  </r>
  <r>
    <n v="200000"/>
    <x v="1"/>
    <s v="GERAN PBNGUNN MODULAR ROADMAP 2026-2030 -1"/>
    <s v="GERAN MODULAR ROADMAP-1"/>
    <x v="10"/>
    <s v="RM"/>
    <s v="KWM"/>
    <x v="5"/>
  </r>
  <r>
    <n v="385000"/>
    <x v="1"/>
    <s v="GERAN PRGM FMPRO APPRENTICE (OJT) FM KE UAE -1"/>
    <s v="GERAN FMPRO APPRENTICE -1"/>
    <x v="10"/>
    <s v="RM"/>
    <s v="KWM"/>
    <x v="2"/>
  </r>
  <r>
    <n v="395000"/>
    <x v="1"/>
    <s v="GERAN PMBGNN SOR, SOM &amp; PANDUAN PEROLEHAN FM -1"/>
    <s v="GERAN SOR, SOM &amp; FM -1"/>
    <x v="10"/>
    <s v="RM"/>
    <s v="KWM"/>
    <x v="2"/>
  </r>
  <r>
    <n v="169000"/>
    <x v="1"/>
    <s v="GERAN PENGURUS ACARA INT. FM ENGAGEMENT DAY -1"/>
    <s v="GERAN PENGURS ACARA FM-1"/>
    <x v="10"/>
    <s v="RM"/>
    <s v="KWM"/>
    <x v="2"/>
  </r>
  <r>
    <n v="250000"/>
    <x v="1"/>
    <s v="GERAN PRGM KUMP TENAGA PENGAJAR PMERIKSA 2026-1"/>
    <s v="GERAN TENAGA PENGAJAR-1"/>
    <x v="10"/>
    <s v="RM"/>
    <s v="KWM"/>
    <x v="2"/>
  </r>
  <r>
    <n v="145500"/>
    <x v="1"/>
    <s v="GERAN PELAKSANAAN PODCAST PENGURUSAN FM 2026-1"/>
    <s v="GERAN PODCAST FM 2026-1"/>
    <x v="10"/>
    <s v="RM"/>
    <s v="KWM"/>
    <x v="2"/>
  </r>
  <r>
    <n v="275000"/>
    <x v="1"/>
    <s v="GERAN H/TUJU KPASITI KESIAPSIAGAAN TNAGA NUKLEAR-1"/>
    <s v="GERAN TENAGA NUKLEAR-1"/>
    <x v="10"/>
    <s v="RM"/>
    <s v="KWM"/>
    <x v="2"/>
  </r>
  <r>
    <n v="500000"/>
    <x v="1"/>
    <s v="GERAN LAKSANA PEMBANGUNAN 5 MODUL SKP 2026-1"/>
    <s v="GERAN 5MDUL ELEARNG SKP-1"/>
    <x v="10"/>
    <s v="RM"/>
    <s v="KWM"/>
    <x v="2"/>
  </r>
  <r>
    <n v="500000"/>
    <x v="1"/>
    <s v="GERAN LAKSANA PBANGUN 5 MODUL BAHARU SKP 2026-1"/>
    <s v="GERAN 5 MDUL BAHARU SKP-1"/>
    <x v="10"/>
    <s v="RM"/>
    <s v="KWM"/>
    <x v="2"/>
  </r>
  <r>
    <n v="450000"/>
    <x v="1"/>
    <s v="GERAN PERKHIDMATAN MELAKSANA PRGM SFERA CIDB-1"/>
    <s v="GERAN LKSANA PRGM SFERA-1"/>
    <x v="10"/>
    <s v="RM"/>
    <s v="KWM"/>
    <x v="2"/>
  </r>
  <r>
    <n v="100000"/>
    <x v="1"/>
    <s v="GERAN PENGANJURAN PRGM INSPIRED LEADERSHIP TALK-1"/>
    <s v="GRAN INSPRD L/SHIP TALK-1"/>
    <x v="10"/>
    <s v="RM"/>
    <s v="KWM"/>
    <x v="2"/>
  </r>
  <r>
    <n v="200000"/>
    <x v="1"/>
    <s v="GERAN MENGURUS DELEGASI CIDB KE LAS VEGAS -1"/>
    <s v="GERAN KE LAS VEGAS-1"/>
    <x v="10"/>
    <s v="RM"/>
    <s v="KWM"/>
    <x v="5"/>
  </r>
  <r>
    <n v="50000"/>
    <x v="1"/>
    <s v="GERAN PERANTI VR VIRTUAL TOUR GALERI KOMPONN IBS-1"/>
    <s v="GERAN PERANTI VR-1"/>
    <x v="10"/>
    <s v="RM"/>
    <s v="KWM"/>
    <x v="5"/>
  </r>
  <r>
    <n v="182400"/>
    <x v="1"/>
    <s v="GERAN OPS&amp;SLNGGRA 9RUMAH CTH IBS&amp;1 RUMAH CTH IBS-1"/>
    <s v="GERAN RUMAH CTH-1"/>
    <x v="10"/>
    <s v="RM"/>
    <s v="KWM"/>
    <x v="5"/>
  </r>
  <r>
    <n v="25000"/>
    <x v="1"/>
    <s v="GERAN PRGM PGURUSAN DIRECTORI ORANGE BOOK 2026-1"/>
    <s v="GERAN ORANGE BOOK 2026-1"/>
    <x v="10"/>
    <s v="RM"/>
    <s v="KWM"/>
    <x v="5"/>
  </r>
  <r>
    <n v="-27600"/>
    <x v="2"/>
    <s v="PERBEL GERAN MELAKSANAKAN PRGM LATIHAN IBS26 JAN"/>
    <s v="PBELANJAAN GERAN CIDBIBS"/>
    <x v="10"/>
    <s v="RM"/>
    <s v="KWM"/>
    <x v="0"/>
  </r>
  <r>
    <n v="-77100"/>
    <x v="2"/>
    <s v="PERBEL GERAN MELAKSANAKAN PRGM LATIHAN IBS26 FEB"/>
    <s v="PBELANJAAN GERAN CIDBIBS"/>
    <x v="10"/>
    <s v="RM"/>
    <s v="KWM"/>
    <x v="0"/>
  </r>
  <r>
    <n v="-70500"/>
    <x v="2"/>
    <s v="PERBEL GERAN MELAKSANAKAN PRGM LATIHAN IBS26 MAC"/>
    <s v="PBELANJAAN GERAN CIDBIBS"/>
    <x v="10"/>
    <s v="RM"/>
    <s v="KWM"/>
    <x v="0"/>
  </r>
  <r>
    <n v="-97258.66"/>
    <x v="2"/>
    <s v="PERBEL GERAN LABOUR CONSTANT IBS &amp; KONVESIONAL JAN"/>
    <s v="PBELANJAAN GERAN CIDBIBS"/>
    <x v="10"/>
    <s v="RM"/>
    <s v="KWM"/>
    <x v="5"/>
  </r>
  <r>
    <n v="-34699.68"/>
    <x v="2"/>
    <s v="PERBEL GERAN LABOUR CONSTANT IBS &amp; KONVESIONAL FEB"/>
    <s v="PBELANJAAN GERAN CIDBIBS"/>
    <x v="10"/>
    <s v="RM"/>
    <s v="KWM"/>
    <x v="5"/>
  </r>
  <r>
    <n v="-65950.080000000002"/>
    <x v="2"/>
    <s v="PERBEL GERAN LABOUR CONSTANT IBS &amp; KONVESIONAL MAC"/>
    <s v="PBELANJAAN GERAN CIDBIBS"/>
    <x v="10"/>
    <s v="RM"/>
    <s v="KWM"/>
    <x v="5"/>
  </r>
  <r>
    <n v="-148113.60000000001"/>
    <x v="2"/>
    <s v="PERBEL GERAN PBNGUNN MODULAR ROADMAP 2026-2030 MAC"/>
    <s v="PBELANJAAN GERAN CIDBIBS"/>
    <x v="10"/>
    <s v="RM"/>
    <s v="KWM"/>
    <x v="5"/>
  </r>
  <r>
    <n v="-13748.4"/>
    <x v="2"/>
    <s v="PERBEL GERAN PRGM FMPRO APRENTICE (OJT) FM UAE MAC"/>
    <s v="PBELANJAAN GERAN CIDBIBS"/>
    <x v="10"/>
    <s v="RM"/>
    <s v="KWM"/>
    <x v="2"/>
  </r>
  <r>
    <n v="-20103.439999999999"/>
    <x v="2"/>
    <s v="PERBEL GERAN PMBGN SOR,SOM&amp;PNDUAN PEROLEHAN FM MAC"/>
    <s v="PBELANJAAN GERAN CIDBIBS"/>
    <x v="10"/>
    <s v="RM"/>
    <s v="KWM"/>
    <x v="2"/>
  </r>
  <r>
    <n v="-106776.61"/>
    <x v="2"/>
    <s v="PERBEL GERAN PGURUS ACARA INT.FM ENGAGEMNT DAY MAC"/>
    <s v="PBELANJAAN GERAN CIDBIBS"/>
    <x v="10"/>
    <s v="RM"/>
    <s v="KWM"/>
    <x v="2"/>
  </r>
  <r>
    <n v="-8899.2000000000007"/>
    <x v="2"/>
    <s v="PERBEL GERAN PRGM KUM TENAGA PGAJAR PMERIKSA26 MAC"/>
    <s v="PBELANJAAN GERAN CIDBIBS"/>
    <x v="10"/>
    <s v="RM"/>
    <s v="KWM"/>
    <x v="2"/>
  </r>
  <r>
    <n v="-101900"/>
    <x v="2"/>
    <s v="PERBEL GERAN PLAKSANAN PODCAST PGURUSN FM26 MAC"/>
    <s v="PBELANJAAN GERAN CIDBIBS"/>
    <x v="10"/>
    <s v="RM"/>
    <s v="KWM"/>
    <x v="2"/>
  </r>
  <r>
    <n v="-42800"/>
    <x v="2"/>
    <s v="PERBEL GERAN MELAKSANAKAN PRGM LATIHAN IBS26 APR"/>
    <s v="PBELANJAAN GERAN CIDBIBS"/>
    <x v="10"/>
    <s v="RM"/>
    <s v="KWM"/>
    <x v="0"/>
  </r>
  <r>
    <n v="-43763.06"/>
    <x v="2"/>
    <s v="PERBEL GERAN LABOUR CONSTANT IBS &amp; KONVESIONAL APR"/>
    <s v="PBELANJAAN GERAN CIDBIBS"/>
    <x v="10"/>
    <s v="RM"/>
    <s v="KWM"/>
    <x v="5"/>
  </r>
  <r>
    <n v="-273.05"/>
    <x v="2"/>
    <s v="PERBEL GERAN PBNGUNN MODULAR ROADMAP 2026-2030 APR"/>
    <s v="PBELANJAAN GERAN CIDBIBS"/>
    <x v="10"/>
    <s v="RM"/>
    <s v="KWM"/>
    <x v="5"/>
  </r>
  <r>
    <n v="-13748.4"/>
    <x v="2"/>
    <s v="PERBEL GERAN PRGM FMPRO APRENTICE (OJT) FM UAE APR"/>
    <s v="PBELANJAAN GERAN CIDBIBS"/>
    <x v="10"/>
    <s v="RM"/>
    <s v="KWM"/>
    <x v="2"/>
  </r>
  <r>
    <n v="-260103.44"/>
    <x v="2"/>
    <s v="PERBEL GERAN PMBGN SOR,SOM&amp;PNDUAN PEROLEHAN FM APR"/>
    <s v="PBELANJAAN GERAN CIDBIBS"/>
    <x v="10"/>
    <s v="RM"/>
    <s v="KWM"/>
    <x v="2"/>
  </r>
  <r>
    <n v="-8899.2000000000007"/>
    <x v="2"/>
    <s v="PERBEL GERAN PRGM KUM TENAGA PGAJAR PMERIKSA26 APR"/>
    <s v="PBELANJAAN GERAN CIDBIBS"/>
    <x v="10"/>
    <s v="RM"/>
    <s v="KWM"/>
    <x v="2"/>
  </r>
  <r>
    <n v="-16714.45"/>
    <x v="2"/>
    <s v="PERBEL GERAN PLAKSANAN PODCAST PGURUSN FM26 APR"/>
    <s v="PBELANJAAN GERAN CIDBIBS"/>
    <x v="10"/>
    <s v="RM"/>
    <s v="KWM"/>
    <x v="2"/>
  </r>
  <r>
    <n v="-50904"/>
    <x v="2"/>
    <s v="PERBEL GERAN H/TUJU KSIAPSIAGAAN TNAGA NUKLEAR APR"/>
    <s v="PBELANJAAN GERAN CIDBIBS"/>
    <x v="10"/>
    <s v="RM"/>
    <s v="KWM"/>
    <x v="2"/>
  </r>
  <r>
    <n v="-128000"/>
    <x v="2"/>
    <s v="PERBEL GERAN PBNGN 5 MODUL E-LEARNING SKP26 APR"/>
    <s v="PBELANJAAN GERAN CIDBIBS"/>
    <x v="10"/>
    <s v="RM"/>
    <s v="KWM"/>
    <x v="2"/>
  </r>
  <r>
    <n v="-272500"/>
    <x v="2"/>
    <s v="PERBEL GERAN LAKSANA PBNGUN 5 MODUL BARU SKP26 APR"/>
    <s v="PBELANJAAN GERAN CIDBIBS"/>
    <x v="10"/>
    <s v="RM"/>
    <s v="KWM"/>
    <x v="2"/>
  </r>
  <r>
    <n v="-16006"/>
    <x v="2"/>
    <s v="PERBEL GERAN PERKHID MELAKSANA PRGM SFERA CIDB APR"/>
    <s v="PBELANJAAN GERAN CIDBIBS"/>
    <x v="10"/>
    <s v="RM"/>
    <s v="KWM"/>
    <x v="2"/>
  </r>
  <r>
    <n v="-48233.06"/>
    <x v="2"/>
    <s v="PERBEL GERAN PBNGUNN MODULAR ROADMAP 2026-2030 MEI"/>
    <s v="PBELANJAAN GERAN CIDB IBS"/>
    <x v="10"/>
    <s v="RM"/>
    <s v="KWM"/>
    <x v="5"/>
  </r>
  <r>
    <n v="-114500"/>
    <x v="2"/>
    <s v="PERBEL GERAN MELAKSANAKAN PRGM LATIHAN IBS26 MEI"/>
    <s v="PBELANJAAN GERAN CIDB IBS"/>
    <x v="10"/>
    <s v="RM"/>
    <s v="KWM"/>
    <x v="0"/>
  </r>
  <r>
    <n v="-43748.4"/>
    <x v="2"/>
    <s v="PERBEL GERAN PRGM FMPRO APRENTICE (OJT) FM UAE MEI"/>
    <s v="PBELANJAAN GERAN CIDB IBS"/>
    <x v="10"/>
    <s v="RM"/>
    <s v="KWM"/>
    <x v="2"/>
  </r>
  <r>
    <n v="-20103.439999999999"/>
    <x v="2"/>
    <s v="PERBEL GERAN PMBGN SOR,SOM&amp;PNDUAN PEROLEHAN FM MEI"/>
    <s v="PBELANJAAN GERAN CIDB IBS"/>
    <x v="10"/>
    <s v="RM"/>
    <s v="KWM"/>
    <x v="2"/>
  </r>
  <r>
    <n v="-39340"/>
    <x v="2"/>
    <s v="PERBEL GERAN PGURUS ACARA INT.FM ENGAGEMNT DAY MEI"/>
    <s v="PBELANJAAN GERAN CIDB IBS"/>
    <x v="10"/>
    <s v="RM"/>
    <s v="KWM"/>
    <x v="2"/>
  </r>
  <r>
    <n v="-166770.79999999999"/>
    <x v="2"/>
    <s v="PERBEL GERAN H/TUJU KSIAPSIAGAAN TNAGA NUKLEAR MEI"/>
    <s v="PBELANJAAN GERAN CIDB IBS"/>
    <x v="10"/>
    <s v="RM"/>
    <s v="KWM"/>
    <x v="2"/>
  </r>
  <r>
    <n v="-30000"/>
    <x v="2"/>
    <s v="PERBEL GERAN PBNGN 5 MODUL E-LEARNING SKP26 MEI"/>
    <s v="PBELANJAAN GERAN CIDB IBS"/>
    <x v="10"/>
    <s v="RM"/>
    <s v="KWM"/>
    <x v="2"/>
  </r>
  <r>
    <n v="-30000"/>
    <x v="2"/>
    <s v="PERBEL GERAN LAKSANA PBNGUN 5 MODUL BARU SKP26 MEI"/>
    <s v="PBELANJAAN GERAN CIDB IBS"/>
    <x v="10"/>
    <s v="RM"/>
    <s v="KWM"/>
    <x v="2"/>
  </r>
  <r>
    <n v="-16006"/>
    <x v="2"/>
    <s v="PERBEL GERAN PERKHID MELAKSANA PRGM SFERA CIDB MEI"/>
    <s v="PBELANJAAN GERAN CIDB IBS"/>
    <x v="10"/>
    <s v="RM"/>
    <s v="KWM"/>
    <x v="2"/>
  </r>
  <r>
    <n v="-16830"/>
    <x v="2"/>
    <s v="PERBEL GERAN PGNJURN PRGM INSPIRED L/SHIP TALK MEI"/>
    <s v="PBELANJAAN GERAN CIDB IBS"/>
    <x v="10"/>
    <s v="RM"/>
    <s v="KWM"/>
    <x v="2"/>
  </r>
  <r>
    <n v="-70000"/>
    <x v="2"/>
    <s v="PERBEL GERAN MELAKSANAKAN PRGM LATIHAN IBS26 JUN"/>
    <s v="PBELANJAAN GERAN CIDB IBS"/>
    <x v="10"/>
    <s v="RM"/>
    <s v="KWM"/>
    <x v="0"/>
  </r>
  <r>
    <n v="-13748.4"/>
    <x v="2"/>
    <s v="PERBEL GERAN PRGM FMPRO APRENTICE (OJT) FM UAE JUN"/>
    <s v="PBELANJAAN GERAN CIDB IBS"/>
    <x v="10"/>
    <s v="RM"/>
    <s v="KWM"/>
    <x v="2"/>
  </r>
  <r>
    <n v="-110298.4"/>
    <x v="2"/>
    <s v="PERBEL GERAN PRGM KUM TENAGA PGAJAR PMERIKSA26 JUN"/>
    <s v="PBELANJAAN GERAN CIDBIBS"/>
    <x v="10"/>
    <s v="RM"/>
    <s v="KWM"/>
    <x v="2"/>
  </r>
  <r>
    <n v="-240000"/>
    <x v="2"/>
    <s v="PERBEL GERAN PBNGN 5 MODUL E-LEARNING SKP26 JUN"/>
    <s v="PBELANJAAN GERAN CIDB IBS"/>
    <x v="10"/>
    <s v="RM"/>
    <s v="KWM"/>
    <x v="2"/>
  </r>
  <r>
    <n v="-29000"/>
    <x v="2"/>
    <s v="PERBEL GERAN LAKSANA PBNGUN 5 MODUL BARU SKP26 JUN"/>
    <s v="PBELANJAAN GERAN CIDB IBS"/>
    <x v="10"/>
    <s v="RM"/>
    <s v="KWM"/>
    <x v="2"/>
  </r>
  <r>
    <n v="-81006"/>
    <x v="2"/>
    <s v="PERBEL GERAN PERKHID MELAKSANA PRGM SFERA CIDB JUN"/>
    <s v="PBELANJAAN GERAN CIDB IBS"/>
    <x v="10"/>
    <s v="RM"/>
    <s v="KWM"/>
    <x v="2"/>
  </r>
  <r>
    <n v="-200000"/>
    <x v="2"/>
    <s v="PERBEL GRAN MENGURUS DELEGASI CIDB KE LAS VEGAS-6"/>
    <s v="PBELANJAAN GERAN CIDB IBS"/>
    <x v="10"/>
    <s v="RM"/>
    <s v="KWM"/>
    <x v="5"/>
  </r>
  <r>
    <n v="-80680"/>
    <x v="2"/>
    <s v="PERBEL GERAN OPS&amp;SLGGRA 1&amp;9 RMH CTH IBS JUN"/>
    <s v="PBELANJAAN GERAN CIDB IBS"/>
    <x v="10"/>
    <s v="RM"/>
    <s v="KWM"/>
    <x v="5"/>
  </r>
  <r>
    <n v="-11869.2"/>
    <x v="2"/>
    <s v="PERBEL GERAN PGURUSN DIRECTORI ORANGE BOOK26 JUN"/>
    <s v="PBELANJAAN GERAN CIDB IBS"/>
    <x v="10"/>
    <s v="RM"/>
    <s v="KWM"/>
    <x v="5"/>
  </r>
  <r>
    <n v="76200"/>
    <x v="1"/>
    <s v="GERAN PROGRAM PERANTISAN IND PEMBINAAN 2026-1"/>
    <s v="GERAN PRGM PERANTISAN -1"/>
    <x v="11"/>
    <s v="RM"/>
    <s v="KWM"/>
    <x v="0"/>
  </r>
  <r>
    <n v="48750"/>
    <x v="1"/>
    <s v="GERAN PENGANJURAN PERINGKAT AKHIR WSMB 2026-1"/>
    <s v="GERAN PRNGKT AKHIR WSMB-1"/>
    <x v="11"/>
    <s v="RM"/>
    <s v="KWM"/>
    <x v="0"/>
  </r>
  <r>
    <n v="-16872"/>
    <x v="2"/>
    <s v="PERBEL GERAN PROGRAM PERANTISAN IND PBINA26 APR"/>
    <s v="PBELANJAAN GERAN CIDBTECH"/>
    <x v="11"/>
    <s v="RM"/>
    <s v="KWM"/>
    <x v="0"/>
  </r>
  <r>
    <n v="-17272"/>
    <x v="2"/>
    <s v="PERBEL GERAN PROGRAM PERANTISAN IND PBINA26 MEI"/>
    <s v="PBELANJAAN GERAN CIDBTECH"/>
    <x v="11"/>
    <s v="RM"/>
    <s v="KWM"/>
    <x v="0"/>
  </r>
  <r>
    <n v="-23800"/>
    <x v="2"/>
    <s v="PERBEL GERAN PROGRAM PERANTISAN IND PBINA26 JUN"/>
    <s v="PBELANJAAN GERAN CIDBTECH"/>
    <x v="11"/>
    <s v="RM"/>
    <s v="KWM"/>
    <x v="0"/>
  </r>
  <r>
    <n v="-258756.23"/>
    <x v="2"/>
    <m/>
    <m/>
    <x v="0"/>
    <m/>
    <m/>
    <x v="2"/>
  </r>
  <r>
    <n v="-525391.43999999994"/>
    <x v="2"/>
    <m/>
    <m/>
    <x v="1"/>
    <m/>
    <m/>
    <x v="6"/>
  </r>
  <r>
    <n v="-167150.67000000001"/>
    <x v="2"/>
    <m/>
    <m/>
    <x v="3"/>
    <m/>
    <m/>
    <x v="0"/>
  </r>
  <r>
    <n v="-58069.15"/>
    <x v="2"/>
    <m/>
    <m/>
    <x v="7"/>
    <m/>
    <m/>
    <x v="0"/>
  </r>
  <r>
    <n v="-53380.29"/>
    <x v="2"/>
    <m/>
    <m/>
    <x v="10"/>
    <m/>
    <m/>
    <x v="5"/>
  </r>
  <r>
    <n v="-138481.23000000001"/>
    <x v="2"/>
    <m/>
    <m/>
    <x v="10"/>
    <m/>
    <m/>
    <x v="2"/>
  </r>
  <r>
    <n v="-48750"/>
    <x v="2"/>
    <m/>
    <m/>
    <x v="11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0F222-CF87-4BB2-9BFF-9BAA2FBAB01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F28" firstHeaderRow="1" firstDataRow="2" firstDataCol="1"/>
  <pivotFields count="8">
    <pivotField dataField="1"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6"/>
        <item x="4"/>
        <item x="5"/>
        <item x="7"/>
        <item x="3"/>
        <item x="0"/>
        <item x="1"/>
        <item x="2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 in local currenc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F843B-A825-4F70-9BC6-994A7CF462C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O14" firstHeaderRow="1" firstDataRow="3" firstDataCol="1"/>
  <pivotFields count="8">
    <pivotField dataField="1" numFmtId="4"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Row" showAll="0">
      <items count="9">
        <item x="6"/>
        <item x="4"/>
        <item x="5"/>
        <item x="7"/>
        <item x="3"/>
        <item x="0"/>
        <item x="1"/>
        <item x="2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4"/>
    <field x="1"/>
  </colFields>
  <colItems count="40">
    <i>
      <x/>
      <x/>
    </i>
    <i r="1">
      <x v="1"/>
    </i>
    <i r="1">
      <x v="2"/>
    </i>
    <i t="default">
      <x/>
    </i>
    <i>
      <x v="1"/>
      <x/>
    </i>
    <i r="1">
      <x v="2"/>
    </i>
    <i r="1">
      <x v="3"/>
    </i>
    <i t="default">
      <x v="1"/>
    </i>
    <i>
      <x v="2"/>
      <x/>
    </i>
    <i r="1">
      <x v="2"/>
    </i>
    <i t="default">
      <x v="2"/>
    </i>
    <i>
      <x v="3"/>
      <x/>
    </i>
    <i r="1">
      <x v="2"/>
    </i>
    <i t="default">
      <x v="3"/>
    </i>
    <i>
      <x v="4"/>
      <x/>
    </i>
    <i r="1">
      <x v="2"/>
    </i>
    <i t="default">
      <x v="4"/>
    </i>
    <i>
      <x v="5"/>
      <x/>
    </i>
    <i r="1">
      <x v="2"/>
    </i>
    <i t="default">
      <x v="5"/>
    </i>
    <i>
      <x v="6"/>
      <x/>
    </i>
    <i r="1">
      <x v="2"/>
    </i>
    <i t="default">
      <x v="6"/>
    </i>
    <i>
      <x v="7"/>
      <x/>
    </i>
    <i r="1">
      <x v="2"/>
    </i>
    <i t="default">
      <x v="7"/>
    </i>
    <i>
      <x v="8"/>
      <x/>
    </i>
    <i r="1">
      <x v="1"/>
    </i>
    <i r="1">
      <x v="2"/>
    </i>
    <i t="default">
      <x v="8"/>
    </i>
    <i>
      <x v="9"/>
      <x/>
    </i>
    <i r="1">
      <x v="2"/>
    </i>
    <i t="default">
      <x v="9"/>
    </i>
    <i>
      <x v="10"/>
      <x/>
    </i>
    <i r="1">
      <x v="2"/>
    </i>
    <i t="default">
      <x v="10"/>
    </i>
    <i>
      <x v="11"/>
      <x/>
    </i>
    <i r="1">
      <x v="2"/>
    </i>
    <i t="default">
      <x v="11"/>
    </i>
    <i t="grand">
      <x/>
    </i>
  </colItems>
  <dataFields count="1">
    <dataField name="Sum of Amount in local currency" fld="0" baseField="0" baseItem="0" numFmtId="4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6"/>
  <sheetViews>
    <sheetView topLeftCell="K268" workbookViewId="0">
      <selection activeCell="M279" sqref="M1:T279"/>
    </sheetView>
  </sheetViews>
  <sheetFormatPr defaultRowHeight="12.5" x14ac:dyDescent="0.25"/>
  <cols>
    <col min="1" max="1" width="10" customWidth="1"/>
    <col min="2" max="2" width="15.54296875" customWidth="1"/>
    <col min="3" max="3" width="9.54296875" customWidth="1"/>
    <col min="4" max="4" width="10.26953125" customWidth="1"/>
    <col min="5" max="5" width="10.90625" customWidth="1"/>
    <col min="6" max="6" width="4.453125" customWidth="1"/>
    <col min="7" max="7" width="15" bestFit="1" customWidth="1"/>
    <col min="8" max="8" width="14" bestFit="1" customWidth="1"/>
    <col min="9" max="9" width="2.54296875" customWidth="1"/>
    <col min="10" max="10" width="7.54296875" customWidth="1"/>
    <col min="11" max="11" width="5" customWidth="1"/>
    <col min="12" max="12" width="4.36328125" customWidth="1"/>
    <col min="13" max="13" width="13" bestFit="1" customWidth="1"/>
    <col min="14" max="14" width="8.36328125" customWidth="1"/>
    <col min="15" max="15" width="8.6328125" customWidth="1"/>
    <col min="16" max="16" width="5" customWidth="1"/>
    <col min="17" max="17" width="7.90625" customWidth="1"/>
    <col min="18" max="18" width="5.6328125" customWidth="1"/>
    <col min="19" max="19" width="6" bestFit="1" customWidth="1"/>
    <col min="20" max="20" width="9.6328125" customWidth="1"/>
    <col min="21" max="21" width="10.453125" customWidth="1"/>
    <col min="22" max="22" width="11.453125" customWidth="1"/>
    <col min="23" max="23" width="11.81640625" customWidth="1"/>
    <col min="24" max="24" width="11" bestFit="1" customWidth="1"/>
    <col min="25" max="25" width="20" bestFit="1" customWidth="1"/>
    <col min="26" max="26" width="17" bestFit="1" customWidth="1"/>
    <col min="27" max="27" width="10" bestFit="1" customWidth="1"/>
  </cols>
  <sheetData>
    <row r="1" spans="1:27" ht="29.5" customHeight="1" x14ac:dyDescent="0.25">
      <c r="A1" s="1" t="s">
        <v>1123</v>
      </c>
      <c r="B1" s="1" t="s">
        <v>1124</v>
      </c>
      <c r="C1" s="1" t="s">
        <v>1125</v>
      </c>
      <c r="D1" s="1" t="s">
        <v>1126</v>
      </c>
      <c r="E1" s="1" t="s">
        <v>1127</v>
      </c>
      <c r="F1" s="10" t="s">
        <v>1128</v>
      </c>
      <c r="G1" s="1" t="s">
        <v>1129</v>
      </c>
      <c r="H1" s="1" t="s">
        <v>1130</v>
      </c>
      <c r="I1" s="10" t="s">
        <v>1131</v>
      </c>
      <c r="J1" s="1" t="s">
        <v>1132</v>
      </c>
      <c r="K1" s="1" t="s">
        <v>1133</v>
      </c>
      <c r="L1" s="1" t="s">
        <v>1134</v>
      </c>
      <c r="M1" s="10" t="s">
        <v>1135</v>
      </c>
      <c r="N1" s="11" t="s">
        <v>1149</v>
      </c>
      <c r="O1" s="1" t="s">
        <v>1143</v>
      </c>
      <c r="P1" s="1" t="s">
        <v>1144</v>
      </c>
      <c r="Q1" s="1" t="s">
        <v>1141</v>
      </c>
      <c r="R1" s="10" t="s">
        <v>1136</v>
      </c>
      <c r="S1" s="1" t="s">
        <v>1137</v>
      </c>
      <c r="T1" s="1" t="s">
        <v>1138</v>
      </c>
      <c r="U1" s="1" t="s">
        <v>1139</v>
      </c>
      <c r="V1" s="1" t="s">
        <v>1140</v>
      </c>
      <c r="W1" s="1" t="s">
        <v>1142</v>
      </c>
      <c r="X1" s="1" t="s">
        <v>1145</v>
      </c>
      <c r="Y1" s="1" t="s">
        <v>1146</v>
      </c>
      <c r="Z1" s="1" t="s">
        <v>1147</v>
      </c>
      <c r="AA1" s="1" t="s">
        <v>1148</v>
      </c>
    </row>
    <row r="2" spans="1:27" ht="14" customHeight="1" x14ac:dyDescent="0.25">
      <c r="A2" s="2">
        <v>46157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s="2">
        <v>46157</v>
      </c>
      <c r="H2" s="2">
        <v>46157</v>
      </c>
      <c r="I2" t="s">
        <v>5</v>
      </c>
      <c r="J2" t="s">
        <v>6</v>
      </c>
      <c r="K2" t="s">
        <v>7</v>
      </c>
      <c r="L2" t="s">
        <v>8</v>
      </c>
      <c r="M2" s="3">
        <v>-5400</v>
      </c>
      <c r="N2" s="3" t="s">
        <v>1150</v>
      </c>
      <c r="O2" t="s">
        <v>14</v>
      </c>
      <c r="P2" t="s">
        <v>15</v>
      </c>
      <c r="Q2" t="s">
        <v>12</v>
      </c>
      <c r="R2" t="s">
        <v>9</v>
      </c>
      <c r="S2" t="s">
        <v>10</v>
      </c>
      <c r="T2" t="s">
        <v>11</v>
      </c>
      <c r="U2" t="s">
        <v>0</v>
      </c>
      <c r="V2" t="s">
        <v>11</v>
      </c>
      <c r="W2" t="s">
        <v>13</v>
      </c>
      <c r="X2" t="s">
        <v>16</v>
      </c>
      <c r="Y2" t="s">
        <v>17</v>
      </c>
      <c r="Z2" t="s">
        <v>0</v>
      </c>
      <c r="AA2" t="s">
        <v>0</v>
      </c>
    </row>
    <row r="3" spans="1:27" ht="14" customHeight="1" x14ac:dyDescent="0.25">
      <c r="A3" s="2">
        <v>46157</v>
      </c>
      <c r="B3" t="s">
        <v>1</v>
      </c>
      <c r="C3" t="s">
        <v>2</v>
      </c>
      <c r="D3" t="s">
        <v>18</v>
      </c>
      <c r="E3" t="s">
        <v>18</v>
      </c>
      <c r="F3" t="s">
        <v>4</v>
      </c>
      <c r="G3" s="2">
        <v>46157</v>
      </c>
      <c r="H3" s="2">
        <v>46157</v>
      </c>
      <c r="I3" t="s">
        <v>5</v>
      </c>
      <c r="J3" t="s">
        <v>6</v>
      </c>
      <c r="K3" t="s">
        <v>7</v>
      </c>
      <c r="L3" t="s">
        <v>8</v>
      </c>
      <c r="M3" s="3">
        <v>-11174.59</v>
      </c>
      <c r="N3" s="3" t="s">
        <v>1150</v>
      </c>
      <c r="O3" t="s">
        <v>19</v>
      </c>
      <c r="P3" t="s">
        <v>15</v>
      </c>
      <c r="Q3" t="s">
        <v>12</v>
      </c>
      <c r="R3" t="s">
        <v>9</v>
      </c>
      <c r="S3" t="s">
        <v>10</v>
      </c>
      <c r="T3" t="s">
        <v>11</v>
      </c>
      <c r="U3" t="s">
        <v>0</v>
      </c>
      <c r="V3" t="s">
        <v>11</v>
      </c>
      <c r="W3" t="s">
        <v>13</v>
      </c>
      <c r="X3" t="s">
        <v>16</v>
      </c>
      <c r="Y3" t="s">
        <v>20</v>
      </c>
      <c r="Z3" t="s">
        <v>0</v>
      </c>
      <c r="AA3" t="s">
        <v>0</v>
      </c>
    </row>
    <row r="4" spans="1:27" ht="14" customHeight="1" x14ac:dyDescent="0.25">
      <c r="A4" s="2">
        <v>46157</v>
      </c>
      <c r="B4" t="s">
        <v>1</v>
      </c>
      <c r="C4" t="s">
        <v>2</v>
      </c>
      <c r="D4" t="s">
        <v>21</v>
      </c>
      <c r="E4" t="s">
        <v>21</v>
      </c>
      <c r="F4" t="s">
        <v>4</v>
      </c>
      <c r="G4" s="2">
        <v>46157</v>
      </c>
      <c r="H4" s="2">
        <v>46157</v>
      </c>
      <c r="I4" t="s">
        <v>5</v>
      </c>
      <c r="J4" t="s">
        <v>6</v>
      </c>
      <c r="K4" t="s">
        <v>7</v>
      </c>
      <c r="L4" t="s">
        <v>8</v>
      </c>
      <c r="M4" s="3">
        <v>-4989.6000000000004</v>
      </c>
      <c r="N4" s="3" t="s">
        <v>1150</v>
      </c>
      <c r="O4" t="s">
        <v>22</v>
      </c>
      <c r="P4" t="s">
        <v>15</v>
      </c>
      <c r="Q4" t="s">
        <v>12</v>
      </c>
      <c r="R4" t="s">
        <v>9</v>
      </c>
      <c r="S4" t="s">
        <v>10</v>
      </c>
      <c r="T4" t="s">
        <v>11</v>
      </c>
      <c r="U4" t="s">
        <v>0</v>
      </c>
      <c r="V4" t="s">
        <v>11</v>
      </c>
      <c r="W4" t="s">
        <v>13</v>
      </c>
      <c r="X4" t="s">
        <v>16</v>
      </c>
      <c r="Y4" t="s">
        <v>23</v>
      </c>
      <c r="Z4" t="s">
        <v>0</v>
      </c>
      <c r="AA4" t="s">
        <v>0</v>
      </c>
    </row>
    <row r="5" spans="1:27" ht="14" customHeight="1" x14ac:dyDescent="0.25">
      <c r="A5" s="2">
        <v>46057</v>
      </c>
      <c r="B5" t="s">
        <v>24</v>
      </c>
      <c r="C5" t="s">
        <v>25</v>
      </c>
      <c r="D5" t="s">
        <v>26</v>
      </c>
      <c r="E5" t="s">
        <v>26</v>
      </c>
      <c r="F5" t="s">
        <v>27</v>
      </c>
      <c r="G5" s="2">
        <v>46044</v>
      </c>
      <c r="H5" s="2">
        <v>46053</v>
      </c>
      <c r="I5" t="s">
        <v>28</v>
      </c>
      <c r="J5" t="s">
        <v>29</v>
      </c>
      <c r="K5" t="s">
        <v>7</v>
      </c>
      <c r="L5" t="s">
        <v>30</v>
      </c>
      <c r="M5" s="3">
        <v>15255000</v>
      </c>
      <c r="N5" s="3" t="s">
        <v>1152</v>
      </c>
      <c r="O5" t="s">
        <v>31</v>
      </c>
      <c r="P5" t="s">
        <v>0</v>
      </c>
      <c r="Q5" t="s">
        <v>12</v>
      </c>
      <c r="R5" t="s">
        <v>9</v>
      </c>
      <c r="S5" t="s">
        <v>10</v>
      </c>
      <c r="T5" t="s">
        <v>11</v>
      </c>
      <c r="U5" t="s">
        <v>11</v>
      </c>
      <c r="V5" t="s">
        <v>11</v>
      </c>
      <c r="W5" t="s">
        <v>13</v>
      </c>
      <c r="X5" t="s">
        <v>32</v>
      </c>
      <c r="Y5" t="s">
        <v>0</v>
      </c>
      <c r="Z5" t="s">
        <v>0</v>
      </c>
      <c r="AA5" t="s">
        <v>0</v>
      </c>
    </row>
    <row r="6" spans="1:27" ht="14" customHeight="1" x14ac:dyDescent="0.25">
      <c r="A6" s="2">
        <v>46057</v>
      </c>
      <c r="B6" t="s">
        <v>33</v>
      </c>
      <c r="C6" t="s">
        <v>25</v>
      </c>
      <c r="D6" t="s">
        <v>34</v>
      </c>
      <c r="E6" t="s">
        <v>34</v>
      </c>
      <c r="F6" t="s">
        <v>27</v>
      </c>
      <c r="G6" s="2">
        <v>46029</v>
      </c>
      <c r="H6" s="2">
        <v>46053</v>
      </c>
      <c r="I6" t="s">
        <v>28</v>
      </c>
      <c r="J6" t="s">
        <v>29</v>
      </c>
      <c r="K6" t="s">
        <v>7</v>
      </c>
      <c r="L6" t="s">
        <v>30</v>
      </c>
      <c r="M6" s="3">
        <v>720000</v>
      </c>
      <c r="N6" s="3" t="s">
        <v>1152</v>
      </c>
      <c r="O6" t="s">
        <v>36</v>
      </c>
      <c r="P6" t="s">
        <v>37</v>
      </c>
      <c r="Q6" t="s">
        <v>12</v>
      </c>
      <c r="R6" t="s">
        <v>9</v>
      </c>
      <c r="S6" t="s">
        <v>10</v>
      </c>
      <c r="T6" t="s">
        <v>35</v>
      </c>
      <c r="U6" t="s">
        <v>35</v>
      </c>
      <c r="V6" t="s">
        <v>35</v>
      </c>
      <c r="W6" t="s">
        <v>13</v>
      </c>
      <c r="X6" t="s">
        <v>32</v>
      </c>
      <c r="Y6" t="s">
        <v>0</v>
      </c>
      <c r="Z6" t="s">
        <v>0</v>
      </c>
      <c r="AA6" t="s">
        <v>0</v>
      </c>
    </row>
    <row r="7" spans="1:27" ht="14" customHeight="1" x14ac:dyDescent="0.25">
      <c r="A7" s="2">
        <v>46065</v>
      </c>
      <c r="B7" t="s">
        <v>38</v>
      </c>
      <c r="C7" t="s">
        <v>25</v>
      </c>
      <c r="D7" t="s">
        <v>39</v>
      </c>
      <c r="E7" t="s">
        <v>39</v>
      </c>
      <c r="F7" t="s">
        <v>27</v>
      </c>
      <c r="G7" s="2">
        <v>46027</v>
      </c>
      <c r="H7" s="2">
        <v>46053</v>
      </c>
      <c r="I7" t="s">
        <v>28</v>
      </c>
      <c r="J7" t="s">
        <v>29</v>
      </c>
      <c r="K7" t="s">
        <v>7</v>
      </c>
      <c r="L7" t="s">
        <v>30</v>
      </c>
      <c r="M7" s="3">
        <v>1900000</v>
      </c>
      <c r="N7" s="3" t="s">
        <v>1152</v>
      </c>
      <c r="O7" t="s">
        <v>40</v>
      </c>
      <c r="P7" t="s">
        <v>0</v>
      </c>
      <c r="Q7" t="s">
        <v>12</v>
      </c>
      <c r="R7" t="s">
        <v>9</v>
      </c>
      <c r="S7" t="s">
        <v>10</v>
      </c>
      <c r="T7" t="s">
        <v>35</v>
      </c>
      <c r="U7" t="s">
        <v>35</v>
      </c>
      <c r="V7" t="s">
        <v>35</v>
      </c>
      <c r="W7" t="s">
        <v>13</v>
      </c>
      <c r="X7" t="s">
        <v>32</v>
      </c>
      <c r="Y7" t="s">
        <v>0</v>
      </c>
      <c r="Z7" t="s">
        <v>0</v>
      </c>
      <c r="AA7" t="s">
        <v>0</v>
      </c>
    </row>
    <row r="8" spans="1:27" ht="14" customHeight="1" x14ac:dyDescent="0.25">
      <c r="A8" s="2">
        <v>46065</v>
      </c>
      <c r="B8" t="s">
        <v>41</v>
      </c>
      <c r="C8" t="s">
        <v>25</v>
      </c>
      <c r="D8" t="s">
        <v>42</v>
      </c>
      <c r="E8" t="s">
        <v>42</v>
      </c>
      <c r="F8" t="s">
        <v>27</v>
      </c>
      <c r="G8" s="2">
        <v>46049</v>
      </c>
      <c r="H8" s="2">
        <v>46053</v>
      </c>
      <c r="I8" t="s">
        <v>28</v>
      </c>
      <c r="J8" t="s">
        <v>29</v>
      </c>
      <c r="K8" t="s">
        <v>7</v>
      </c>
      <c r="L8" t="s">
        <v>30</v>
      </c>
      <c r="M8" s="3">
        <v>150000</v>
      </c>
      <c r="N8" s="3" t="s">
        <v>1152</v>
      </c>
      <c r="O8" t="s">
        <v>44</v>
      </c>
      <c r="P8" t="s">
        <v>45</v>
      </c>
      <c r="Q8" t="s">
        <v>12</v>
      </c>
      <c r="R8" t="s">
        <v>9</v>
      </c>
      <c r="S8" t="s">
        <v>10</v>
      </c>
      <c r="T8" t="s">
        <v>43</v>
      </c>
      <c r="U8" t="s">
        <v>43</v>
      </c>
      <c r="V8" t="s">
        <v>43</v>
      </c>
      <c r="W8" t="s">
        <v>13</v>
      </c>
      <c r="X8" t="s">
        <v>32</v>
      </c>
      <c r="Y8" t="s">
        <v>0</v>
      </c>
      <c r="Z8" t="s">
        <v>0</v>
      </c>
      <c r="AA8" t="s">
        <v>0</v>
      </c>
    </row>
    <row r="9" spans="1:27" ht="14" customHeight="1" x14ac:dyDescent="0.25">
      <c r="A9" s="2">
        <v>46073</v>
      </c>
      <c r="B9" t="s">
        <v>46</v>
      </c>
      <c r="C9" t="s">
        <v>25</v>
      </c>
      <c r="D9" t="s">
        <v>47</v>
      </c>
      <c r="E9" t="s">
        <v>47</v>
      </c>
      <c r="F9" t="s">
        <v>27</v>
      </c>
      <c r="G9" s="2">
        <v>46036</v>
      </c>
      <c r="H9" s="2">
        <v>46053</v>
      </c>
      <c r="I9" t="s">
        <v>28</v>
      </c>
      <c r="J9" t="s">
        <v>29</v>
      </c>
      <c r="K9" t="s">
        <v>7</v>
      </c>
      <c r="L9" t="s">
        <v>30</v>
      </c>
      <c r="M9" s="3">
        <v>370000</v>
      </c>
      <c r="N9" s="3" t="s">
        <v>1152</v>
      </c>
      <c r="O9" t="s">
        <v>49</v>
      </c>
      <c r="P9" t="s">
        <v>50</v>
      </c>
      <c r="Q9" t="s">
        <v>12</v>
      </c>
      <c r="R9" t="s">
        <v>9</v>
      </c>
      <c r="S9" t="s">
        <v>10</v>
      </c>
      <c r="T9" t="s">
        <v>48</v>
      </c>
      <c r="U9" t="s">
        <v>48</v>
      </c>
      <c r="V9" t="s">
        <v>48</v>
      </c>
      <c r="W9" t="s">
        <v>13</v>
      </c>
      <c r="X9" t="s">
        <v>32</v>
      </c>
      <c r="Y9" t="s">
        <v>0</v>
      </c>
      <c r="Z9" t="s">
        <v>0</v>
      </c>
      <c r="AA9" t="s">
        <v>0</v>
      </c>
    </row>
    <row r="10" spans="1:27" ht="14" customHeight="1" x14ac:dyDescent="0.25">
      <c r="A10" s="2">
        <v>46077</v>
      </c>
      <c r="B10" t="s">
        <v>51</v>
      </c>
      <c r="C10" t="s">
        <v>25</v>
      </c>
      <c r="D10" t="s">
        <v>52</v>
      </c>
      <c r="E10" t="s">
        <v>52</v>
      </c>
      <c r="F10" t="s">
        <v>27</v>
      </c>
      <c r="G10" s="2">
        <v>46066</v>
      </c>
      <c r="H10" s="2">
        <v>46053</v>
      </c>
      <c r="I10" t="s">
        <v>28</v>
      </c>
      <c r="J10" t="s">
        <v>29</v>
      </c>
      <c r="K10" t="s">
        <v>7</v>
      </c>
      <c r="L10" t="s">
        <v>30</v>
      </c>
      <c r="M10" s="3">
        <v>700000</v>
      </c>
      <c r="N10" s="3" t="s">
        <v>1152</v>
      </c>
      <c r="O10" t="s">
        <v>53</v>
      </c>
      <c r="P10" t="s">
        <v>54</v>
      </c>
      <c r="Q10" t="s">
        <v>12</v>
      </c>
      <c r="R10" t="s">
        <v>9</v>
      </c>
      <c r="S10" t="s">
        <v>10</v>
      </c>
      <c r="T10" t="s">
        <v>43</v>
      </c>
      <c r="U10" t="s">
        <v>43</v>
      </c>
      <c r="V10" t="s">
        <v>43</v>
      </c>
      <c r="W10" t="s">
        <v>13</v>
      </c>
      <c r="X10" t="s">
        <v>32</v>
      </c>
      <c r="Y10" t="s">
        <v>0</v>
      </c>
      <c r="Z10" t="s">
        <v>0</v>
      </c>
      <c r="AA10" t="s">
        <v>0</v>
      </c>
    </row>
    <row r="11" spans="1:27" ht="14" customHeight="1" x14ac:dyDescent="0.25">
      <c r="A11" s="2">
        <v>46077</v>
      </c>
      <c r="B11" t="s">
        <v>55</v>
      </c>
      <c r="C11" t="s">
        <v>25</v>
      </c>
      <c r="D11" t="s">
        <v>56</v>
      </c>
      <c r="E11" t="s">
        <v>56</v>
      </c>
      <c r="F11" t="s">
        <v>27</v>
      </c>
      <c r="G11" s="2">
        <v>46049</v>
      </c>
      <c r="H11" s="2">
        <v>46053</v>
      </c>
      <c r="I11" t="s">
        <v>28</v>
      </c>
      <c r="J11" t="s">
        <v>29</v>
      </c>
      <c r="K11" t="s">
        <v>7</v>
      </c>
      <c r="L11" t="s">
        <v>30</v>
      </c>
      <c r="M11" s="3">
        <v>60000</v>
      </c>
      <c r="N11" s="3" t="s">
        <v>1152</v>
      </c>
      <c r="O11" t="s">
        <v>57</v>
      </c>
      <c r="P11" t="s">
        <v>58</v>
      </c>
      <c r="Q11" t="s">
        <v>12</v>
      </c>
      <c r="R11" t="s">
        <v>9</v>
      </c>
      <c r="S11" t="s">
        <v>10</v>
      </c>
      <c r="T11" t="s">
        <v>43</v>
      </c>
      <c r="U11" t="s">
        <v>43</v>
      </c>
      <c r="V11" t="s">
        <v>43</v>
      </c>
      <c r="W11" t="s">
        <v>13</v>
      </c>
      <c r="X11" t="s">
        <v>32</v>
      </c>
      <c r="Y11" t="s">
        <v>0</v>
      </c>
      <c r="Z11" t="s">
        <v>0</v>
      </c>
      <c r="AA11" t="s">
        <v>0</v>
      </c>
    </row>
    <row r="12" spans="1:27" ht="14" customHeight="1" x14ac:dyDescent="0.25">
      <c r="A12" s="2">
        <v>46077</v>
      </c>
      <c r="B12" t="s">
        <v>59</v>
      </c>
      <c r="C12" t="s">
        <v>25</v>
      </c>
      <c r="D12" t="s">
        <v>60</v>
      </c>
      <c r="E12" t="s">
        <v>60</v>
      </c>
      <c r="F12" t="s">
        <v>27</v>
      </c>
      <c r="G12" s="2">
        <v>46049</v>
      </c>
      <c r="H12" s="2">
        <v>46053</v>
      </c>
      <c r="I12" t="s">
        <v>28</v>
      </c>
      <c r="J12" t="s">
        <v>29</v>
      </c>
      <c r="K12" t="s">
        <v>7</v>
      </c>
      <c r="L12" t="s">
        <v>30</v>
      </c>
      <c r="M12" s="3">
        <v>80000</v>
      </c>
      <c r="N12" s="3" t="s">
        <v>1152</v>
      </c>
      <c r="O12" t="s">
        <v>61</v>
      </c>
      <c r="P12" t="s">
        <v>62</v>
      </c>
      <c r="Q12" t="s">
        <v>12</v>
      </c>
      <c r="R12" t="s">
        <v>9</v>
      </c>
      <c r="S12" t="s">
        <v>10</v>
      </c>
      <c r="T12" t="s">
        <v>43</v>
      </c>
      <c r="U12" t="s">
        <v>43</v>
      </c>
      <c r="V12" t="s">
        <v>43</v>
      </c>
      <c r="W12" t="s">
        <v>13</v>
      </c>
      <c r="X12" t="s">
        <v>32</v>
      </c>
      <c r="Y12" t="s">
        <v>0</v>
      </c>
      <c r="Z12" t="s">
        <v>0</v>
      </c>
      <c r="AA12" t="s">
        <v>0</v>
      </c>
    </row>
    <row r="13" spans="1:27" ht="14" customHeight="1" x14ac:dyDescent="0.25">
      <c r="A13" s="2">
        <v>46077</v>
      </c>
      <c r="B13" t="s">
        <v>63</v>
      </c>
      <c r="C13" t="s">
        <v>25</v>
      </c>
      <c r="D13" t="s">
        <v>64</v>
      </c>
      <c r="E13" t="s">
        <v>64</v>
      </c>
      <c r="F13" t="s">
        <v>27</v>
      </c>
      <c r="G13" s="2">
        <v>46066</v>
      </c>
      <c r="H13" s="2">
        <v>46053</v>
      </c>
      <c r="I13" t="s">
        <v>28</v>
      </c>
      <c r="J13" t="s">
        <v>29</v>
      </c>
      <c r="K13" t="s">
        <v>7</v>
      </c>
      <c r="L13" t="s">
        <v>30</v>
      </c>
      <c r="M13" s="3">
        <v>175000</v>
      </c>
      <c r="N13" s="3" t="s">
        <v>1152</v>
      </c>
      <c r="O13" t="s">
        <v>65</v>
      </c>
      <c r="P13" t="s">
        <v>66</v>
      </c>
      <c r="Q13" t="s">
        <v>12</v>
      </c>
      <c r="R13" t="s">
        <v>9</v>
      </c>
      <c r="S13" t="s">
        <v>10</v>
      </c>
      <c r="T13" t="s">
        <v>43</v>
      </c>
      <c r="U13" t="s">
        <v>43</v>
      </c>
      <c r="V13" t="s">
        <v>43</v>
      </c>
      <c r="W13" t="s">
        <v>13</v>
      </c>
      <c r="X13" t="s">
        <v>32</v>
      </c>
      <c r="Y13" t="s">
        <v>0</v>
      </c>
      <c r="Z13" t="s">
        <v>0</v>
      </c>
      <c r="AA13" t="s">
        <v>0</v>
      </c>
    </row>
    <row r="14" spans="1:27" ht="14" customHeight="1" x14ac:dyDescent="0.25">
      <c r="A14" s="2">
        <v>46098</v>
      </c>
      <c r="B14" t="s">
        <v>67</v>
      </c>
      <c r="C14" t="s">
        <v>68</v>
      </c>
      <c r="D14" t="s">
        <v>69</v>
      </c>
      <c r="E14" t="s">
        <v>69</v>
      </c>
      <c r="F14" t="s">
        <v>27</v>
      </c>
      <c r="G14" s="2">
        <v>46072</v>
      </c>
      <c r="H14" s="2">
        <v>46094</v>
      </c>
      <c r="I14" t="s">
        <v>70</v>
      </c>
      <c r="J14" t="s">
        <v>71</v>
      </c>
      <c r="K14" t="s">
        <v>7</v>
      </c>
      <c r="L14" t="s">
        <v>30</v>
      </c>
      <c r="M14" s="3">
        <v>116000</v>
      </c>
      <c r="N14" s="3" t="s">
        <v>1152</v>
      </c>
      <c r="O14" t="s">
        <v>72</v>
      </c>
      <c r="P14" t="s">
        <v>73</v>
      </c>
      <c r="Q14" t="s">
        <v>12</v>
      </c>
      <c r="R14" t="s">
        <v>9</v>
      </c>
      <c r="S14" t="s">
        <v>10</v>
      </c>
      <c r="T14" t="s">
        <v>43</v>
      </c>
      <c r="U14" t="s">
        <v>43</v>
      </c>
      <c r="V14" t="s">
        <v>43</v>
      </c>
      <c r="W14" t="s">
        <v>13</v>
      </c>
      <c r="X14" t="s">
        <v>32</v>
      </c>
      <c r="Y14" t="s">
        <v>0</v>
      </c>
      <c r="Z14" t="s">
        <v>0</v>
      </c>
      <c r="AA14" t="s">
        <v>0</v>
      </c>
    </row>
    <row r="15" spans="1:27" ht="14" customHeight="1" x14ac:dyDescent="0.25">
      <c r="A15" s="2">
        <v>46098</v>
      </c>
      <c r="B15" t="s">
        <v>74</v>
      </c>
      <c r="C15" t="s">
        <v>68</v>
      </c>
      <c r="D15" t="s">
        <v>75</v>
      </c>
      <c r="E15" t="s">
        <v>75</v>
      </c>
      <c r="F15" t="s">
        <v>27</v>
      </c>
      <c r="G15" s="2">
        <v>46072</v>
      </c>
      <c r="H15" s="2">
        <v>46094</v>
      </c>
      <c r="I15" t="s">
        <v>70</v>
      </c>
      <c r="J15" t="s">
        <v>71</v>
      </c>
      <c r="K15" t="s">
        <v>7</v>
      </c>
      <c r="L15" t="s">
        <v>30</v>
      </c>
      <c r="M15" s="3">
        <v>380000</v>
      </c>
      <c r="N15" s="3" t="s">
        <v>1152</v>
      </c>
      <c r="O15" t="s">
        <v>76</v>
      </c>
      <c r="P15" t="s">
        <v>77</v>
      </c>
      <c r="Q15" t="s">
        <v>12</v>
      </c>
      <c r="R15" t="s">
        <v>9</v>
      </c>
      <c r="S15" t="s">
        <v>10</v>
      </c>
      <c r="T15" t="s">
        <v>43</v>
      </c>
      <c r="U15" t="s">
        <v>43</v>
      </c>
      <c r="V15" t="s">
        <v>43</v>
      </c>
      <c r="W15" t="s">
        <v>13</v>
      </c>
      <c r="X15" t="s">
        <v>32</v>
      </c>
      <c r="Y15" t="s">
        <v>0</v>
      </c>
      <c r="Z15" t="s">
        <v>0</v>
      </c>
      <c r="AA15" t="s">
        <v>0</v>
      </c>
    </row>
    <row r="16" spans="1:27" ht="14" customHeight="1" x14ac:dyDescent="0.25">
      <c r="A16" s="2">
        <v>46098</v>
      </c>
      <c r="B16" t="s">
        <v>78</v>
      </c>
      <c r="C16" t="s">
        <v>68</v>
      </c>
      <c r="D16" t="s">
        <v>79</v>
      </c>
      <c r="E16" t="s">
        <v>79</v>
      </c>
      <c r="F16" t="s">
        <v>27</v>
      </c>
      <c r="G16" s="2">
        <v>46080</v>
      </c>
      <c r="H16" s="2">
        <v>46094</v>
      </c>
      <c r="I16" t="s">
        <v>70</v>
      </c>
      <c r="J16" t="s">
        <v>71</v>
      </c>
      <c r="K16" t="s">
        <v>7</v>
      </c>
      <c r="L16" t="s">
        <v>30</v>
      </c>
      <c r="M16" s="3">
        <v>238000</v>
      </c>
      <c r="N16" s="3" t="s">
        <v>1152</v>
      </c>
      <c r="O16" t="s">
        <v>80</v>
      </c>
      <c r="P16" t="s">
        <v>81</v>
      </c>
      <c r="Q16" t="s">
        <v>12</v>
      </c>
      <c r="R16" t="s">
        <v>9</v>
      </c>
      <c r="S16" t="s">
        <v>10</v>
      </c>
      <c r="T16" t="s">
        <v>35</v>
      </c>
      <c r="U16" t="s">
        <v>35</v>
      </c>
      <c r="V16" t="s">
        <v>35</v>
      </c>
      <c r="W16" t="s">
        <v>13</v>
      </c>
      <c r="X16" t="s">
        <v>32</v>
      </c>
      <c r="Y16" t="s">
        <v>0</v>
      </c>
      <c r="Z16" t="s">
        <v>0</v>
      </c>
      <c r="AA16" t="s">
        <v>0</v>
      </c>
    </row>
    <row r="17" spans="1:27" ht="14" customHeight="1" x14ac:dyDescent="0.25">
      <c r="A17" s="2">
        <v>46107</v>
      </c>
      <c r="B17" t="s">
        <v>82</v>
      </c>
      <c r="C17" t="s">
        <v>83</v>
      </c>
      <c r="D17" t="s">
        <v>84</v>
      </c>
      <c r="E17" t="s">
        <v>84</v>
      </c>
      <c r="F17" t="s">
        <v>27</v>
      </c>
      <c r="G17" s="2">
        <v>46080</v>
      </c>
      <c r="H17" s="2">
        <v>46098</v>
      </c>
      <c r="I17" t="s">
        <v>70</v>
      </c>
      <c r="J17" t="s">
        <v>71</v>
      </c>
      <c r="K17" t="s">
        <v>7</v>
      </c>
      <c r="L17" t="s">
        <v>30</v>
      </c>
      <c r="M17" s="3">
        <v>380000</v>
      </c>
      <c r="N17" s="3" t="s">
        <v>1152</v>
      </c>
      <c r="O17" t="s">
        <v>85</v>
      </c>
      <c r="P17" t="s">
        <v>86</v>
      </c>
      <c r="Q17" t="s">
        <v>12</v>
      </c>
      <c r="R17" t="s">
        <v>9</v>
      </c>
      <c r="S17" t="s">
        <v>10</v>
      </c>
      <c r="T17" t="s">
        <v>43</v>
      </c>
      <c r="U17" t="s">
        <v>43</v>
      </c>
      <c r="V17" t="s">
        <v>43</v>
      </c>
      <c r="W17" t="s">
        <v>13</v>
      </c>
      <c r="X17" t="s">
        <v>32</v>
      </c>
      <c r="Y17" t="s">
        <v>0</v>
      </c>
      <c r="Z17" t="s">
        <v>0</v>
      </c>
      <c r="AA17" t="s">
        <v>0</v>
      </c>
    </row>
    <row r="18" spans="1:27" ht="14" customHeight="1" x14ac:dyDescent="0.25">
      <c r="A18" s="2">
        <v>46099</v>
      </c>
      <c r="B18" t="s">
        <v>87</v>
      </c>
      <c r="C18" t="s">
        <v>88</v>
      </c>
      <c r="D18" t="s">
        <v>89</v>
      </c>
      <c r="E18" t="s">
        <v>89</v>
      </c>
      <c r="F18" t="s">
        <v>27</v>
      </c>
      <c r="G18" s="2">
        <v>46052</v>
      </c>
      <c r="H18" s="2">
        <v>46099</v>
      </c>
      <c r="I18" t="s">
        <v>70</v>
      </c>
      <c r="J18" t="s">
        <v>71</v>
      </c>
      <c r="K18" t="s">
        <v>7</v>
      </c>
      <c r="L18" t="s">
        <v>30</v>
      </c>
      <c r="M18" s="3">
        <v>781410.04</v>
      </c>
      <c r="N18" s="3" t="s">
        <v>1152</v>
      </c>
      <c r="O18" t="s">
        <v>90</v>
      </c>
      <c r="P18" t="s">
        <v>54</v>
      </c>
      <c r="Q18" t="s">
        <v>12</v>
      </c>
      <c r="R18" t="s">
        <v>9</v>
      </c>
      <c r="S18" t="s">
        <v>10</v>
      </c>
      <c r="T18" t="s">
        <v>11</v>
      </c>
      <c r="U18" t="s">
        <v>11</v>
      </c>
      <c r="V18" t="s">
        <v>11</v>
      </c>
      <c r="W18" t="s">
        <v>13</v>
      </c>
      <c r="X18" t="s">
        <v>32</v>
      </c>
      <c r="Y18" t="s">
        <v>0</v>
      </c>
      <c r="Z18" t="s">
        <v>0</v>
      </c>
      <c r="AA18" t="s">
        <v>0</v>
      </c>
    </row>
    <row r="19" spans="1:27" ht="14" customHeight="1" x14ac:dyDescent="0.25">
      <c r="A19" s="2">
        <v>46118</v>
      </c>
      <c r="B19" t="s">
        <v>91</v>
      </c>
      <c r="C19" t="s">
        <v>92</v>
      </c>
      <c r="D19" t="s">
        <v>93</v>
      </c>
      <c r="E19" t="s">
        <v>93</v>
      </c>
      <c r="F19" t="s">
        <v>27</v>
      </c>
      <c r="G19" s="2">
        <v>46065</v>
      </c>
      <c r="H19" s="2">
        <v>46112</v>
      </c>
      <c r="I19" t="s">
        <v>70</v>
      </c>
      <c r="J19" t="s">
        <v>71</v>
      </c>
      <c r="K19" t="s">
        <v>7</v>
      </c>
      <c r="L19" t="s">
        <v>30</v>
      </c>
      <c r="M19" s="3">
        <v>546345</v>
      </c>
      <c r="N19" s="3" t="s">
        <v>1152</v>
      </c>
      <c r="O19" t="s">
        <v>95</v>
      </c>
      <c r="P19" t="s">
        <v>96</v>
      </c>
      <c r="Q19" t="s">
        <v>12</v>
      </c>
      <c r="R19" t="s">
        <v>9</v>
      </c>
      <c r="S19" t="s">
        <v>10</v>
      </c>
      <c r="T19" t="s">
        <v>94</v>
      </c>
      <c r="U19" t="s">
        <v>94</v>
      </c>
      <c r="V19" t="s">
        <v>94</v>
      </c>
      <c r="W19" t="s">
        <v>13</v>
      </c>
      <c r="X19" t="s">
        <v>32</v>
      </c>
      <c r="Y19" t="s">
        <v>0</v>
      </c>
      <c r="Z19" t="s">
        <v>0</v>
      </c>
      <c r="AA19" t="s">
        <v>0</v>
      </c>
    </row>
    <row r="20" spans="1:27" ht="14" customHeight="1" x14ac:dyDescent="0.25">
      <c r="A20" s="2">
        <v>46118</v>
      </c>
      <c r="B20" t="s">
        <v>97</v>
      </c>
      <c r="C20" t="s">
        <v>98</v>
      </c>
      <c r="D20" t="s">
        <v>99</v>
      </c>
      <c r="E20" t="s">
        <v>99</v>
      </c>
      <c r="F20" t="s">
        <v>27</v>
      </c>
      <c r="G20" s="2">
        <v>46097</v>
      </c>
      <c r="H20" s="2">
        <v>46118</v>
      </c>
      <c r="I20" t="s">
        <v>100</v>
      </c>
      <c r="J20" t="s">
        <v>101</v>
      </c>
      <c r="K20" t="s">
        <v>7</v>
      </c>
      <c r="L20" t="s">
        <v>30</v>
      </c>
      <c r="M20" s="3">
        <v>20340000</v>
      </c>
      <c r="N20" s="3" t="s">
        <v>1152</v>
      </c>
      <c r="O20" t="s">
        <v>102</v>
      </c>
      <c r="P20" t="s">
        <v>54</v>
      </c>
      <c r="Q20" t="s">
        <v>12</v>
      </c>
      <c r="R20" t="s">
        <v>9</v>
      </c>
      <c r="S20" t="s">
        <v>10</v>
      </c>
      <c r="T20" t="s">
        <v>11</v>
      </c>
      <c r="U20" t="s">
        <v>11</v>
      </c>
      <c r="V20" t="s">
        <v>11</v>
      </c>
      <c r="W20" t="s">
        <v>13</v>
      </c>
      <c r="X20" t="s">
        <v>32</v>
      </c>
      <c r="Y20" t="s">
        <v>0</v>
      </c>
      <c r="Z20" t="s">
        <v>0</v>
      </c>
      <c r="AA20" t="s">
        <v>0</v>
      </c>
    </row>
    <row r="21" spans="1:27" ht="14" customHeight="1" x14ac:dyDescent="0.25">
      <c r="A21" s="2">
        <v>46120</v>
      </c>
      <c r="B21" t="s">
        <v>103</v>
      </c>
      <c r="C21" t="s">
        <v>104</v>
      </c>
      <c r="D21" t="s">
        <v>105</v>
      </c>
      <c r="E21" t="s">
        <v>105</v>
      </c>
      <c r="F21" t="s">
        <v>27</v>
      </c>
      <c r="G21" s="2">
        <v>46098</v>
      </c>
      <c r="H21" s="2">
        <v>46120</v>
      </c>
      <c r="I21" t="s">
        <v>100</v>
      </c>
      <c r="J21" t="s">
        <v>101</v>
      </c>
      <c r="K21" t="s">
        <v>7</v>
      </c>
      <c r="L21" t="s">
        <v>30</v>
      </c>
      <c r="M21" s="3">
        <v>165000</v>
      </c>
      <c r="N21" s="3" t="s">
        <v>1152</v>
      </c>
      <c r="O21" t="s">
        <v>106</v>
      </c>
      <c r="P21" t="s">
        <v>107</v>
      </c>
      <c r="Q21" t="s">
        <v>12</v>
      </c>
      <c r="R21" t="s">
        <v>9</v>
      </c>
      <c r="S21" t="s">
        <v>10</v>
      </c>
      <c r="T21" t="s">
        <v>35</v>
      </c>
      <c r="U21" t="s">
        <v>35</v>
      </c>
      <c r="V21" t="s">
        <v>35</v>
      </c>
      <c r="W21" t="s">
        <v>13</v>
      </c>
      <c r="X21" t="s">
        <v>32</v>
      </c>
      <c r="Y21" t="s">
        <v>0</v>
      </c>
      <c r="Z21" t="s">
        <v>0</v>
      </c>
      <c r="AA21" t="s">
        <v>0</v>
      </c>
    </row>
    <row r="22" spans="1:27" ht="14" customHeight="1" x14ac:dyDescent="0.25">
      <c r="A22" s="2">
        <v>46127</v>
      </c>
      <c r="B22" t="s">
        <v>108</v>
      </c>
      <c r="C22" t="s">
        <v>109</v>
      </c>
      <c r="D22" t="s">
        <v>110</v>
      </c>
      <c r="E22" t="s">
        <v>110</v>
      </c>
      <c r="F22" t="s">
        <v>27</v>
      </c>
      <c r="G22" s="2">
        <v>46097</v>
      </c>
      <c r="H22" s="2">
        <v>46126</v>
      </c>
      <c r="I22" t="s">
        <v>100</v>
      </c>
      <c r="J22" t="s">
        <v>101</v>
      </c>
      <c r="K22" t="s">
        <v>7</v>
      </c>
      <c r="L22" t="s">
        <v>30</v>
      </c>
      <c r="M22" s="3">
        <v>365000</v>
      </c>
      <c r="N22" s="3" t="s">
        <v>1152</v>
      </c>
      <c r="O22" t="s">
        <v>111</v>
      </c>
      <c r="P22" t="s">
        <v>112</v>
      </c>
      <c r="Q22" t="s">
        <v>12</v>
      </c>
      <c r="R22" t="s">
        <v>9</v>
      </c>
      <c r="S22" t="s">
        <v>10</v>
      </c>
      <c r="T22" t="s">
        <v>11</v>
      </c>
      <c r="U22" t="s">
        <v>11</v>
      </c>
      <c r="V22" t="s">
        <v>11</v>
      </c>
      <c r="W22" t="s">
        <v>13</v>
      </c>
      <c r="X22" t="s">
        <v>32</v>
      </c>
      <c r="Y22" t="s">
        <v>0</v>
      </c>
      <c r="Z22" t="s">
        <v>0</v>
      </c>
      <c r="AA22" t="s">
        <v>0</v>
      </c>
    </row>
    <row r="23" spans="1:27" ht="14" customHeight="1" x14ac:dyDescent="0.25">
      <c r="A23" s="2">
        <v>46133</v>
      </c>
      <c r="B23" t="s">
        <v>113</v>
      </c>
      <c r="C23" t="s">
        <v>114</v>
      </c>
      <c r="D23" t="s">
        <v>115</v>
      </c>
      <c r="E23" t="s">
        <v>115</v>
      </c>
      <c r="F23" t="s">
        <v>27</v>
      </c>
      <c r="G23" s="2">
        <v>46097</v>
      </c>
      <c r="H23" s="2">
        <v>46132</v>
      </c>
      <c r="I23" t="s">
        <v>100</v>
      </c>
      <c r="J23" t="s">
        <v>101</v>
      </c>
      <c r="K23" t="s">
        <v>7</v>
      </c>
      <c r="L23" t="s">
        <v>30</v>
      </c>
      <c r="M23" s="3">
        <v>300000</v>
      </c>
      <c r="N23" s="3" t="s">
        <v>1152</v>
      </c>
      <c r="O23" t="s">
        <v>116</v>
      </c>
      <c r="P23" t="s">
        <v>117</v>
      </c>
      <c r="Q23" t="s">
        <v>12</v>
      </c>
      <c r="R23" t="s">
        <v>9</v>
      </c>
      <c r="S23" t="s">
        <v>10</v>
      </c>
      <c r="T23" t="s">
        <v>43</v>
      </c>
      <c r="U23" t="s">
        <v>43</v>
      </c>
      <c r="V23" t="s">
        <v>43</v>
      </c>
      <c r="W23" t="s">
        <v>13</v>
      </c>
      <c r="X23" t="s">
        <v>32</v>
      </c>
      <c r="Y23" t="s">
        <v>0</v>
      </c>
      <c r="Z23" t="s">
        <v>0</v>
      </c>
      <c r="AA23" t="s">
        <v>0</v>
      </c>
    </row>
    <row r="24" spans="1:27" ht="14" customHeight="1" x14ac:dyDescent="0.25">
      <c r="A24" s="2">
        <v>46146</v>
      </c>
      <c r="B24" t="s">
        <v>118</v>
      </c>
      <c r="C24" t="s">
        <v>119</v>
      </c>
      <c r="D24" t="s">
        <v>120</v>
      </c>
      <c r="E24" t="s">
        <v>120</v>
      </c>
      <c r="F24" t="s">
        <v>27</v>
      </c>
      <c r="G24" s="2">
        <v>46112</v>
      </c>
      <c r="H24" s="2">
        <v>46142</v>
      </c>
      <c r="I24" t="s">
        <v>100</v>
      </c>
      <c r="J24" t="s">
        <v>101</v>
      </c>
      <c r="K24" t="s">
        <v>7</v>
      </c>
      <c r="L24" t="s">
        <v>30</v>
      </c>
      <c r="M24" s="3">
        <v>137529.60000000001</v>
      </c>
      <c r="N24" s="3" t="s">
        <v>1152</v>
      </c>
      <c r="O24" t="s">
        <v>121</v>
      </c>
      <c r="P24" t="s">
        <v>122</v>
      </c>
      <c r="Q24" t="s">
        <v>12</v>
      </c>
      <c r="R24" t="s">
        <v>9</v>
      </c>
      <c r="S24" t="s">
        <v>10</v>
      </c>
      <c r="T24" t="s">
        <v>35</v>
      </c>
      <c r="U24" t="s">
        <v>35</v>
      </c>
      <c r="V24" t="s">
        <v>35</v>
      </c>
      <c r="W24" t="s">
        <v>13</v>
      </c>
      <c r="X24" t="s">
        <v>32</v>
      </c>
      <c r="Y24" t="s">
        <v>0</v>
      </c>
      <c r="Z24" t="s">
        <v>0</v>
      </c>
      <c r="AA24" t="s">
        <v>0</v>
      </c>
    </row>
    <row r="25" spans="1:27" ht="14" customHeight="1" x14ac:dyDescent="0.25">
      <c r="A25" s="2">
        <v>46155</v>
      </c>
      <c r="B25" t="s">
        <v>123</v>
      </c>
      <c r="C25" t="s">
        <v>124</v>
      </c>
      <c r="D25" t="s">
        <v>125</v>
      </c>
      <c r="E25" t="s">
        <v>125</v>
      </c>
      <c r="F25" t="s">
        <v>27</v>
      </c>
      <c r="G25" s="2">
        <v>46129</v>
      </c>
      <c r="H25" s="2">
        <v>46153</v>
      </c>
      <c r="I25" t="s">
        <v>5</v>
      </c>
      <c r="J25" t="s">
        <v>6</v>
      </c>
      <c r="K25" t="s">
        <v>7</v>
      </c>
      <c r="L25" t="s">
        <v>30</v>
      </c>
      <c r="M25" s="3">
        <v>250000</v>
      </c>
      <c r="N25" s="3" t="s">
        <v>1152</v>
      </c>
      <c r="O25" t="s">
        <v>126</v>
      </c>
      <c r="P25" t="s">
        <v>127</v>
      </c>
      <c r="Q25" t="s">
        <v>12</v>
      </c>
      <c r="R25" t="s">
        <v>9</v>
      </c>
      <c r="S25" t="s">
        <v>10</v>
      </c>
      <c r="T25" t="s">
        <v>11</v>
      </c>
      <c r="U25" t="s">
        <v>11</v>
      </c>
      <c r="V25" t="s">
        <v>11</v>
      </c>
      <c r="W25" t="s">
        <v>13</v>
      </c>
      <c r="X25" t="s">
        <v>32</v>
      </c>
      <c r="Y25" t="s">
        <v>0</v>
      </c>
      <c r="Z25" t="s">
        <v>0</v>
      </c>
      <c r="AA25" t="s">
        <v>0</v>
      </c>
    </row>
    <row r="26" spans="1:27" ht="14" customHeight="1" x14ac:dyDescent="0.25">
      <c r="A26" s="2">
        <v>46156</v>
      </c>
      <c r="B26" t="s">
        <v>128</v>
      </c>
      <c r="C26" t="s">
        <v>129</v>
      </c>
      <c r="D26" t="s">
        <v>130</v>
      </c>
      <c r="E26" t="s">
        <v>130</v>
      </c>
      <c r="F26" t="s">
        <v>27</v>
      </c>
      <c r="G26" s="2">
        <v>46142</v>
      </c>
      <c r="H26" s="2">
        <v>46155</v>
      </c>
      <c r="I26" t="s">
        <v>5</v>
      </c>
      <c r="J26" t="s">
        <v>6</v>
      </c>
      <c r="K26" t="s">
        <v>7</v>
      </c>
      <c r="L26" t="s">
        <v>30</v>
      </c>
      <c r="M26" s="3">
        <v>100000</v>
      </c>
      <c r="N26" s="3" t="s">
        <v>1152</v>
      </c>
      <c r="O26" t="s">
        <v>131</v>
      </c>
      <c r="P26" t="s">
        <v>132</v>
      </c>
      <c r="Q26" t="s">
        <v>12</v>
      </c>
      <c r="R26" t="s">
        <v>9</v>
      </c>
      <c r="S26" t="s">
        <v>10</v>
      </c>
      <c r="T26" t="s">
        <v>11</v>
      </c>
      <c r="U26" t="s">
        <v>11</v>
      </c>
      <c r="V26" t="s">
        <v>11</v>
      </c>
      <c r="W26" t="s">
        <v>13</v>
      </c>
      <c r="X26" t="s">
        <v>32</v>
      </c>
      <c r="Y26" t="s">
        <v>0</v>
      </c>
      <c r="Z26" t="s">
        <v>0</v>
      </c>
      <c r="AA26" t="s">
        <v>0</v>
      </c>
    </row>
    <row r="27" spans="1:27" ht="14" customHeight="1" x14ac:dyDescent="0.25">
      <c r="A27" s="2">
        <v>46156</v>
      </c>
      <c r="B27" t="s">
        <v>133</v>
      </c>
      <c r="C27" t="s">
        <v>129</v>
      </c>
      <c r="D27" t="s">
        <v>134</v>
      </c>
      <c r="E27" t="s">
        <v>134</v>
      </c>
      <c r="F27" t="s">
        <v>27</v>
      </c>
      <c r="G27" s="2">
        <v>46134</v>
      </c>
      <c r="H27" s="2">
        <v>46155</v>
      </c>
      <c r="I27" t="s">
        <v>5</v>
      </c>
      <c r="J27" t="s">
        <v>6</v>
      </c>
      <c r="K27" t="s">
        <v>7</v>
      </c>
      <c r="L27" t="s">
        <v>30</v>
      </c>
      <c r="M27" s="3">
        <v>425600</v>
      </c>
      <c r="N27" s="3" t="s">
        <v>1152</v>
      </c>
      <c r="O27" t="s">
        <v>135</v>
      </c>
      <c r="P27" t="s">
        <v>136</v>
      </c>
      <c r="Q27" t="s">
        <v>12</v>
      </c>
      <c r="R27" t="s">
        <v>9</v>
      </c>
      <c r="S27" t="s">
        <v>10</v>
      </c>
      <c r="T27" t="s">
        <v>35</v>
      </c>
      <c r="U27" t="s">
        <v>35</v>
      </c>
      <c r="V27" t="s">
        <v>35</v>
      </c>
      <c r="W27" t="s">
        <v>13</v>
      </c>
      <c r="X27" t="s">
        <v>32</v>
      </c>
      <c r="Y27" t="s">
        <v>0</v>
      </c>
      <c r="Z27" t="s">
        <v>0</v>
      </c>
      <c r="AA27" t="s">
        <v>0</v>
      </c>
    </row>
    <row r="28" spans="1:27" ht="14" customHeight="1" x14ac:dyDescent="0.25">
      <c r="A28" s="2">
        <v>46163</v>
      </c>
      <c r="B28" t="s">
        <v>137</v>
      </c>
      <c r="C28" t="s">
        <v>138</v>
      </c>
      <c r="D28" t="s">
        <v>139</v>
      </c>
      <c r="E28" t="s">
        <v>139</v>
      </c>
      <c r="F28" t="s">
        <v>27</v>
      </c>
      <c r="G28" s="2">
        <v>46118</v>
      </c>
      <c r="H28" s="2">
        <v>46161</v>
      </c>
      <c r="I28" t="s">
        <v>5</v>
      </c>
      <c r="J28" t="s">
        <v>6</v>
      </c>
      <c r="K28" t="s">
        <v>7</v>
      </c>
      <c r="L28" t="s">
        <v>30</v>
      </c>
      <c r="M28" s="3">
        <v>62441.599999999999</v>
      </c>
      <c r="N28" s="3" t="s">
        <v>1152</v>
      </c>
      <c r="O28" t="s">
        <v>140</v>
      </c>
      <c r="P28" t="s">
        <v>141</v>
      </c>
      <c r="Q28" t="s">
        <v>12</v>
      </c>
      <c r="R28" t="s">
        <v>9</v>
      </c>
      <c r="S28" t="s">
        <v>10</v>
      </c>
      <c r="T28" t="s">
        <v>94</v>
      </c>
      <c r="U28" t="s">
        <v>94</v>
      </c>
      <c r="V28" t="s">
        <v>94</v>
      </c>
      <c r="W28" t="s">
        <v>13</v>
      </c>
      <c r="X28" t="s">
        <v>32</v>
      </c>
      <c r="Y28" t="s">
        <v>0</v>
      </c>
      <c r="Z28" t="s">
        <v>0</v>
      </c>
      <c r="AA28" t="s">
        <v>0</v>
      </c>
    </row>
    <row r="29" spans="1:27" ht="14" customHeight="1" x14ac:dyDescent="0.25">
      <c r="A29" s="2">
        <v>46163</v>
      </c>
      <c r="B29" t="s">
        <v>142</v>
      </c>
      <c r="C29" t="s">
        <v>138</v>
      </c>
      <c r="D29" t="s">
        <v>143</v>
      </c>
      <c r="E29" t="s">
        <v>143</v>
      </c>
      <c r="F29" t="s">
        <v>27</v>
      </c>
      <c r="G29" s="2">
        <v>46112</v>
      </c>
      <c r="H29" s="2">
        <v>46161</v>
      </c>
      <c r="I29" t="s">
        <v>5</v>
      </c>
      <c r="J29" t="s">
        <v>6</v>
      </c>
      <c r="K29" t="s">
        <v>7</v>
      </c>
      <c r="L29" t="s">
        <v>30</v>
      </c>
      <c r="M29" s="3">
        <v>376029</v>
      </c>
      <c r="N29" s="3" t="s">
        <v>1152</v>
      </c>
      <c r="O29" t="s">
        <v>144</v>
      </c>
      <c r="P29" t="s">
        <v>145</v>
      </c>
      <c r="Q29" t="s">
        <v>12</v>
      </c>
      <c r="R29" t="s">
        <v>9</v>
      </c>
      <c r="S29" t="s">
        <v>10</v>
      </c>
      <c r="T29" t="s">
        <v>94</v>
      </c>
      <c r="U29" t="s">
        <v>94</v>
      </c>
      <c r="V29" t="s">
        <v>94</v>
      </c>
      <c r="W29" t="s">
        <v>13</v>
      </c>
      <c r="X29" t="s">
        <v>32</v>
      </c>
      <c r="Y29" t="s">
        <v>0</v>
      </c>
      <c r="Z29" t="s">
        <v>0</v>
      </c>
      <c r="AA29" t="s">
        <v>0</v>
      </c>
    </row>
    <row r="30" spans="1:27" ht="14" customHeight="1" x14ac:dyDescent="0.25">
      <c r="A30" s="2">
        <v>46181</v>
      </c>
      <c r="B30" t="s">
        <v>146</v>
      </c>
      <c r="C30" t="s">
        <v>147</v>
      </c>
      <c r="D30" t="s">
        <v>148</v>
      </c>
      <c r="E30" t="s">
        <v>148</v>
      </c>
      <c r="F30" t="s">
        <v>27</v>
      </c>
      <c r="G30" s="2">
        <v>46141</v>
      </c>
      <c r="H30" s="2">
        <v>46177</v>
      </c>
      <c r="I30" t="s">
        <v>149</v>
      </c>
      <c r="J30" t="s">
        <v>150</v>
      </c>
      <c r="K30" t="s">
        <v>7</v>
      </c>
      <c r="L30" t="s">
        <v>30</v>
      </c>
      <c r="M30" s="3">
        <v>370000</v>
      </c>
      <c r="N30" s="3" t="s">
        <v>1152</v>
      </c>
      <c r="O30" t="s">
        <v>151</v>
      </c>
      <c r="P30" t="s">
        <v>152</v>
      </c>
      <c r="Q30" t="s">
        <v>12</v>
      </c>
      <c r="R30" t="s">
        <v>9</v>
      </c>
      <c r="S30" t="s">
        <v>10</v>
      </c>
      <c r="T30" t="s">
        <v>48</v>
      </c>
      <c r="U30" t="s">
        <v>48</v>
      </c>
      <c r="V30" t="s">
        <v>48</v>
      </c>
      <c r="W30" t="s">
        <v>13</v>
      </c>
      <c r="X30" t="s">
        <v>32</v>
      </c>
      <c r="Y30" t="s">
        <v>0</v>
      </c>
      <c r="Z30" t="s">
        <v>0</v>
      </c>
      <c r="AA30" t="s">
        <v>0</v>
      </c>
    </row>
    <row r="31" spans="1:27" ht="14" customHeight="1" x14ac:dyDescent="0.25">
      <c r="A31" s="2">
        <v>46189</v>
      </c>
      <c r="B31" t="s">
        <v>153</v>
      </c>
      <c r="C31" t="s">
        <v>154</v>
      </c>
      <c r="D31" t="s">
        <v>155</v>
      </c>
      <c r="E31" t="s">
        <v>155</v>
      </c>
      <c r="F31" t="s">
        <v>27</v>
      </c>
      <c r="G31" s="2">
        <v>46157</v>
      </c>
      <c r="H31" s="2">
        <v>46182</v>
      </c>
      <c r="I31" t="s">
        <v>149</v>
      </c>
      <c r="J31" t="s">
        <v>150</v>
      </c>
      <c r="K31" t="s">
        <v>7</v>
      </c>
      <c r="L31" t="s">
        <v>30</v>
      </c>
      <c r="M31" s="3">
        <v>86998.25</v>
      </c>
      <c r="N31" s="3" t="s">
        <v>1152</v>
      </c>
      <c r="O31" t="s">
        <v>156</v>
      </c>
      <c r="P31" t="s">
        <v>157</v>
      </c>
      <c r="Q31" t="s">
        <v>12</v>
      </c>
      <c r="R31" t="s">
        <v>9</v>
      </c>
      <c r="S31" t="s">
        <v>10</v>
      </c>
      <c r="T31" t="s">
        <v>11</v>
      </c>
      <c r="U31" t="s">
        <v>11</v>
      </c>
      <c r="V31" t="s">
        <v>11</v>
      </c>
      <c r="W31" t="s">
        <v>13</v>
      </c>
      <c r="X31" t="s">
        <v>32</v>
      </c>
      <c r="Y31" t="s">
        <v>0</v>
      </c>
      <c r="Z31" t="s">
        <v>0</v>
      </c>
      <c r="AA31" t="s">
        <v>0</v>
      </c>
    </row>
    <row r="32" spans="1:27" ht="14" customHeight="1" x14ac:dyDescent="0.25">
      <c r="A32" s="2">
        <v>46189</v>
      </c>
      <c r="B32" t="s">
        <v>158</v>
      </c>
      <c r="C32" t="s">
        <v>154</v>
      </c>
      <c r="D32" t="s">
        <v>159</v>
      </c>
      <c r="E32" t="s">
        <v>159</v>
      </c>
      <c r="F32" t="s">
        <v>27</v>
      </c>
      <c r="G32" s="2">
        <v>46168</v>
      </c>
      <c r="H32" s="2">
        <v>46182</v>
      </c>
      <c r="I32" t="s">
        <v>149</v>
      </c>
      <c r="J32" t="s">
        <v>150</v>
      </c>
      <c r="K32" t="s">
        <v>7</v>
      </c>
      <c r="L32" t="s">
        <v>30</v>
      </c>
      <c r="M32" s="3">
        <v>434538</v>
      </c>
      <c r="N32" s="3" t="s">
        <v>1152</v>
      </c>
      <c r="O32" t="s">
        <v>160</v>
      </c>
      <c r="P32" t="s">
        <v>161</v>
      </c>
      <c r="Q32" t="s">
        <v>12</v>
      </c>
      <c r="R32" t="s">
        <v>9</v>
      </c>
      <c r="S32" t="s">
        <v>10</v>
      </c>
      <c r="T32" t="s">
        <v>94</v>
      </c>
      <c r="U32" t="s">
        <v>94</v>
      </c>
      <c r="V32" t="s">
        <v>94</v>
      </c>
      <c r="W32" t="s">
        <v>13</v>
      </c>
      <c r="X32" t="s">
        <v>32</v>
      </c>
      <c r="Y32" t="s">
        <v>0</v>
      </c>
      <c r="Z32" t="s">
        <v>0</v>
      </c>
      <c r="AA32" t="s">
        <v>0</v>
      </c>
    </row>
    <row r="33" spans="1:27" ht="14" customHeight="1" x14ac:dyDescent="0.25">
      <c r="A33" s="2">
        <v>46189</v>
      </c>
      <c r="B33" t="s">
        <v>162</v>
      </c>
      <c r="C33" t="s">
        <v>163</v>
      </c>
      <c r="D33" t="s">
        <v>164</v>
      </c>
      <c r="E33" t="s">
        <v>164</v>
      </c>
      <c r="F33" t="s">
        <v>27</v>
      </c>
      <c r="G33" s="2">
        <v>46142</v>
      </c>
      <c r="H33" s="2">
        <v>46189</v>
      </c>
      <c r="I33" t="s">
        <v>149</v>
      </c>
      <c r="J33" t="s">
        <v>150</v>
      </c>
      <c r="K33" t="s">
        <v>7</v>
      </c>
      <c r="L33" t="s">
        <v>30</v>
      </c>
      <c r="M33" s="3">
        <v>165000</v>
      </c>
      <c r="N33" s="3" t="s">
        <v>1152</v>
      </c>
      <c r="O33" t="s">
        <v>165</v>
      </c>
      <c r="P33" t="s">
        <v>166</v>
      </c>
      <c r="Q33" t="s">
        <v>12</v>
      </c>
      <c r="R33" t="s">
        <v>9</v>
      </c>
      <c r="S33" t="s">
        <v>10</v>
      </c>
      <c r="T33" t="s">
        <v>35</v>
      </c>
      <c r="U33" t="s">
        <v>35</v>
      </c>
      <c r="V33" t="s">
        <v>35</v>
      </c>
      <c r="W33" t="s">
        <v>13</v>
      </c>
      <c r="X33" t="s">
        <v>32</v>
      </c>
      <c r="Y33" t="s">
        <v>0</v>
      </c>
      <c r="Z33" t="s">
        <v>0</v>
      </c>
      <c r="AA33" t="s">
        <v>0</v>
      </c>
    </row>
    <row r="34" spans="1:27" ht="14" customHeight="1" x14ac:dyDescent="0.25">
      <c r="A34" s="2">
        <v>46191</v>
      </c>
      <c r="B34" t="s">
        <v>167</v>
      </c>
      <c r="C34" t="s">
        <v>168</v>
      </c>
      <c r="D34" t="s">
        <v>169</v>
      </c>
      <c r="E34" t="s">
        <v>169</v>
      </c>
      <c r="F34" t="s">
        <v>27</v>
      </c>
      <c r="G34" s="2">
        <v>46164</v>
      </c>
      <c r="H34" s="2">
        <v>46190</v>
      </c>
      <c r="I34" t="s">
        <v>149</v>
      </c>
      <c r="J34" t="s">
        <v>150</v>
      </c>
      <c r="K34" t="s">
        <v>7</v>
      </c>
      <c r="L34" t="s">
        <v>30</v>
      </c>
      <c r="M34" s="3">
        <v>295500</v>
      </c>
      <c r="N34" s="3" t="s">
        <v>1152</v>
      </c>
      <c r="O34" t="s">
        <v>170</v>
      </c>
      <c r="P34" t="s">
        <v>171</v>
      </c>
      <c r="Q34" t="s">
        <v>12</v>
      </c>
      <c r="R34" t="s">
        <v>9</v>
      </c>
      <c r="S34" t="s">
        <v>10</v>
      </c>
      <c r="T34" t="s">
        <v>43</v>
      </c>
      <c r="U34" t="s">
        <v>43</v>
      </c>
      <c r="V34" t="s">
        <v>43</v>
      </c>
      <c r="W34" t="s">
        <v>13</v>
      </c>
      <c r="X34" t="s">
        <v>32</v>
      </c>
      <c r="Y34" t="s">
        <v>0</v>
      </c>
      <c r="Z34" t="s">
        <v>0</v>
      </c>
      <c r="AA34" t="s">
        <v>0</v>
      </c>
    </row>
    <row r="35" spans="1:27" ht="14" customHeight="1" x14ac:dyDescent="0.25">
      <c r="A35" s="2">
        <v>46204</v>
      </c>
      <c r="B35" t="s">
        <v>172</v>
      </c>
      <c r="C35" t="s">
        <v>173</v>
      </c>
      <c r="D35" t="s">
        <v>174</v>
      </c>
      <c r="E35" t="s">
        <v>174</v>
      </c>
      <c r="F35" t="s">
        <v>27</v>
      </c>
      <c r="G35" s="2">
        <v>46160</v>
      </c>
      <c r="H35" s="2">
        <v>46201</v>
      </c>
      <c r="I35" t="s">
        <v>149</v>
      </c>
      <c r="J35" t="s">
        <v>150</v>
      </c>
      <c r="K35" t="s">
        <v>7</v>
      </c>
      <c r="L35" t="s">
        <v>30</v>
      </c>
      <c r="M35" s="3">
        <v>40000</v>
      </c>
      <c r="N35" s="3" t="s">
        <v>1152</v>
      </c>
      <c r="O35" t="s">
        <v>175</v>
      </c>
      <c r="P35" t="s">
        <v>176</v>
      </c>
      <c r="Q35" t="s">
        <v>12</v>
      </c>
      <c r="R35" t="s">
        <v>9</v>
      </c>
      <c r="S35" t="s">
        <v>10</v>
      </c>
      <c r="T35" t="s">
        <v>43</v>
      </c>
      <c r="U35" t="s">
        <v>43</v>
      </c>
      <c r="V35" t="s">
        <v>43</v>
      </c>
      <c r="W35" t="s">
        <v>13</v>
      </c>
      <c r="X35" t="s">
        <v>32</v>
      </c>
      <c r="Y35" t="s">
        <v>0</v>
      </c>
      <c r="Z35" t="s">
        <v>0</v>
      </c>
      <c r="AA35" t="s">
        <v>0</v>
      </c>
    </row>
    <row r="36" spans="1:27" ht="14" customHeight="1" x14ac:dyDescent="0.25">
      <c r="A36" s="2">
        <v>46142</v>
      </c>
      <c r="B36" t="s">
        <v>177</v>
      </c>
      <c r="C36" t="s">
        <v>178</v>
      </c>
      <c r="D36" t="s">
        <v>179</v>
      </c>
      <c r="E36" t="s">
        <v>179</v>
      </c>
      <c r="F36" t="s">
        <v>180</v>
      </c>
      <c r="G36" s="2">
        <v>46112</v>
      </c>
      <c r="H36" s="2">
        <v>46112</v>
      </c>
      <c r="I36" t="s">
        <v>70</v>
      </c>
      <c r="J36" t="s">
        <v>71</v>
      </c>
      <c r="K36" t="s">
        <v>7</v>
      </c>
      <c r="L36" t="s">
        <v>8</v>
      </c>
      <c r="M36" s="3">
        <v>-546345</v>
      </c>
      <c r="N36" s="3" t="s">
        <v>1153</v>
      </c>
      <c r="O36" t="s">
        <v>181</v>
      </c>
      <c r="P36" t="s">
        <v>182</v>
      </c>
      <c r="Q36" t="s">
        <v>12</v>
      </c>
      <c r="R36" t="s">
        <v>9</v>
      </c>
      <c r="S36" t="s">
        <v>10</v>
      </c>
      <c r="T36" t="s">
        <v>94</v>
      </c>
      <c r="U36" t="s">
        <v>0</v>
      </c>
      <c r="V36" t="s">
        <v>94</v>
      </c>
      <c r="W36" t="s">
        <v>13</v>
      </c>
      <c r="X36" t="s">
        <v>32</v>
      </c>
      <c r="Y36" t="s">
        <v>183</v>
      </c>
      <c r="Z36" t="s">
        <v>0</v>
      </c>
      <c r="AA36" t="s">
        <v>0</v>
      </c>
    </row>
    <row r="37" spans="1:27" ht="14" customHeight="1" x14ac:dyDescent="0.25">
      <c r="A37" s="2">
        <v>46154</v>
      </c>
      <c r="B37" t="s">
        <v>184</v>
      </c>
      <c r="C37" t="s">
        <v>185</v>
      </c>
      <c r="D37" t="s">
        <v>186</v>
      </c>
      <c r="E37" t="s">
        <v>186</v>
      </c>
      <c r="F37" t="s">
        <v>180</v>
      </c>
      <c r="G37" s="2">
        <v>46053</v>
      </c>
      <c r="H37" s="2">
        <v>46053</v>
      </c>
      <c r="I37" t="s">
        <v>28</v>
      </c>
      <c r="J37" t="s">
        <v>29</v>
      </c>
      <c r="K37" t="s">
        <v>7</v>
      </c>
      <c r="L37" t="s">
        <v>8</v>
      </c>
      <c r="M37" s="3">
        <v>-63333.34</v>
      </c>
      <c r="N37" s="3" t="s">
        <v>1153</v>
      </c>
      <c r="O37" t="s">
        <v>187</v>
      </c>
      <c r="P37" t="s">
        <v>182</v>
      </c>
      <c r="Q37" t="s">
        <v>12</v>
      </c>
      <c r="R37" t="s">
        <v>9</v>
      </c>
      <c r="S37" t="s">
        <v>10</v>
      </c>
      <c r="T37" t="s">
        <v>35</v>
      </c>
      <c r="U37" t="s">
        <v>0</v>
      </c>
      <c r="V37" t="s">
        <v>35</v>
      </c>
      <c r="W37" t="s">
        <v>13</v>
      </c>
      <c r="X37" t="s">
        <v>32</v>
      </c>
      <c r="Y37" t="s">
        <v>188</v>
      </c>
      <c r="Z37" t="s">
        <v>0</v>
      </c>
      <c r="AA37" t="s">
        <v>0</v>
      </c>
    </row>
    <row r="38" spans="1:27" ht="14" customHeight="1" x14ac:dyDescent="0.25">
      <c r="A38" s="2">
        <v>46154</v>
      </c>
      <c r="B38" t="s">
        <v>184</v>
      </c>
      <c r="C38" t="s">
        <v>185</v>
      </c>
      <c r="D38" t="s">
        <v>189</v>
      </c>
      <c r="E38" t="s">
        <v>189</v>
      </c>
      <c r="F38" t="s">
        <v>180</v>
      </c>
      <c r="G38" s="2">
        <v>46081</v>
      </c>
      <c r="H38" s="2">
        <v>46081</v>
      </c>
      <c r="I38" t="s">
        <v>190</v>
      </c>
      <c r="J38" t="s">
        <v>191</v>
      </c>
      <c r="K38" t="s">
        <v>7</v>
      </c>
      <c r="L38" t="s">
        <v>8</v>
      </c>
      <c r="M38" s="3">
        <v>-123378.34</v>
      </c>
      <c r="N38" s="3" t="s">
        <v>1153</v>
      </c>
      <c r="O38" t="s">
        <v>192</v>
      </c>
      <c r="P38" t="s">
        <v>182</v>
      </c>
      <c r="Q38" t="s">
        <v>12</v>
      </c>
      <c r="R38" t="s">
        <v>9</v>
      </c>
      <c r="S38" t="s">
        <v>10</v>
      </c>
      <c r="T38" t="s">
        <v>35</v>
      </c>
      <c r="U38" t="s">
        <v>0</v>
      </c>
      <c r="V38" t="s">
        <v>35</v>
      </c>
      <c r="W38" t="s">
        <v>13</v>
      </c>
      <c r="X38" t="s">
        <v>32</v>
      </c>
      <c r="Y38" t="s">
        <v>193</v>
      </c>
      <c r="Z38" t="s">
        <v>0</v>
      </c>
      <c r="AA38" t="s">
        <v>0</v>
      </c>
    </row>
    <row r="39" spans="1:27" ht="14" customHeight="1" x14ac:dyDescent="0.25">
      <c r="A39" s="2">
        <v>46154</v>
      </c>
      <c r="B39" t="s">
        <v>184</v>
      </c>
      <c r="C39" t="s">
        <v>185</v>
      </c>
      <c r="D39" t="s">
        <v>194</v>
      </c>
      <c r="E39" t="s">
        <v>194</v>
      </c>
      <c r="F39" t="s">
        <v>180</v>
      </c>
      <c r="G39" s="2">
        <v>46112</v>
      </c>
      <c r="H39" s="2">
        <v>46112</v>
      </c>
      <c r="I39" t="s">
        <v>70</v>
      </c>
      <c r="J39" t="s">
        <v>71</v>
      </c>
      <c r="K39" t="s">
        <v>7</v>
      </c>
      <c r="L39" t="s">
        <v>8</v>
      </c>
      <c r="M39" s="3">
        <v>-121797.11</v>
      </c>
      <c r="N39" s="3" t="s">
        <v>1153</v>
      </c>
      <c r="O39" t="s">
        <v>195</v>
      </c>
      <c r="P39" t="s">
        <v>182</v>
      </c>
      <c r="Q39" t="s">
        <v>12</v>
      </c>
      <c r="R39" t="s">
        <v>9</v>
      </c>
      <c r="S39" t="s">
        <v>10</v>
      </c>
      <c r="T39" t="s">
        <v>35</v>
      </c>
      <c r="U39" t="s">
        <v>0</v>
      </c>
      <c r="V39" t="s">
        <v>35</v>
      </c>
      <c r="W39" t="s">
        <v>13</v>
      </c>
      <c r="X39" t="s">
        <v>32</v>
      </c>
      <c r="Y39" t="s">
        <v>196</v>
      </c>
      <c r="Z39" t="s">
        <v>0</v>
      </c>
      <c r="AA39" t="s">
        <v>0</v>
      </c>
    </row>
    <row r="40" spans="1:27" ht="14" customHeight="1" x14ac:dyDescent="0.25">
      <c r="A40" s="2">
        <v>46154</v>
      </c>
      <c r="B40" t="s">
        <v>197</v>
      </c>
      <c r="C40" t="s">
        <v>198</v>
      </c>
      <c r="D40" t="s">
        <v>199</v>
      </c>
      <c r="E40" t="s">
        <v>199</v>
      </c>
      <c r="F40" t="s">
        <v>180</v>
      </c>
      <c r="G40" s="2">
        <v>46081</v>
      </c>
      <c r="H40" s="2">
        <v>46081</v>
      </c>
      <c r="I40" t="s">
        <v>190</v>
      </c>
      <c r="J40" t="s">
        <v>191</v>
      </c>
      <c r="K40" t="s">
        <v>7</v>
      </c>
      <c r="L40" t="s">
        <v>8</v>
      </c>
      <c r="M40" s="3">
        <v>-6666.7</v>
      </c>
      <c r="N40" s="3" t="s">
        <v>1153</v>
      </c>
      <c r="O40" t="s">
        <v>200</v>
      </c>
      <c r="P40" t="s">
        <v>182</v>
      </c>
      <c r="Q40" t="s">
        <v>12</v>
      </c>
      <c r="R40" t="s">
        <v>9</v>
      </c>
      <c r="S40" t="s">
        <v>10</v>
      </c>
      <c r="T40" t="s">
        <v>43</v>
      </c>
      <c r="U40" t="s">
        <v>0</v>
      </c>
      <c r="V40" t="s">
        <v>43</v>
      </c>
      <c r="W40" t="s">
        <v>13</v>
      </c>
      <c r="X40" t="s">
        <v>32</v>
      </c>
      <c r="Y40" t="s">
        <v>201</v>
      </c>
      <c r="Z40" t="s">
        <v>0</v>
      </c>
      <c r="AA40" t="s">
        <v>0</v>
      </c>
    </row>
    <row r="41" spans="1:27" ht="14" customHeight="1" x14ac:dyDescent="0.25">
      <c r="A41" s="2">
        <v>46154</v>
      </c>
      <c r="B41" t="s">
        <v>197</v>
      </c>
      <c r="C41" t="s">
        <v>198</v>
      </c>
      <c r="D41" t="s">
        <v>202</v>
      </c>
      <c r="E41" t="s">
        <v>202</v>
      </c>
      <c r="F41" t="s">
        <v>180</v>
      </c>
      <c r="G41" s="2">
        <v>46112</v>
      </c>
      <c r="H41" s="2">
        <v>46112</v>
      </c>
      <c r="I41" t="s">
        <v>70</v>
      </c>
      <c r="J41" t="s">
        <v>71</v>
      </c>
      <c r="K41" t="s">
        <v>7</v>
      </c>
      <c r="L41" t="s">
        <v>8</v>
      </c>
      <c r="M41" s="3">
        <v>-6666.7</v>
      </c>
      <c r="N41" s="3" t="s">
        <v>1153</v>
      </c>
      <c r="O41" t="s">
        <v>203</v>
      </c>
      <c r="P41" t="s">
        <v>182</v>
      </c>
      <c r="Q41" t="s">
        <v>12</v>
      </c>
      <c r="R41" t="s">
        <v>9</v>
      </c>
      <c r="S41" t="s">
        <v>10</v>
      </c>
      <c r="T41" t="s">
        <v>43</v>
      </c>
      <c r="U41" t="s">
        <v>0</v>
      </c>
      <c r="V41" t="s">
        <v>43</v>
      </c>
      <c r="W41" t="s">
        <v>13</v>
      </c>
      <c r="X41" t="s">
        <v>32</v>
      </c>
      <c r="Y41" t="s">
        <v>204</v>
      </c>
      <c r="Z41" t="s">
        <v>0</v>
      </c>
      <c r="AA41" t="s">
        <v>0</v>
      </c>
    </row>
    <row r="42" spans="1:27" ht="14" customHeight="1" x14ac:dyDescent="0.25">
      <c r="A42" s="2">
        <v>46154</v>
      </c>
      <c r="B42" t="s">
        <v>205</v>
      </c>
      <c r="C42" t="s">
        <v>206</v>
      </c>
      <c r="D42" t="s">
        <v>207</v>
      </c>
      <c r="E42" t="s">
        <v>207</v>
      </c>
      <c r="F42" t="s">
        <v>180</v>
      </c>
      <c r="G42" s="2">
        <v>46081</v>
      </c>
      <c r="H42" s="2">
        <v>46081</v>
      </c>
      <c r="I42" t="s">
        <v>190</v>
      </c>
      <c r="J42" t="s">
        <v>191</v>
      </c>
      <c r="K42" t="s">
        <v>7</v>
      </c>
      <c r="L42" t="s">
        <v>8</v>
      </c>
      <c r="M42" s="3">
        <v>-22611.27</v>
      </c>
      <c r="N42" s="3" t="s">
        <v>1153</v>
      </c>
      <c r="O42" t="s">
        <v>208</v>
      </c>
      <c r="P42" t="s">
        <v>182</v>
      </c>
      <c r="Q42" t="s">
        <v>12</v>
      </c>
      <c r="R42" t="s">
        <v>9</v>
      </c>
      <c r="S42" t="s">
        <v>10</v>
      </c>
      <c r="T42" t="s">
        <v>43</v>
      </c>
      <c r="U42" t="s">
        <v>0</v>
      </c>
      <c r="V42" t="s">
        <v>43</v>
      </c>
      <c r="W42" t="s">
        <v>13</v>
      </c>
      <c r="X42" t="s">
        <v>32</v>
      </c>
      <c r="Y42" t="s">
        <v>209</v>
      </c>
      <c r="Z42" t="s">
        <v>0</v>
      </c>
      <c r="AA42" t="s">
        <v>0</v>
      </c>
    </row>
    <row r="43" spans="1:27" ht="14" customHeight="1" x14ac:dyDescent="0.25">
      <c r="A43" s="2">
        <v>46154</v>
      </c>
      <c r="B43" t="s">
        <v>205</v>
      </c>
      <c r="C43" t="s">
        <v>206</v>
      </c>
      <c r="D43" t="s">
        <v>210</v>
      </c>
      <c r="E43" t="s">
        <v>210</v>
      </c>
      <c r="F43" t="s">
        <v>180</v>
      </c>
      <c r="G43" s="2">
        <v>46112</v>
      </c>
      <c r="H43" s="2">
        <v>46112</v>
      </c>
      <c r="I43" t="s">
        <v>70</v>
      </c>
      <c r="J43" t="s">
        <v>71</v>
      </c>
      <c r="K43" t="s">
        <v>7</v>
      </c>
      <c r="L43" t="s">
        <v>8</v>
      </c>
      <c r="M43" s="3">
        <v>-88278.13</v>
      </c>
      <c r="N43" s="3" t="s">
        <v>1153</v>
      </c>
      <c r="O43" t="s">
        <v>211</v>
      </c>
      <c r="P43" t="s">
        <v>182</v>
      </c>
      <c r="Q43" t="s">
        <v>12</v>
      </c>
      <c r="R43" t="s">
        <v>9</v>
      </c>
      <c r="S43" t="s">
        <v>10</v>
      </c>
      <c r="T43" t="s">
        <v>43</v>
      </c>
      <c r="U43" t="s">
        <v>0</v>
      </c>
      <c r="V43" t="s">
        <v>43</v>
      </c>
      <c r="W43" t="s">
        <v>13</v>
      </c>
      <c r="X43" t="s">
        <v>32</v>
      </c>
      <c r="Y43" t="s">
        <v>212</v>
      </c>
      <c r="Z43" t="s">
        <v>0</v>
      </c>
      <c r="AA43" t="s">
        <v>0</v>
      </c>
    </row>
    <row r="44" spans="1:27" ht="14" customHeight="1" x14ac:dyDescent="0.25">
      <c r="A44" s="2">
        <v>46154</v>
      </c>
      <c r="B44" t="s">
        <v>213</v>
      </c>
      <c r="C44" t="s">
        <v>214</v>
      </c>
      <c r="D44" t="s">
        <v>215</v>
      </c>
      <c r="E44" t="s">
        <v>215</v>
      </c>
      <c r="F44" t="s">
        <v>180</v>
      </c>
      <c r="G44" s="2">
        <v>46112</v>
      </c>
      <c r="H44" s="2">
        <v>46112</v>
      </c>
      <c r="I44" t="s">
        <v>70</v>
      </c>
      <c r="J44" t="s">
        <v>71</v>
      </c>
      <c r="K44" t="s">
        <v>7</v>
      </c>
      <c r="L44" t="s">
        <v>8</v>
      </c>
      <c r="M44" s="3">
        <v>-26052.86</v>
      </c>
      <c r="N44" s="3" t="s">
        <v>1153</v>
      </c>
      <c r="O44" t="s">
        <v>216</v>
      </c>
      <c r="P44" t="s">
        <v>182</v>
      </c>
      <c r="Q44" t="s">
        <v>12</v>
      </c>
      <c r="R44" t="s">
        <v>9</v>
      </c>
      <c r="S44" t="s">
        <v>10</v>
      </c>
      <c r="T44" t="s">
        <v>43</v>
      </c>
      <c r="U44" t="s">
        <v>0</v>
      </c>
      <c r="V44" t="s">
        <v>43</v>
      </c>
      <c r="W44" t="s">
        <v>13</v>
      </c>
      <c r="X44" t="s">
        <v>32</v>
      </c>
      <c r="Y44" t="s">
        <v>217</v>
      </c>
      <c r="Z44" t="s">
        <v>0</v>
      </c>
      <c r="AA44" t="s">
        <v>0</v>
      </c>
    </row>
    <row r="45" spans="1:27" ht="14" customHeight="1" x14ac:dyDescent="0.25">
      <c r="A45" s="2">
        <v>46154</v>
      </c>
      <c r="B45" t="s">
        <v>218</v>
      </c>
      <c r="C45" t="s">
        <v>219</v>
      </c>
      <c r="D45" t="s">
        <v>220</v>
      </c>
      <c r="E45" t="s">
        <v>220</v>
      </c>
      <c r="F45" t="s">
        <v>180</v>
      </c>
      <c r="G45" s="2">
        <v>46112</v>
      </c>
      <c r="H45" s="2">
        <v>46112</v>
      </c>
      <c r="I45" t="s">
        <v>70</v>
      </c>
      <c r="J45" t="s">
        <v>71</v>
      </c>
      <c r="K45" t="s">
        <v>7</v>
      </c>
      <c r="L45" t="s">
        <v>8</v>
      </c>
      <c r="M45" s="3">
        <v>-8000</v>
      </c>
      <c r="N45" s="3" t="s">
        <v>1153</v>
      </c>
      <c r="O45" t="s">
        <v>221</v>
      </c>
      <c r="P45" t="s">
        <v>182</v>
      </c>
      <c r="Q45" t="s">
        <v>12</v>
      </c>
      <c r="R45" t="s">
        <v>9</v>
      </c>
      <c r="S45" t="s">
        <v>10</v>
      </c>
      <c r="T45" t="s">
        <v>43</v>
      </c>
      <c r="U45" t="s">
        <v>0</v>
      </c>
      <c r="V45" t="s">
        <v>43</v>
      </c>
      <c r="W45" t="s">
        <v>13</v>
      </c>
      <c r="X45" t="s">
        <v>32</v>
      </c>
      <c r="Y45" t="s">
        <v>222</v>
      </c>
      <c r="Z45" t="s">
        <v>0</v>
      </c>
      <c r="AA45" t="s">
        <v>0</v>
      </c>
    </row>
    <row r="46" spans="1:27" ht="14" customHeight="1" x14ac:dyDescent="0.25">
      <c r="A46" s="2">
        <v>46154</v>
      </c>
      <c r="B46" t="s">
        <v>223</v>
      </c>
      <c r="C46" t="s">
        <v>224</v>
      </c>
      <c r="D46" t="s">
        <v>225</v>
      </c>
      <c r="E46" t="s">
        <v>225</v>
      </c>
      <c r="F46" t="s">
        <v>180</v>
      </c>
      <c r="G46" s="2">
        <v>46112</v>
      </c>
      <c r="H46" s="2">
        <v>46112</v>
      </c>
      <c r="I46" t="s">
        <v>70</v>
      </c>
      <c r="J46" t="s">
        <v>71</v>
      </c>
      <c r="K46" t="s">
        <v>7</v>
      </c>
      <c r="L46" t="s">
        <v>8</v>
      </c>
      <c r="M46" s="3">
        <v>-1256.9000000000001</v>
      </c>
      <c r="N46" s="3" t="s">
        <v>1153</v>
      </c>
      <c r="O46" t="s">
        <v>226</v>
      </c>
      <c r="P46" t="s">
        <v>182</v>
      </c>
      <c r="Q46" t="s">
        <v>12</v>
      </c>
      <c r="R46" t="s">
        <v>9</v>
      </c>
      <c r="S46" t="s">
        <v>10</v>
      </c>
      <c r="T46" t="s">
        <v>43</v>
      </c>
      <c r="U46" t="s">
        <v>0</v>
      </c>
      <c r="V46" t="s">
        <v>43</v>
      </c>
      <c r="W46" t="s">
        <v>13</v>
      </c>
      <c r="X46" t="s">
        <v>32</v>
      </c>
      <c r="Y46" t="s">
        <v>227</v>
      </c>
      <c r="Z46" t="s">
        <v>0</v>
      </c>
      <c r="AA46" t="s">
        <v>0</v>
      </c>
    </row>
    <row r="47" spans="1:27" ht="14" customHeight="1" x14ac:dyDescent="0.25">
      <c r="A47" s="2">
        <v>46154</v>
      </c>
      <c r="B47" t="s">
        <v>228</v>
      </c>
      <c r="C47" t="s">
        <v>229</v>
      </c>
      <c r="D47" t="s">
        <v>230</v>
      </c>
      <c r="E47" t="s">
        <v>230</v>
      </c>
      <c r="F47" t="s">
        <v>180</v>
      </c>
      <c r="G47" s="2">
        <v>46112</v>
      </c>
      <c r="H47" s="2">
        <v>46112</v>
      </c>
      <c r="I47" t="s">
        <v>70</v>
      </c>
      <c r="J47" t="s">
        <v>71</v>
      </c>
      <c r="K47" t="s">
        <v>7</v>
      </c>
      <c r="L47" t="s">
        <v>8</v>
      </c>
      <c r="M47" s="3">
        <v>-8700</v>
      </c>
      <c r="N47" s="3" t="s">
        <v>1153</v>
      </c>
      <c r="O47" t="s">
        <v>231</v>
      </c>
      <c r="P47" t="s">
        <v>182</v>
      </c>
      <c r="Q47" t="s">
        <v>12</v>
      </c>
      <c r="R47" t="s">
        <v>9</v>
      </c>
      <c r="S47" t="s">
        <v>10</v>
      </c>
      <c r="T47" t="s">
        <v>43</v>
      </c>
      <c r="U47" t="s">
        <v>0</v>
      </c>
      <c r="V47" t="s">
        <v>43</v>
      </c>
      <c r="W47" t="s">
        <v>13</v>
      </c>
      <c r="X47" t="s">
        <v>32</v>
      </c>
      <c r="Y47" t="s">
        <v>232</v>
      </c>
      <c r="Z47" t="s">
        <v>0</v>
      </c>
      <c r="AA47" t="s">
        <v>0</v>
      </c>
    </row>
    <row r="48" spans="1:27" ht="14" customHeight="1" x14ac:dyDescent="0.25">
      <c r="A48" s="2">
        <v>46154</v>
      </c>
      <c r="B48" t="s">
        <v>233</v>
      </c>
      <c r="C48" t="s">
        <v>234</v>
      </c>
      <c r="D48" t="s">
        <v>235</v>
      </c>
      <c r="E48" t="s">
        <v>235</v>
      </c>
      <c r="F48" t="s">
        <v>180</v>
      </c>
      <c r="G48" s="2">
        <v>46112</v>
      </c>
      <c r="H48" s="2">
        <v>46112</v>
      </c>
      <c r="I48" t="s">
        <v>70</v>
      </c>
      <c r="J48" t="s">
        <v>71</v>
      </c>
      <c r="K48" t="s">
        <v>7</v>
      </c>
      <c r="L48" t="s">
        <v>8</v>
      </c>
      <c r="M48" s="3">
        <v>-16800</v>
      </c>
      <c r="N48" s="3" t="s">
        <v>1153</v>
      </c>
      <c r="O48" t="s">
        <v>236</v>
      </c>
      <c r="P48" t="s">
        <v>182</v>
      </c>
      <c r="Q48" t="s">
        <v>12</v>
      </c>
      <c r="R48" t="s">
        <v>9</v>
      </c>
      <c r="S48" t="s">
        <v>10</v>
      </c>
      <c r="T48" t="s">
        <v>43</v>
      </c>
      <c r="U48" t="s">
        <v>0</v>
      </c>
      <c r="V48" t="s">
        <v>43</v>
      </c>
      <c r="W48" t="s">
        <v>13</v>
      </c>
      <c r="X48" t="s">
        <v>32</v>
      </c>
      <c r="Y48" t="s">
        <v>237</v>
      </c>
      <c r="Z48" t="s">
        <v>0</v>
      </c>
      <c r="AA48" t="s">
        <v>0</v>
      </c>
    </row>
    <row r="49" spans="1:27" ht="14" customHeight="1" x14ac:dyDescent="0.25">
      <c r="A49" s="2">
        <v>46153</v>
      </c>
      <c r="B49" t="s">
        <v>238</v>
      </c>
      <c r="C49" t="s">
        <v>239</v>
      </c>
      <c r="D49" t="s">
        <v>240</v>
      </c>
      <c r="E49" t="s">
        <v>240</v>
      </c>
      <c r="F49" t="s">
        <v>180</v>
      </c>
      <c r="G49" s="2">
        <v>46053</v>
      </c>
      <c r="H49" s="2">
        <v>46053</v>
      </c>
      <c r="I49" t="s">
        <v>28</v>
      </c>
      <c r="J49" t="s">
        <v>29</v>
      </c>
      <c r="K49" t="s">
        <v>7</v>
      </c>
      <c r="L49" t="s">
        <v>8</v>
      </c>
      <c r="M49" s="3">
        <v>-4893801.5999999996</v>
      </c>
      <c r="N49" s="3" t="s">
        <v>1153</v>
      </c>
      <c r="O49" t="s">
        <v>241</v>
      </c>
      <c r="P49" t="s">
        <v>182</v>
      </c>
      <c r="Q49" t="s">
        <v>12</v>
      </c>
      <c r="R49" t="s">
        <v>9</v>
      </c>
      <c r="S49" t="s">
        <v>10</v>
      </c>
      <c r="T49" t="s">
        <v>11</v>
      </c>
      <c r="U49" t="s">
        <v>0</v>
      </c>
      <c r="V49" t="s">
        <v>11</v>
      </c>
      <c r="W49" t="s">
        <v>13</v>
      </c>
      <c r="X49" t="s">
        <v>32</v>
      </c>
      <c r="Y49" t="s">
        <v>242</v>
      </c>
      <c r="Z49" t="s">
        <v>0</v>
      </c>
      <c r="AA49" t="s">
        <v>0</v>
      </c>
    </row>
    <row r="50" spans="1:27" ht="14" customHeight="1" x14ac:dyDescent="0.25">
      <c r="A50" s="2">
        <v>46153</v>
      </c>
      <c r="B50" t="s">
        <v>238</v>
      </c>
      <c r="C50" t="s">
        <v>239</v>
      </c>
      <c r="D50" t="s">
        <v>243</v>
      </c>
      <c r="E50" t="s">
        <v>243</v>
      </c>
      <c r="F50" t="s">
        <v>180</v>
      </c>
      <c r="G50" s="2">
        <v>46081</v>
      </c>
      <c r="H50" s="2">
        <v>46081</v>
      </c>
      <c r="I50" t="s">
        <v>190</v>
      </c>
      <c r="J50" t="s">
        <v>191</v>
      </c>
      <c r="K50" t="s">
        <v>7</v>
      </c>
      <c r="L50" t="s">
        <v>8</v>
      </c>
      <c r="M50" s="3">
        <v>-5360125.5999999996</v>
      </c>
      <c r="N50" s="3" t="s">
        <v>1153</v>
      </c>
      <c r="O50" t="s">
        <v>244</v>
      </c>
      <c r="P50" t="s">
        <v>182</v>
      </c>
      <c r="Q50" t="s">
        <v>12</v>
      </c>
      <c r="R50" t="s">
        <v>9</v>
      </c>
      <c r="S50" t="s">
        <v>10</v>
      </c>
      <c r="T50" t="s">
        <v>11</v>
      </c>
      <c r="U50" t="s">
        <v>0</v>
      </c>
      <c r="V50" t="s">
        <v>11</v>
      </c>
      <c r="W50" t="s">
        <v>13</v>
      </c>
      <c r="X50" t="s">
        <v>32</v>
      </c>
      <c r="Y50" t="s">
        <v>245</v>
      </c>
      <c r="Z50" t="s">
        <v>0</v>
      </c>
      <c r="AA50" t="s">
        <v>0</v>
      </c>
    </row>
    <row r="51" spans="1:27" ht="14" customHeight="1" x14ac:dyDescent="0.25">
      <c r="A51" s="2">
        <v>46154</v>
      </c>
      <c r="B51" t="s">
        <v>238</v>
      </c>
      <c r="C51" t="s">
        <v>239</v>
      </c>
      <c r="D51" t="s">
        <v>246</v>
      </c>
      <c r="E51" t="s">
        <v>246</v>
      </c>
      <c r="F51" t="s">
        <v>180</v>
      </c>
      <c r="G51" s="2">
        <v>46112</v>
      </c>
      <c r="H51" s="2">
        <v>46112</v>
      </c>
      <c r="I51" t="s">
        <v>70</v>
      </c>
      <c r="J51" t="s">
        <v>71</v>
      </c>
      <c r="K51" t="s">
        <v>7</v>
      </c>
      <c r="L51" t="s">
        <v>8</v>
      </c>
      <c r="M51" s="3">
        <v>-4585488.4000000004</v>
      </c>
      <c r="N51" s="3" t="s">
        <v>1153</v>
      </c>
      <c r="O51" t="s">
        <v>247</v>
      </c>
      <c r="P51" t="s">
        <v>182</v>
      </c>
      <c r="Q51" t="s">
        <v>12</v>
      </c>
      <c r="R51" t="s">
        <v>9</v>
      </c>
      <c r="S51" t="s">
        <v>10</v>
      </c>
      <c r="T51" t="s">
        <v>11</v>
      </c>
      <c r="U51" t="s">
        <v>0</v>
      </c>
      <c r="V51" t="s">
        <v>11</v>
      </c>
      <c r="W51" t="s">
        <v>13</v>
      </c>
      <c r="X51" t="s">
        <v>32</v>
      </c>
      <c r="Y51" t="s">
        <v>248</v>
      </c>
      <c r="Z51" t="s">
        <v>0</v>
      </c>
      <c r="AA51" t="s">
        <v>0</v>
      </c>
    </row>
    <row r="52" spans="1:27" ht="14" customHeight="1" x14ac:dyDescent="0.25">
      <c r="A52" s="2">
        <v>46154</v>
      </c>
      <c r="B52" t="s">
        <v>249</v>
      </c>
      <c r="C52" t="s">
        <v>250</v>
      </c>
      <c r="D52" t="s">
        <v>251</v>
      </c>
      <c r="E52" t="s">
        <v>251</v>
      </c>
      <c r="F52" t="s">
        <v>180</v>
      </c>
      <c r="G52" s="2">
        <v>46112</v>
      </c>
      <c r="H52" s="2">
        <v>46112</v>
      </c>
      <c r="I52" t="s">
        <v>70</v>
      </c>
      <c r="J52" t="s">
        <v>71</v>
      </c>
      <c r="K52" t="s">
        <v>7</v>
      </c>
      <c r="L52" t="s">
        <v>8</v>
      </c>
      <c r="M52" s="3">
        <v>-781410.04</v>
      </c>
      <c r="N52" s="3" t="s">
        <v>1153</v>
      </c>
      <c r="O52" t="s">
        <v>252</v>
      </c>
      <c r="P52" t="s">
        <v>182</v>
      </c>
      <c r="Q52" t="s">
        <v>12</v>
      </c>
      <c r="R52" t="s">
        <v>9</v>
      </c>
      <c r="S52" t="s">
        <v>10</v>
      </c>
      <c r="T52" t="s">
        <v>11</v>
      </c>
      <c r="U52" t="s">
        <v>0</v>
      </c>
      <c r="V52" t="s">
        <v>11</v>
      </c>
      <c r="W52" t="s">
        <v>13</v>
      </c>
      <c r="X52" t="s">
        <v>32</v>
      </c>
      <c r="Y52" t="s">
        <v>253</v>
      </c>
      <c r="Z52" t="s">
        <v>0</v>
      </c>
      <c r="AA52" t="s">
        <v>0</v>
      </c>
    </row>
    <row r="53" spans="1:27" ht="14" customHeight="1" x14ac:dyDescent="0.25">
      <c r="A53" s="2">
        <v>46167</v>
      </c>
      <c r="B53" t="s">
        <v>143</v>
      </c>
      <c r="C53" t="s">
        <v>254</v>
      </c>
      <c r="D53" t="s">
        <v>255</v>
      </c>
      <c r="E53" t="s">
        <v>255</v>
      </c>
      <c r="F53" t="s">
        <v>180</v>
      </c>
      <c r="G53" s="2">
        <v>46156</v>
      </c>
      <c r="H53" s="2">
        <v>46161</v>
      </c>
      <c r="I53" t="s">
        <v>5</v>
      </c>
      <c r="J53" t="s">
        <v>6</v>
      </c>
      <c r="K53" t="s">
        <v>7</v>
      </c>
      <c r="L53" t="s">
        <v>8</v>
      </c>
      <c r="M53" s="3">
        <v>-376029</v>
      </c>
      <c r="N53" s="3" t="s">
        <v>1153</v>
      </c>
      <c r="O53" t="s">
        <v>256</v>
      </c>
      <c r="P53" t="s">
        <v>182</v>
      </c>
      <c r="Q53" t="s">
        <v>12</v>
      </c>
      <c r="R53" t="s">
        <v>9</v>
      </c>
      <c r="S53" t="s">
        <v>10</v>
      </c>
      <c r="T53" t="s">
        <v>94</v>
      </c>
      <c r="U53" t="s">
        <v>0</v>
      </c>
      <c r="V53" t="s">
        <v>94</v>
      </c>
      <c r="W53" t="s">
        <v>13</v>
      </c>
      <c r="X53" t="s">
        <v>32</v>
      </c>
      <c r="Y53" t="s">
        <v>257</v>
      </c>
      <c r="Z53" t="s">
        <v>0</v>
      </c>
      <c r="AA53" t="s">
        <v>0</v>
      </c>
    </row>
    <row r="54" spans="1:27" ht="14" customHeight="1" x14ac:dyDescent="0.25">
      <c r="A54" s="2">
        <v>46189</v>
      </c>
      <c r="B54" t="s">
        <v>159</v>
      </c>
      <c r="C54" t="s">
        <v>258</v>
      </c>
      <c r="D54" t="s">
        <v>259</v>
      </c>
      <c r="E54" t="s">
        <v>259</v>
      </c>
      <c r="F54" t="s">
        <v>180</v>
      </c>
      <c r="G54" s="2">
        <v>46181</v>
      </c>
      <c r="H54" s="2">
        <v>46182</v>
      </c>
      <c r="I54" t="s">
        <v>149</v>
      </c>
      <c r="J54" t="s">
        <v>150</v>
      </c>
      <c r="K54" t="s">
        <v>7</v>
      </c>
      <c r="L54" t="s">
        <v>8</v>
      </c>
      <c r="M54" s="3">
        <v>-434538</v>
      </c>
      <c r="N54" s="3" t="s">
        <v>1153</v>
      </c>
      <c r="O54" t="s">
        <v>260</v>
      </c>
      <c r="P54" t="s">
        <v>182</v>
      </c>
      <c r="Q54" t="s">
        <v>12</v>
      </c>
      <c r="R54" t="s">
        <v>9</v>
      </c>
      <c r="S54" t="s">
        <v>10</v>
      </c>
      <c r="T54" t="s">
        <v>94</v>
      </c>
      <c r="U54" t="s">
        <v>0</v>
      </c>
      <c r="V54" t="s">
        <v>94</v>
      </c>
      <c r="W54" t="s">
        <v>13</v>
      </c>
      <c r="X54" t="s">
        <v>32</v>
      </c>
      <c r="Y54" t="s">
        <v>261</v>
      </c>
      <c r="Z54" t="s">
        <v>0</v>
      </c>
      <c r="AA54" t="s">
        <v>0</v>
      </c>
    </row>
    <row r="55" spans="1:27" ht="14" customHeight="1" x14ac:dyDescent="0.25">
      <c r="A55" s="2">
        <v>46226</v>
      </c>
      <c r="B55" t="s">
        <v>184</v>
      </c>
      <c r="C55" t="s">
        <v>185</v>
      </c>
      <c r="D55" t="s">
        <v>262</v>
      </c>
      <c r="E55" t="s">
        <v>262</v>
      </c>
      <c r="F55" t="s">
        <v>180</v>
      </c>
      <c r="G55" s="2">
        <v>46142</v>
      </c>
      <c r="H55" s="2">
        <v>46142</v>
      </c>
      <c r="I55" t="s">
        <v>100</v>
      </c>
      <c r="J55" t="s">
        <v>101</v>
      </c>
      <c r="K55" t="s">
        <v>7</v>
      </c>
      <c r="L55" t="s">
        <v>8</v>
      </c>
      <c r="M55" s="3">
        <v>-391764.08</v>
      </c>
      <c r="N55" s="3" t="s">
        <v>1153</v>
      </c>
      <c r="O55" t="s">
        <v>263</v>
      </c>
      <c r="P55" t="s">
        <v>182</v>
      </c>
      <c r="Q55" t="s">
        <v>12</v>
      </c>
      <c r="R55" t="s">
        <v>9</v>
      </c>
      <c r="S55" t="s">
        <v>10</v>
      </c>
      <c r="T55" t="s">
        <v>35</v>
      </c>
      <c r="U55" t="s">
        <v>0</v>
      </c>
      <c r="V55" t="s">
        <v>35</v>
      </c>
      <c r="W55" t="s">
        <v>13</v>
      </c>
      <c r="X55" t="s">
        <v>32</v>
      </c>
      <c r="Y55" t="s">
        <v>264</v>
      </c>
      <c r="Z55" t="s">
        <v>0</v>
      </c>
      <c r="AA55" t="s">
        <v>0</v>
      </c>
    </row>
    <row r="56" spans="1:27" ht="14" customHeight="1" x14ac:dyDescent="0.25">
      <c r="A56" s="2">
        <v>46218</v>
      </c>
      <c r="B56" t="s">
        <v>197</v>
      </c>
      <c r="C56" t="s">
        <v>198</v>
      </c>
      <c r="D56" t="s">
        <v>265</v>
      </c>
      <c r="E56" t="s">
        <v>265</v>
      </c>
      <c r="F56" t="s">
        <v>180</v>
      </c>
      <c r="G56" s="2">
        <v>46142</v>
      </c>
      <c r="H56" s="2">
        <v>46142</v>
      </c>
      <c r="I56" t="s">
        <v>100</v>
      </c>
      <c r="J56" t="s">
        <v>101</v>
      </c>
      <c r="K56" t="s">
        <v>7</v>
      </c>
      <c r="L56" t="s">
        <v>8</v>
      </c>
      <c r="M56" s="3">
        <v>-12485.67</v>
      </c>
      <c r="N56" s="3" t="s">
        <v>1153</v>
      </c>
      <c r="O56" t="s">
        <v>266</v>
      </c>
      <c r="P56" t="s">
        <v>182</v>
      </c>
      <c r="Q56" t="s">
        <v>12</v>
      </c>
      <c r="R56" t="s">
        <v>9</v>
      </c>
      <c r="S56" t="s">
        <v>10</v>
      </c>
      <c r="T56" t="s">
        <v>43</v>
      </c>
      <c r="U56" t="s">
        <v>0</v>
      </c>
      <c r="V56" t="s">
        <v>43</v>
      </c>
      <c r="W56" t="s">
        <v>13</v>
      </c>
      <c r="X56" t="s">
        <v>32</v>
      </c>
      <c r="Y56" t="s">
        <v>267</v>
      </c>
      <c r="Z56" t="s">
        <v>0</v>
      </c>
      <c r="AA56" t="s">
        <v>0</v>
      </c>
    </row>
    <row r="57" spans="1:27" ht="14" customHeight="1" x14ac:dyDescent="0.25">
      <c r="A57" s="2">
        <v>46218</v>
      </c>
      <c r="B57" t="s">
        <v>268</v>
      </c>
      <c r="C57" t="s">
        <v>269</v>
      </c>
      <c r="D57" t="s">
        <v>270</v>
      </c>
      <c r="E57" t="s">
        <v>270</v>
      </c>
      <c r="F57" t="s">
        <v>180</v>
      </c>
      <c r="G57" s="2">
        <v>46142</v>
      </c>
      <c r="H57" s="2">
        <v>46142</v>
      </c>
      <c r="I57" t="s">
        <v>100</v>
      </c>
      <c r="J57" t="s">
        <v>101</v>
      </c>
      <c r="K57" t="s">
        <v>7</v>
      </c>
      <c r="L57" t="s">
        <v>8</v>
      </c>
      <c r="M57" s="3">
        <v>-323935</v>
      </c>
      <c r="N57" s="12" t="s">
        <v>1153</v>
      </c>
      <c r="O57" t="s">
        <v>271</v>
      </c>
      <c r="P57" t="s">
        <v>182</v>
      </c>
      <c r="Q57" t="s">
        <v>12</v>
      </c>
      <c r="R57" t="s">
        <v>9</v>
      </c>
      <c r="S57" t="s">
        <v>10</v>
      </c>
      <c r="T57" t="s">
        <v>48</v>
      </c>
      <c r="U57" t="s">
        <v>0</v>
      </c>
      <c r="V57" t="s">
        <v>48</v>
      </c>
      <c r="W57" t="s">
        <v>13</v>
      </c>
      <c r="X57" t="s">
        <v>32</v>
      </c>
      <c r="Y57" t="s">
        <v>272</v>
      </c>
      <c r="Z57" t="s">
        <v>0</v>
      </c>
      <c r="AA57" t="s">
        <v>0</v>
      </c>
    </row>
    <row r="58" spans="1:27" ht="14" customHeight="1" x14ac:dyDescent="0.25">
      <c r="A58" s="2">
        <v>46218</v>
      </c>
      <c r="B58" t="s">
        <v>205</v>
      </c>
      <c r="C58" t="s">
        <v>206</v>
      </c>
      <c r="D58" t="s">
        <v>273</v>
      </c>
      <c r="E58" t="s">
        <v>273</v>
      </c>
      <c r="F58" t="s">
        <v>180</v>
      </c>
      <c r="G58" s="2">
        <v>46142</v>
      </c>
      <c r="H58" s="2">
        <v>46142</v>
      </c>
      <c r="I58" t="s">
        <v>100</v>
      </c>
      <c r="J58" t="s">
        <v>101</v>
      </c>
      <c r="K58" t="s">
        <v>7</v>
      </c>
      <c r="L58" t="s">
        <v>8</v>
      </c>
      <c r="M58" s="3">
        <v>-230198.3</v>
      </c>
      <c r="N58" s="3" t="s">
        <v>1153</v>
      </c>
      <c r="O58" t="s">
        <v>274</v>
      </c>
      <c r="P58" t="s">
        <v>182</v>
      </c>
      <c r="Q58" t="s">
        <v>12</v>
      </c>
      <c r="R58" t="s">
        <v>9</v>
      </c>
      <c r="S58" t="s">
        <v>10</v>
      </c>
      <c r="T58" t="s">
        <v>43</v>
      </c>
      <c r="U58" t="s">
        <v>0</v>
      </c>
      <c r="V58" t="s">
        <v>43</v>
      </c>
      <c r="W58" t="s">
        <v>13</v>
      </c>
      <c r="X58" t="s">
        <v>32</v>
      </c>
      <c r="Y58" t="s">
        <v>275</v>
      </c>
      <c r="Z58" t="s">
        <v>0</v>
      </c>
      <c r="AA58" t="s">
        <v>0</v>
      </c>
    </row>
    <row r="59" spans="1:27" ht="14" customHeight="1" x14ac:dyDescent="0.25">
      <c r="A59" s="2">
        <v>46226</v>
      </c>
      <c r="B59" t="s">
        <v>218</v>
      </c>
      <c r="C59" t="s">
        <v>219</v>
      </c>
      <c r="D59" t="s">
        <v>276</v>
      </c>
      <c r="E59" t="s">
        <v>276</v>
      </c>
      <c r="F59" t="s">
        <v>180</v>
      </c>
      <c r="G59" s="2">
        <v>46142</v>
      </c>
      <c r="H59" s="2">
        <v>46142</v>
      </c>
      <c r="I59" t="s">
        <v>100</v>
      </c>
      <c r="J59" t="s">
        <v>101</v>
      </c>
      <c r="K59" t="s">
        <v>7</v>
      </c>
      <c r="L59" t="s">
        <v>8</v>
      </c>
      <c r="M59" s="3">
        <v>-8000</v>
      </c>
      <c r="N59" s="3" t="s">
        <v>1153</v>
      </c>
      <c r="O59" t="s">
        <v>277</v>
      </c>
      <c r="P59" t="s">
        <v>182</v>
      </c>
      <c r="Q59" t="s">
        <v>12</v>
      </c>
      <c r="R59" t="s">
        <v>9</v>
      </c>
      <c r="S59" t="s">
        <v>10</v>
      </c>
      <c r="T59" t="s">
        <v>43</v>
      </c>
      <c r="U59" t="s">
        <v>0</v>
      </c>
      <c r="V59" t="s">
        <v>43</v>
      </c>
      <c r="W59" t="s">
        <v>13</v>
      </c>
      <c r="X59" t="s">
        <v>32</v>
      </c>
      <c r="Y59" t="s">
        <v>278</v>
      </c>
      <c r="Z59" t="s">
        <v>0</v>
      </c>
      <c r="AA59" t="s">
        <v>0</v>
      </c>
    </row>
    <row r="60" spans="1:27" ht="14" customHeight="1" x14ac:dyDescent="0.25">
      <c r="A60" s="2">
        <v>46226</v>
      </c>
      <c r="B60" t="s">
        <v>279</v>
      </c>
      <c r="C60" t="s">
        <v>224</v>
      </c>
      <c r="D60" t="s">
        <v>280</v>
      </c>
      <c r="E60" t="s">
        <v>280</v>
      </c>
      <c r="F60" t="s">
        <v>180</v>
      </c>
      <c r="G60" s="2">
        <v>46142</v>
      </c>
      <c r="H60" s="2">
        <v>46142</v>
      </c>
      <c r="I60" t="s">
        <v>100</v>
      </c>
      <c r="J60" t="s">
        <v>101</v>
      </c>
      <c r="K60" t="s">
        <v>7</v>
      </c>
      <c r="L60" t="s">
        <v>8</v>
      </c>
      <c r="M60" s="3">
        <v>-14258.41</v>
      </c>
      <c r="N60" s="3" t="s">
        <v>1153</v>
      </c>
      <c r="O60" t="s">
        <v>281</v>
      </c>
      <c r="P60" t="s">
        <v>182</v>
      </c>
      <c r="Q60" t="s">
        <v>12</v>
      </c>
      <c r="R60" t="s">
        <v>9</v>
      </c>
      <c r="S60" t="s">
        <v>10</v>
      </c>
      <c r="T60" t="s">
        <v>43</v>
      </c>
      <c r="U60" t="s">
        <v>0</v>
      </c>
      <c r="V60" t="s">
        <v>43</v>
      </c>
      <c r="W60" t="s">
        <v>13</v>
      </c>
      <c r="X60" t="s">
        <v>32</v>
      </c>
      <c r="Y60" t="s">
        <v>282</v>
      </c>
      <c r="Z60" t="s">
        <v>0</v>
      </c>
      <c r="AA60" t="s">
        <v>0</v>
      </c>
    </row>
    <row r="61" spans="1:27" ht="14" customHeight="1" x14ac:dyDescent="0.25">
      <c r="A61" s="2">
        <v>46226</v>
      </c>
      <c r="B61" t="s">
        <v>223</v>
      </c>
      <c r="C61" t="s">
        <v>224</v>
      </c>
      <c r="D61" t="s">
        <v>283</v>
      </c>
      <c r="E61" t="s">
        <v>283</v>
      </c>
      <c r="F61" t="s">
        <v>180</v>
      </c>
      <c r="G61" s="2">
        <v>46142</v>
      </c>
      <c r="H61" s="2">
        <v>46142</v>
      </c>
      <c r="I61" t="s">
        <v>100</v>
      </c>
      <c r="J61" t="s">
        <v>101</v>
      </c>
      <c r="K61" t="s">
        <v>7</v>
      </c>
      <c r="L61" t="s">
        <v>8</v>
      </c>
      <c r="M61" s="3">
        <v>-24635.51</v>
      </c>
      <c r="N61" s="3" t="s">
        <v>1153</v>
      </c>
      <c r="O61" t="s">
        <v>284</v>
      </c>
      <c r="P61" t="s">
        <v>182</v>
      </c>
      <c r="Q61" t="s">
        <v>12</v>
      </c>
      <c r="R61" t="s">
        <v>9</v>
      </c>
      <c r="S61" t="s">
        <v>10</v>
      </c>
      <c r="T61" t="s">
        <v>43</v>
      </c>
      <c r="U61" t="s">
        <v>0</v>
      </c>
      <c r="V61" t="s">
        <v>43</v>
      </c>
      <c r="W61" t="s">
        <v>13</v>
      </c>
      <c r="X61" t="s">
        <v>32</v>
      </c>
      <c r="Y61" t="s">
        <v>285</v>
      </c>
      <c r="Z61" t="s">
        <v>0</v>
      </c>
      <c r="AA61" t="s">
        <v>0</v>
      </c>
    </row>
    <row r="62" spans="1:27" ht="14" customHeight="1" x14ac:dyDescent="0.25">
      <c r="A62" s="2">
        <v>46226</v>
      </c>
      <c r="B62" t="s">
        <v>228</v>
      </c>
      <c r="C62" t="s">
        <v>229</v>
      </c>
      <c r="D62" t="s">
        <v>286</v>
      </c>
      <c r="E62" t="s">
        <v>286</v>
      </c>
      <c r="F62" t="s">
        <v>180</v>
      </c>
      <c r="G62" s="2">
        <v>46142</v>
      </c>
      <c r="H62" s="2">
        <v>46142</v>
      </c>
      <c r="I62" t="s">
        <v>100</v>
      </c>
      <c r="J62" t="s">
        <v>101</v>
      </c>
      <c r="K62" t="s">
        <v>7</v>
      </c>
      <c r="L62" t="s">
        <v>8</v>
      </c>
      <c r="M62" s="3">
        <v>-190454.28</v>
      </c>
      <c r="N62" s="3" t="s">
        <v>1153</v>
      </c>
      <c r="O62" t="s">
        <v>287</v>
      </c>
      <c r="P62" t="s">
        <v>182</v>
      </c>
      <c r="Q62" t="s">
        <v>12</v>
      </c>
      <c r="R62" t="s">
        <v>9</v>
      </c>
      <c r="S62" t="s">
        <v>10</v>
      </c>
      <c r="T62" t="s">
        <v>43</v>
      </c>
      <c r="U62" t="s">
        <v>0</v>
      </c>
      <c r="V62" t="s">
        <v>43</v>
      </c>
      <c r="W62" t="s">
        <v>13</v>
      </c>
      <c r="X62" t="s">
        <v>32</v>
      </c>
      <c r="Y62" t="s">
        <v>288</v>
      </c>
      <c r="Z62" t="s">
        <v>0</v>
      </c>
      <c r="AA62" t="s">
        <v>0</v>
      </c>
    </row>
    <row r="63" spans="1:27" ht="14" customHeight="1" x14ac:dyDescent="0.25">
      <c r="A63" s="2">
        <v>46218</v>
      </c>
      <c r="B63" t="s">
        <v>233</v>
      </c>
      <c r="C63" t="s">
        <v>234</v>
      </c>
      <c r="D63" t="s">
        <v>289</v>
      </c>
      <c r="E63" t="s">
        <v>289</v>
      </c>
      <c r="F63" t="s">
        <v>180</v>
      </c>
      <c r="G63" s="2">
        <v>46142</v>
      </c>
      <c r="H63" s="2">
        <v>46142</v>
      </c>
      <c r="I63" t="s">
        <v>100</v>
      </c>
      <c r="J63" t="s">
        <v>101</v>
      </c>
      <c r="K63" t="s">
        <v>7</v>
      </c>
      <c r="L63" t="s">
        <v>8</v>
      </c>
      <c r="M63" s="3">
        <v>-52526.559999999998</v>
      </c>
      <c r="N63" s="3" t="s">
        <v>1153</v>
      </c>
      <c r="O63" t="s">
        <v>290</v>
      </c>
      <c r="P63" t="s">
        <v>182</v>
      </c>
      <c r="Q63" t="s">
        <v>12</v>
      </c>
      <c r="R63" t="s">
        <v>9</v>
      </c>
      <c r="S63" t="s">
        <v>10</v>
      </c>
      <c r="T63" t="s">
        <v>43</v>
      </c>
      <c r="U63" t="s">
        <v>0</v>
      </c>
      <c r="V63" t="s">
        <v>43</v>
      </c>
      <c r="W63" t="s">
        <v>13</v>
      </c>
      <c r="X63" t="s">
        <v>32</v>
      </c>
      <c r="Y63" t="s">
        <v>291</v>
      </c>
      <c r="Z63" t="s">
        <v>0</v>
      </c>
      <c r="AA63" t="s">
        <v>0</v>
      </c>
    </row>
    <row r="64" spans="1:27" ht="14" customHeight="1" x14ac:dyDescent="0.25">
      <c r="A64" s="2">
        <v>46226</v>
      </c>
      <c r="B64" t="s">
        <v>292</v>
      </c>
      <c r="C64" t="s">
        <v>293</v>
      </c>
      <c r="D64" t="s">
        <v>294</v>
      </c>
      <c r="E64" t="s">
        <v>294</v>
      </c>
      <c r="F64" t="s">
        <v>180</v>
      </c>
      <c r="G64" s="2">
        <v>46142</v>
      </c>
      <c r="H64" s="2">
        <v>46142</v>
      </c>
      <c r="I64" t="s">
        <v>100</v>
      </c>
      <c r="J64" t="s">
        <v>101</v>
      </c>
      <c r="K64" t="s">
        <v>7</v>
      </c>
      <c r="L64" t="s">
        <v>8</v>
      </c>
      <c r="M64" s="3">
        <v>-1977.32</v>
      </c>
      <c r="N64" s="3" t="s">
        <v>1153</v>
      </c>
      <c r="O64" t="s">
        <v>295</v>
      </c>
      <c r="P64" t="s">
        <v>182</v>
      </c>
      <c r="Q64" t="s">
        <v>12</v>
      </c>
      <c r="R64" t="s">
        <v>9</v>
      </c>
      <c r="S64" t="s">
        <v>10</v>
      </c>
      <c r="T64" t="s">
        <v>11</v>
      </c>
      <c r="U64" t="s">
        <v>0</v>
      </c>
      <c r="V64" t="s">
        <v>11</v>
      </c>
      <c r="W64" t="s">
        <v>13</v>
      </c>
      <c r="X64" t="s">
        <v>32</v>
      </c>
      <c r="Y64" t="s">
        <v>296</v>
      </c>
      <c r="Z64" t="s">
        <v>0</v>
      </c>
      <c r="AA64" t="s">
        <v>0</v>
      </c>
    </row>
    <row r="65" spans="1:27" ht="14" customHeight="1" x14ac:dyDescent="0.25">
      <c r="A65" s="2">
        <v>46226</v>
      </c>
      <c r="B65" t="s">
        <v>297</v>
      </c>
      <c r="C65" t="s">
        <v>298</v>
      </c>
      <c r="D65" t="s">
        <v>299</v>
      </c>
      <c r="E65" t="s">
        <v>299</v>
      </c>
      <c r="F65" t="s">
        <v>180</v>
      </c>
      <c r="G65" s="2">
        <v>46142</v>
      </c>
      <c r="H65" s="2">
        <v>46142</v>
      </c>
      <c r="I65" t="s">
        <v>100</v>
      </c>
      <c r="J65" t="s">
        <v>101</v>
      </c>
      <c r="K65" t="s">
        <v>7</v>
      </c>
      <c r="L65" t="s">
        <v>8</v>
      </c>
      <c r="M65" s="3">
        <v>-14225.76</v>
      </c>
      <c r="N65" s="3" t="s">
        <v>1153</v>
      </c>
      <c r="O65" t="s">
        <v>300</v>
      </c>
      <c r="P65" t="s">
        <v>182</v>
      </c>
      <c r="Q65" t="s">
        <v>12</v>
      </c>
      <c r="R65" t="s">
        <v>9</v>
      </c>
      <c r="S65" t="s">
        <v>10</v>
      </c>
      <c r="T65" t="s">
        <v>43</v>
      </c>
      <c r="U65" t="s">
        <v>0</v>
      </c>
      <c r="V65" t="s">
        <v>43</v>
      </c>
      <c r="W65" t="s">
        <v>13</v>
      </c>
      <c r="X65" t="s">
        <v>32</v>
      </c>
      <c r="Y65" t="s">
        <v>301</v>
      </c>
      <c r="Z65" t="s">
        <v>0</v>
      </c>
      <c r="AA65" t="s">
        <v>0</v>
      </c>
    </row>
    <row r="66" spans="1:27" ht="14" customHeight="1" x14ac:dyDescent="0.25">
      <c r="A66" s="2">
        <v>46226</v>
      </c>
      <c r="B66" t="s">
        <v>184</v>
      </c>
      <c r="C66" t="s">
        <v>185</v>
      </c>
      <c r="D66" t="s">
        <v>302</v>
      </c>
      <c r="E66" t="s">
        <v>302</v>
      </c>
      <c r="F66" t="s">
        <v>180</v>
      </c>
      <c r="G66" s="2">
        <v>46173</v>
      </c>
      <c r="H66" s="2">
        <v>46173</v>
      </c>
      <c r="I66" t="s">
        <v>5</v>
      </c>
      <c r="J66" t="s">
        <v>6</v>
      </c>
      <c r="K66" t="s">
        <v>7</v>
      </c>
      <c r="L66" t="s">
        <v>8</v>
      </c>
      <c r="M66" s="3">
        <v>-256835.42</v>
      </c>
      <c r="N66" s="3" t="s">
        <v>1153</v>
      </c>
      <c r="O66" t="s">
        <v>303</v>
      </c>
      <c r="P66" t="s">
        <v>182</v>
      </c>
      <c r="Q66" t="s">
        <v>12</v>
      </c>
      <c r="R66" t="s">
        <v>9</v>
      </c>
      <c r="S66" t="s">
        <v>10</v>
      </c>
      <c r="T66" t="s">
        <v>35</v>
      </c>
      <c r="U66" t="s">
        <v>0</v>
      </c>
      <c r="V66" t="s">
        <v>35</v>
      </c>
      <c r="W66" t="s">
        <v>13</v>
      </c>
      <c r="X66" t="s">
        <v>32</v>
      </c>
      <c r="Y66" t="s">
        <v>304</v>
      </c>
      <c r="Z66" t="s">
        <v>0</v>
      </c>
      <c r="AA66" t="s">
        <v>0</v>
      </c>
    </row>
    <row r="67" spans="1:27" ht="14" customHeight="1" x14ac:dyDescent="0.25">
      <c r="A67" s="2">
        <v>46226</v>
      </c>
      <c r="B67" t="s">
        <v>197</v>
      </c>
      <c r="C67" t="s">
        <v>198</v>
      </c>
      <c r="D67" t="s">
        <v>305</v>
      </c>
      <c r="E67" t="s">
        <v>305</v>
      </c>
      <c r="F67" t="s">
        <v>180</v>
      </c>
      <c r="G67" s="2">
        <v>46173</v>
      </c>
      <c r="H67" s="2">
        <v>46173</v>
      </c>
      <c r="I67" t="s">
        <v>5</v>
      </c>
      <c r="J67" t="s">
        <v>6</v>
      </c>
      <c r="K67" t="s">
        <v>7</v>
      </c>
      <c r="L67" t="s">
        <v>8</v>
      </c>
      <c r="M67" s="3">
        <v>-13387.21</v>
      </c>
      <c r="N67" s="3" t="s">
        <v>1153</v>
      </c>
      <c r="O67" t="s">
        <v>306</v>
      </c>
      <c r="P67" t="s">
        <v>182</v>
      </c>
      <c r="Q67" t="s">
        <v>12</v>
      </c>
      <c r="R67" t="s">
        <v>9</v>
      </c>
      <c r="S67" t="s">
        <v>10</v>
      </c>
      <c r="T67" t="s">
        <v>43</v>
      </c>
      <c r="U67" t="s">
        <v>0</v>
      </c>
      <c r="V67" t="s">
        <v>43</v>
      </c>
      <c r="W67" t="s">
        <v>13</v>
      </c>
      <c r="X67" t="s">
        <v>32</v>
      </c>
      <c r="Y67" t="s">
        <v>307</v>
      </c>
      <c r="Z67" t="s">
        <v>0</v>
      </c>
      <c r="AA67" t="s">
        <v>0</v>
      </c>
    </row>
    <row r="68" spans="1:27" ht="14" customHeight="1" x14ac:dyDescent="0.25">
      <c r="A68" s="2">
        <v>46226</v>
      </c>
      <c r="B68" t="s">
        <v>268</v>
      </c>
      <c r="C68" t="s">
        <v>269</v>
      </c>
      <c r="D68" t="s">
        <v>308</v>
      </c>
      <c r="E68" t="s">
        <v>308</v>
      </c>
      <c r="F68" t="s">
        <v>180</v>
      </c>
      <c r="G68" s="2">
        <v>46173</v>
      </c>
      <c r="H68" s="2">
        <v>46173</v>
      </c>
      <c r="I68" t="s">
        <v>5</v>
      </c>
      <c r="J68" t="s">
        <v>6</v>
      </c>
      <c r="K68" t="s">
        <v>7</v>
      </c>
      <c r="L68" t="s">
        <v>8</v>
      </c>
      <c r="M68" s="3">
        <v>-77175</v>
      </c>
      <c r="N68" s="12" t="s">
        <v>1153</v>
      </c>
      <c r="O68" t="s">
        <v>309</v>
      </c>
      <c r="P68" t="s">
        <v>182</v>
      </c>
      <c r="Q68" t="s">
        <v>12</v>
      </c>
      <c r="R68" t="s">
        <v>9</v>
      </c>
      <c r="S68" t="s">
        <v>10</v>
      </c>
      <c r="T68" t="s">
        <v>48</v>
      </c>
      <c r="U68" t="s">
        <v>0</v>
      </c>
      <c r="V68" t="s">
        <v>48</v>
      </c>
      <c r="W68" t="s">
        <v>13</v>
      </c>
      <c r="X68" t="s">
        <v>32</v>
      </c>
      <c r="Y68" t="s">
        <v>310</v>
      </c>
      <c r="Z68" t="s">
        <v>0</v>
      </c>
      <c r="AA68" t="s">
        <v>0</v>
      </c>
    </row>
    <row r="69" spans="1:27" ht="14" customHeight="1" x14ac:dyDescent="0.25">
      <c r="A69" s="2">
        <v>46226</v>
      </c>
      <c r="B69" t="s">
        <v>205</v>
      </c>
      <c r="C69" t="s">
        <v>206</v>
      </c>
      <c r="D69" t="s">
        <v>311</v>
      </c>
      <c r="E69" t="s">
        <v>311</v>
      </c>
      <c r="F69" t="s">
        <v>180</v>
      </c>
      <c r="G69" s="2">
        <v>46173</v>
      </c>
      <c r="H69" s="2">
        <v>46173</v>
      </c>
      <c r="I69" t="s">
        <v>5</v>
      </c>
      <c r="J69" t="s">
        <v>6</v>
      </c>
      <c r="K69" t="s">
        <v>7</v>
      </c>
      <c r="L69" t="s">
        <v>8</v>
      </c>
      <c r="M69" s="3">
        <v>-82436.240000000005</v>
      </c>
      <c r="N69" s="3" t="s">
        <v>1153</v>
      </c>
      <c r="O69" t="s">
        <v>312</v>
      </c>
      <c r="P69" t="s">
        <v>182</v>
      </c>
      <c r="Q69" t="s">
        <v>12</v>
      </c>
      <c r="R69" t="s">
        <v>9</v>
      </c>
      <c r="S69" t="s">
        <v>10</v>
      </c>
      <c r="T69" t="s">
        <v>43</v>
      </c>
      <c r="U69" t="s">
        <v>0</v>
      </c>
      <c r="V69" t="s">
        <v>43</v>
      </c>
      <c r="W69" t="s">
        <v>13</v>
      </c>
      <c r="X69" t="s">
        <v>32</v>
      </c>
      <c r="Y69" t="s">
        <v>313</v>
      </c>
      <c r="Z69" t="s">
        <v>0</v>
      </c>
      <c r="AA69" t="s">
        <v>0</v>
      </c>
    </row>
    <row r="70" spans="1:27" ht="14" customHeight="1" x14ac:dyDescent="0.25">
      <c r="A70" s="2">
        <v>46226</v>
      </c>
      <c r="B70" t="s">
        <v>218</v>
      </c>
      <c r="C70" t="s">
        <v>219</v>
      </c>
      <c r="D70" t="s">
        <v>314</v>
      </c>
      <c r="E70" t="s">
        <v>314</v>
      </c>
      <c r="F70" t="s">
        <v>180</v>
      </c>
      <c r="G70" s="2">
        <v>46173</v>
      </c>
      <c r="H70" s="2">
        <v>46173</v>
      </c>
      <c r="I70" t="s">
        <v>5</v>
      </c>
      <c r="J70" t="s">
        <v>6</v>
      </c>
      <c r="K70" t="s">
        <v>7</v>
      </c>
      <c r="L70" t="s">
        <v>8</v>
      </c>
      <c r="M70" s="3">
        <v>-11000</v>
      </c>
      <c r="N70" s="3" t="s">
        <v>1153</v>
      </c>
      <c r="O70" t="s">
        <v>315</v>
      </c>
      <c r="P70" t="s">
        <v>182</v>
      </c>
      <c r="Q70" t="s">
        <v>12</v>
      </c>
      <c r="R70" t="s">
        <v>9</v>
      </c>
      <c r="S70" t="s">
        <v>10</v>
      </c>
      <c r="T70" t="s">
        <v>43</v>
      </c>
      <c r="U70" t="s">
        <v>0</v>
      </c>
      <c r="V70" t="s">
        <v>43</v>
      </c>
      <c r="W70" t="s">
        <v>13</v>
      </c>
      <c r="X70" t="s">
        <v>32</v>
      </c>
      <c r="Y70" t="s">
        <v>316</v>
      </c>
      <c r="Z70" t="s">
        <v>0</v>
      </c>
      <c r="AA70" t="s">
        <v>0</v>
      </c>
    </row>
    <row r="71" spans="1:27" ht="14" customHeight="1" x14ac:dyDescent="0.25">
      <c r="A71" s="2">
        <v>46226</v>
      </c>
      <c r="B71" t="s">
        <v>279</v>
      </c>
      <c r="C71" t="s">
        <v>317</v>
      </c>
      <c r="D71" t="s">
        <v>318</v>
      </c>
      <c r="E71" t="s">
        <v>318</v>
      </c>
      <c r="F71" t="s">
        <v>180</v>
      </c>
      <c r="G71" s="2">
        <v>46173</v>
      </c>
      <c r="H71" s="2">
        <v>46173</v>
      </c>
      <c r="I71" t="s">
        <v>5</v>
      </c>
      <c r="J71" t="s">
        <v>6</v>
      </c>
      <c r="K71" t="s">
        <v>7</v>
      </c>
      <c r="L71" t="s">
        <v>8</v>
      </c>
      <c r="M71" s="3">
        <v>-76914.41</v>
      </c>
      <c r="N71" s="3" t="s">
        <v>1153</v>
      </c>
      <c r="O71" t="s">
        <v>319</v>
      </c>
      <c r="P71" t="s">
        <v>182</v>
      </c>
      <c r="Q71" t="s">
        <v>12</v>
      </c>
      <c r="R71" t="s">
        <v>9</v>
      </c>
      <c r="S71" t="s">
        <v>10</v>
      </c>
      <c r="T71" t="s">
        <v>43</v>
      </c>
      <c r="U71" t="s">
        <v>0</v>
      </c>
      <c r="V71" t="s">
        <v>43</v>
      </c>
      <c r="W71" t="s">
        <v>13</v>
      </c>
      <c r="X71" t="s">
        <v>32</v>
      </c>
      <c r="Y71" t="s">
        <v>320</v>
      </c>
      <c r="Z71" t="s">
        <v>0</v>
      </c>
      <c r="AA71" t="s">
        <v>0</v>
      </c>
    </row>
    <row r="72" spans="1:27" ht="14" customHeight="1" x14ac:dyDescent="0.25">
      <c r="A72" s="2">
        <v>46226</v>
      </c>
      <c r="B72" t="s">
        <v>223</v>
      </c>
      <c r="C72" t="s">
        <v>224</v>
      </c>
      <c r="D72" t="s">
        <v>321</v>
      </c>
      <c r="E72" t="s">
        <v>321</v>
      </c>
      <c r="F72" t="s">
        <v>180</v>
      </c>
      <c r="G72" s="2">
        <v>46173</v>
      </c>
      <c r="H72" s="2">
        <v>46173</v>
      </c>
      <c r="I72" t="s">
        <v>5</v>
      </c>
      <c r="J72" t="s">
        <v>6</v>
      </c>
      <c r="K72" t="s">
        <v>7</v>
      </c>
      <c r="L72" t="s">
        <v>8</v>
      </c>
      <c r="M72" s="3">
        <v>-1500</v>
      </c>
      <c r="N72" s="3" t="s">
        <v>1153</v>
      </c>
      <c r="O72" t="s">
        <v>322</v>
      </c>
      <c r="P72" t="s">
        <v>182</v>
      </c>
      <c r="Q72" t="s">
        <v>12</v>
      </c>
      <c r="R72" t="s">
        <v>9</v>
      </c>
      <c r="S72" t="s">
        <v>10</v>
      </c>
      <c r="T72" t="s">
        <v>43</v>
      </c>
      <c r="U72" t="s">
        <v>0</v>
      </c>
      <c r="V72" t="s">
        <v>43</v>
      </c>
      <c r="W72" t="s">
        <v>13</v>
      </c>
      <c r="X72" t="s">
        <v>32</v>
      </c>
      <c r="Y72" t="s">
        <v>323</v>
      </c>
      <c r="Z72" t="s">
        <v>0</v>
      </c>
      <c r="AA72" t="s">
        <v>0</v>
      </c>
    </row>
    <row r="73" spans="1:27" ht="14" customHeight="1" x14ac:dyDescent="0.25">
      <c r="A73" s="2">
        <v>46226</v>
      </c>
      <c r="B73" t="s">
        <v>228</v>
      </c>
      <c r="C73" t="s">
        <v>229</v>
      </c>
      <c r="D73" t="s">
        <v>324</v>
      </c>
      <c r="E73" t="s">
        <v>324</v>
      </c>
      <c r="F73" t="s">
        <v>180</v>
      </c>
      <c r="G73" s="2">
        <v>46173</v>
      </c>
      <c r="H73" s="2">
        <v>46173</v>
      </c>
      <c r="I73" t="s">
        <v>5</v>
      </c>
      <c r="J73" t="s">
        <v>6</v>
      </c>
      <c r="K73" t="s">
        <v>7</v>
      </c>
      <c r="L73" t="s">
        <v>8</v>
      </c>
      <c r="M73" s="3">
        <v>-22671.33</v>
      </c>
      <c r="N73" s="3" t="s">
        <v>1153</v>
      </c>
      <c r="O73" t="s">
        <v>325</v>
      </c>
      <c r="P73" t="s">
        <v>182</v>
      </c>
      <c r="Q73" t="s">
        <v>12</v>
      </c>
      <c r="R73" t="s">
        <v>9</v>
      </c>
      <c r="S73" t="s">
        <v>10</v>
      </c>
      <c r="T73" t="s">
        <v>43</v>
      </c>
      <c r="U73" t="s">
        <v>0</v>
      </c>
      <c r="V73" t="s">
        <v>43</v>
      </c>
      <c r="W73" t="s">
        <v>13</v>
      </c>
      <c r="X73" t="s">
        <v>32</v>
      </c>
      <c r="Y73" t="s">
        <v>326</v>
      </c>
      <c r="Z73" t="s">
        <v>0</v>
      </c>
      <c r="AA73" t="s">
        <v>0</v>
      </c>
    </row>
    <row r="74" spans="1:27" ht="14" customHeight="1" x14ac:dyDescent="0.25">
      <c r="A74" s="2">
        <v>46226</v>
      </c>
      <c r="B74" t="s">
        <v>327</v>
      </c>
      <c r="C74" t="s">
        <v>328</v>
      </c>
      <c r="D74" t="s">
        <v>329</v>
      </c>
      <c r="E74" t="s">
        <v>329</v>
      </c>
      <c r="F74" t="s">
        <v>180</v>
      </c>
      <c r="G74" s="2">
        <v>46173</v>
      </c>
      <c r="H74" s="2">
        <v>46173</v>
      </c>
      <c r="I74" t="s">
        <v>5</v>
      </c>
      <c r="J74" t="s">
        <v>6</v>
      </c>
      <c r="K74" t="s">
        <v>7</v>
      </c>
      <c r="L74" t="s">
        <v>8</v>
      </c>
      <c r="M74" s="3">
        <v>-21503</v>
      </c>
      <c r="N74" s="3" t="s">
        <v>1153</v>
      </c>
      <c r="O74" t="s">
        <v>330</v>
      </c>
      <c r="P74" t="s">
        <v>182</v>
      </c>
      <c r="Q74" t="s">
        <v>12</v>
      </c>
      <c r="R74" t="s">
        <v>9</v>
      </c>
      <c r="S74" t="s">
        <v>10</v>
      </c>
      <c r="T74" t="s">
        <v>35</v>
      </c>
      <c r="U74" t="s">
        <v>0</v>
      </c>
      <c r="V74" t="s">
        <v>35</v>
      </c>
      <c r="W74" t="s">
        <v>13</v>
      </c>
      <c r="X74" t="s">
        <v>32</v>
      </c>
      <c r="Y74" t="s">
        <v>331</v>
      </c>
      <c r="Z74" t="s">
        <v>0</v>
      </c>
      <c r="AA74" t="s">
        <v>0</v>
      </c>
    </row>
    <row r="75" spans="1:27" ht="14" customHeight="1" x14ac:dyDescent="0.25">
      <c r="A75" s="2">
        <v>46226</v>
      </c>
      <c r="B75" t="s">
        <v>233</v>
      </c>
      <c r="C75" t="s">
        <v>234</v>
      </c>
      <c r="D75" t="s">
        <v>332</v>
      </c>
      <c r="E75" t="s">
        <v>332</v>
      </c>
      <c r="F75" t="s">
        <v>180</v>
      </c>
      <c r="G75" s="2">
        <v>46173</v>
      </c>
      <c r="H75" s="2">
        <v>46173</v>
      </c>
      <c r="I75" t="s">
        <v>5</v>
      </c>
      <c r="J75" t="s">
        <v>6</v>
      </c>
      <c r="K75" t="s">
        <v>7</v>
      </c>
      <c r="L75" t="s">
        <v>8</v>
      </c>
      <c r="M75" s="3">
        <v>-53840</v>
      </c>
      <c r="N75" s="3" t="s">
        <v>1153</v>
      </c>
      <c r="O75" t="s">
        <v>333</v>
      </c>
      <c r="P75" t="s">
        <v>182</v>
      </c>
      <c r="Q75" t="s">
        <v>12</v>
      </c>
      <c r="R75" t="s">
        <v>9</v>
      </c>
      <c r="S75" t="s">
        <v>10</v>
      </c>
      <c r="T75" t="s">
        <v>43</v>
      </c>
      <c r="U75" t="s">
        <v>0</v>
      </c>
      <c r="V75" t="s">
        <v>43</v>
      </c>
      <c r="W75" t="s">
        <v>13</v>
      </c>
      <c r="X75" t="s">
        <v>32</v>
      </c>
      <c r="Y75" t="s">
        <v>334</v>
      </c>
      <c r="Z75" t="s">
        <v>0</v>
      </c>
      <c r="AA75" t="s">
        <v>0</v>
      </c>
    </row>
    <row r="76" spans="1:27" ht="14" customHeight="1" x14ac:dyDescent="0.25">
      <c r="A76" s="2">
        <v>46226</v>
      </c>
      <c r="B76" t="s">
        <v>292</v>
      </c>
      <c r="C76" t="s">
        <v>293</v>
      </c>
      <c r="D76" t="s">
        <v>335</v>
      </c>
      <c r="E76" t="s">
        <v>335</v>
      </c>
      <c r="F76" t="s">
        <v>180</v>
      </c>
      <c r="G76" s="2">
        <v>46173</v>
      </c>
      <c r="H76" s="2">
        <v>46173</v>
      </c>
      <c r="I76" t="s">
        <v>5</v>
      </c>
      <c r="J76" t="s">
        <v>6</v>
      </c>
      <c r="K76" t="s">
        <v>7</v>
      </c>
      <c r="L76" t="s">
        <v>8</v>
      </c>
      <c r="M76" s="3">
        <v>-134726.20000000001</v>
      </c>
      <c r="N76" s="3" t="s">
        <v>1153</v>
      </c>
      <c r="O76" t="s">
        <v>336</v>
      </c>
      <c r="P76" t="s">
        <v>182</v>
      </c>
      <c r="Q76" t="s">
        <v>12</v>
      </c>
      <c r="R76" t="s">
        <v>9</v>
      </c>
      <c r="S76" t="s">
        <v>10</v>
      </c>
      <c r="T76" t="s">
        <v>11</v>
      </c>
      <c r="U76" t="s">
        <v>0</v>
      </c>
      <c r="V76" t="s">
        <v>11</v>
      </c>
      <c r="W76" t="s">
        <v>13</v>
      </c>
      <c r="X76" t="s">
        <v>32</v>
      </c>
      <c r="Y76" t="s">
        <v>337</v>
      </c>
      <c r="Z76" t="s">
        <v>0</v>
      </c>
      <c r="AA76" t="s">
        <v>0</v>
      </c>
    </row>
    <row r="77" spans="1:27" ht="14" customHeight="1" x14ac:dyDescent="0.25">
      <c r="A77" s="2">
        <v>46226</v>
      </c>
      <c r="B77" t="s">
        <v>338</v>
      </c>
      <c r="C77" t="s">
        <v>339</v>
      </c>
      <c r="D77" t="s">
        <v>340</v>
      </c>
      <c r="E77" t="s">
        <v>340</v>
      </c>
      <c r="F77" t="s">
        <v>180</v>
      </c>
      <c r="G77" s="2">
        <v>46173</v>
      </c>
      <c r="H77" s="2">
        <v>46173</v>
      </c>
      <c r="I77" t="s">
        <v>5</v>
      </c>
      <c r="J77" t="s">
        <v>6</v>
      </c>
      <c r="K77" t="s">
        <v>7</v>
      </c>
      <c r="L77" t="s">
        <v>8</v>
      </c>
      <c r="M77" s="3">
        <v>-27238.98</v>
      </c>
      <c r="N77" s="3" t="s">
        <v>1153</v>
      </c>
      <c r="O77" t="s">
        <v>341</v>
      </c>
      <c r="P77" t="s">
        <v>182</v>
      </c>
      <c r="Q77" t="s">
        <v>12</v>
      </c>
      <c r="R77" t="s">
        <v>9</v>
      </c>
      <c r="S77" t="s">
        <v>10</v>
      </c>
      <c r="T77" t="s">
        <v>35</v>
      </c>
      <c r="U77" t="s">
        <v>0</v>
      </c>
      <c r="V77" t="s">
        <v>35</v>
      </c>
      <c r="W77" t="s">
        <v>13</v>
      </c>
      <c r="X77" t="s">
        <v>32</v>
      </c>
      <c r="Y77" t="s">
        <v>342</v>
      </c>
      <c r="Z77" t="s">
        <v>0</v>
      </c>
      <c r="AA77" t="s">
        <v>0</v>
      </c>
    </row>
    <row r="78" spans="1:27" ht="14" customHeight="1" x14ac:dyDescent="0.25">
      <c r="A78" s="2">
        <v>46226</v>
      </c>
      <c r="B78" t="s">
        <v>343</v>
      </c>
      <c r="C78" t="s">
        <v>344</v>
      </c>
      <c r="D78" t="s">
        <v>345</v>
      </c>
      <c r="E78" t="s">
        <v>345</v>
      </c>
      <c r="F78" t="s">
        <v>180</v>
      </c>
      <c r="G78" s="2">
        <v>46173</v>
      </c>
      <c r="H78" s="2">
        <v>46173</v>
      </c>
      <c r="I78" t="s">
        <v>5</v>
      </c>
      <c r="J78" t="s">
        <v>6</v>
      </c>
      <c r="K78" t="s">
        <v>7</v>
      </c>
      <c r="L78" t="s">
        <v>8</v>
      </c>
      <c r="M78" s="3">
        <v>-118700</v>
      </c>
      <c r="N78" s="3" t="s">
        <v>1153</v>
      </c>
      <c r="O78" t="s">
        <v>346</v>
      </c>
      <c r="P78" t="s">
        <v>182</v>
      </c>
      <c r="Q78" t="s">
        <v>12</v>
      </c>
      <c r="R78" t="s">
        <v>9</v>
      </c>
      <c r="S78" t="s">
        <v>10</v>
      </c>
      <c r="T78" t="s">
        <v>11</v>
      </c>
      <c r="U78" t="s">
        <v>0</v>
      </c>
      <c r="V78" t="s">
        <v>11</v>
      </c>
      <c r="W78" t="s">
        <v>13</v>
      </c>
      <c r="X78" t="s">
        <v>32</v>
      </c>
      <c r="Y78" t="s">
        <v>347</v>
      </c>
      <c r="Z78" t="s">
        <v>0</v>
      </c>
      <c r="AA78" t="s">
        <v>0</v>
      </c>
    </row>
    <row r="79" spans="1:27" ht="14" customHeight="1" x14ac:dyDescent="0.25">
      <c r="A79" s="2">
        <v>46223</v>
      </c>
      <c r="B79" t="s">
        <v>348</v>
      </c>
      <c r="C79" t="s">
        <v>349</v>
      </c>
      <c r="D79" t="s">
        <v>350</v>
      </c>
      <c r="E79" t="s">
        <v>350</v>
      </c>
      <c r="F79" t="s">
        <v>180</v>
      </c>
      <c r="G79" s="2">
        <v>46142</v>
      </c>
      <c r="H79" s="2">
        <v>46142</v>
      </c>
      <c r="I79" t="s">
        <v>100</v>
      </c>
      <c r="J79" t="s">
        <v>101</v>
      </c>
      <c r="K79" t="s">
        <v>7</v>
      </c>
      <c r="L79" t="s">
        <v>8</v>
      </c>
      <c r="M79" s="3">
        <v>-4839867.2</v>
      </c>
      <c r="N79" s="3" t="s">
        <v>1153</v>
      </c>
      <c r="O79" t="s">
        <v>351</v>
      </c>
      <c r="P79" t="s">
        <v>182</v>
      </c>
      <c r="Q79" t="s">
        <v>12</v>
      </c>
      <c r="R79" t="s">
        <v>9</v>
      </c>
      <c r="S79" t="s">
        <v>10</v>
      </c>
      <c r="T79" t="s">
        <v>11</v>
      </c>
      <c r="U79" t="s">
        <v>0</v>
      </c>
      <c r="V79" t="s">
        <v>11</v>
      </c>
      <c r="W79" t="s">
        <v>13</v>
      </c>
      <c r="X79" t="s">
        <v>32</v>
      </c>
      <c r="Y79" t="s">
        <v>352</v>
      </c>
      <c r="Z79" t="s">
        <v>0</v>
      </c>
      <c r="AA79" t="s">
        <v>0</v>
      </c>
    </row>
    <row r="80" spans="1:27" ht="14" customHeight="1" x14ac:dyDescent="0.25">
      <c r="A80" s="2">
        <v>46224</v>
      </c>
      <c r="B80" t="s">
        <v>348</v>
      </c>
      <c r="C80" t="s">
        <v>349</v>
      </c>
      <c r="D80" t="s">
        <v>353</v>
      </c>
      <c r="E80" t="s">
        <v>353</v>
      </c>
      <c r="F80" t="s">
        <v>180</v>
      </c>
      <c r="G80" s="2">
        <v>46173</v>
      </c>
      <c r="H80" s="2">
        <v>46173</v>
      </c>
      <c r="I80" t="s">
        <v>5</v>
      </c>
      <c r="J80" t="s">
        <v>6</v>
      </c>
      <c r="K80" t="s">
        <v>7</v>
      </c>
      <c r="L80" t="s">
        <v>8</v>
      </c>
      <c r="M80" s="3">
        <v>-4732575.6399999997</v>
      </c>
      <c r="N80" s="3" t="s">
        <v>1153</v>
      </c>
      <c r="O80" t="s">
        <v>354</v>
      </c>
      <c r="P80" t="s">
        <v>182</v>
      </c>
      <c r="Q80" t="s">
        <v>12</v>
      </c>
      <c r="R80" t="s">
        <v>9</v>
      </c>
      <c r="S80" t="s">
        <v>10</v>
      </c>
      <c r="T80" t="s">
        <v>11</v>
      </c>
      <c r="U80" t="s">
        <v>0</v>
      </c>
      <c r="V80" t="s">
        <v>11</v>
      </c>
      <c r="W80" t="s">
        <v>13</v>
      </c>
      <c r="X80" t="s">
        <v>32</v>
      </c>
      <c r="Y80" t="s">
        <v>355</v>
      </c>
      <c r="Z80" t="s">
        <v>0</v>
      </c>
      <c r="AA80" t="s">
        <v>0</v>
      </c>
    </row>
    <row r="81" spans="1:27" ht="14" customHeight="1" x14ac:dyDescent="0.25">
      <c r="A81" s="2">
        <v>46226</v>
      </c>
      <c r="B81" t="s">
        <v>184</v>
      </c>
      <c r="C81" t="s">
        <v>185</v>
      </c>
      <c r="D81" t="s">
        <v>356</v>
      </c>
      <c r="E81" t="s">
        <v>356</v>
      </c>
      <c r="F81" t="s">
        <v>180</v>
      </c>
      <c r="G81" s="2">
        <v>46203</v>
      </c>
      <c r="H81" s="2">
        <v>46203</v>
      </c>
      <c r="I81" t="s">
        <v>149</v>
      </c>
      <c r="J81" t="s">
        <v>150</v>
      </c>
      <c r="K81" t="s">
        <v>7</v>
      </c>
      <c r="L81" t="s">
        <v>8</v>
      </c>
      <c r="M81" s="3">
        <v>-177223.97</v>
      </c>
      <c r="N81" s="3" t="s">
        <v>1153</v>
      </c>
      <c r="O81" t="s">
        <v>357</v>
      </c>
      <c r="P81" t="s">
        <v>182</v>
      </c>
      <c r="Q81" t="s">
        <v>12</v>
      </c>
      <c r="R81" t="s">
        <v>9</v>
      </c>
      <c r="S81" t="s">
        <v>10</v>
      </c>
      <c r="T81" t="s">
        <v>35</v>
      </c>
      <c r="U81" t="s">
        <v>0</v>
      </c>
      <c r="V81" t="s">
        <v>35</v>
      </c>
      <c r="W81" t="s">
        <v>13</v>
      </c>
      <c r="X81" t="s">
        <v>32</v>
      </c>
      <c r="Y81" t="s">
        <v>358</v>
      </c>
      <c r="Z81" t="s">
        <v>0</v>
      </c>
      <c r="AA81" t="s">
        <v>0</v>
      </c>
    </row>
    <row r="82" spans="1:27" ht="14" customHeight="1" x14ac:dyDescent="0.25">
      <c r="A82" s="2">
        <v>46226</v>
      </c>
      <c r="B82" t="s">
        <v>197</v>
      </c>
      <c r="C82" t="s">
        <v>198</v>
      </c>
      <c r="D82" t="s">
        <v>359</v>
      </c>
      <c r="E82" t="s">
        <v>359</v>
      </c>
      <c r="F82" t="s">
        <v>180</v>
      </c>
      <c r="G82" s="2">
        <v>46203</v>
      </c>
      <c r="H82" s="2">
        <v>46203</v>
      </c>
      <c r="I82" t="s">
        <v>149</v>
      </c>
      <c r="J82" t="s">
        <v>150</v>
      </c>
      <c r="K82" t="s">
        <v>7</v>
      </c>
      <c r="L82" t="s">
        <v>8</v>
      </c>
      <c r="M82" s="3">
        <v>-6666.67</v>
      </c>
      <c r="N82" s="3" t="s">
        <v>1153</v>
      </c>
      <c r="O82" t="s">
        <v>360</v>
      </c>
      <c r="P82" t="s">
        <v>182</v>
      </c>
      <c r="Q82" t="s">
        <v>12</v>
      </c>
      <c r="R82" t="s">
        <v>9</v>
      </c>
      <c r="S82" t="s">
        <v>10</v>
      </c>
      <c r="T82" t="s">
        <v>43</v>
      </c>
      <c r="U82" t="s">
        <v>0</v>
      </c>
      <c r="V82" t="s">
        <v>43</v>
      </c>
      <c r="W82" t="s">
        <v>13</v>
      </c>
      <c r="X82" t="s">
        <v>32</v>
      </c>
      <c r="Y82" t="s">
        <v>361</v>
      </c>
      <c r="Z82" t="s">
        <v>0</v>
      </c>
      <c r="AA82" t="s">
        <v>0</v>
      </c>
    </row>
    <row r="83" spans="1:27" ht="14" customHeight="1" x14ac:dyDescent="0.25">
      <c r="A83" s="2">
        <v>46226</v>
      </c>
      <c r="B83" t="s">
        <v>218</v>
      </c>
      <c r="C83" t="s">
        <v>219</v>
      </c>
      <c r="D83" t="s">
        <v>362</v>
      </c>
      <c r="E83" t="s">
        <v>362</v>
      </c>
      <c r="F83" t="s">
        <v>180</v>
      </c>
      <c r="G83" s="2">
        <v>46203</v>
      </c>
      <c r="H83" s="2">
        <v>46203</v>
      </c>
      <c r="I83" t="s">
        <v>149</v>
      </c>
      <c r="J83" t="s">
        <v>150</v>
      </c>
      <c r="K83" t="s">
        <v>7</v>
      </c>
      <c r="L83" t="s">
        <v>8</v>
      </c>
      <c r="M83" s="3">
        <v>-8000</v>
      </c>
      <c r="N83" s="3" t="s">
        <v>1153</v>
      </c>
      <c r="O83" t="s">
        <v>363</v>
      </c>
      <c r="P83" t="s">
        <v>182</v>
      </c>
      <c r="Q83" t="s">
        <v>12</v>
      </c>
      <c r="R83" t="s">
        <v>9</v>
      </c>
      <c r="S83" t="s">
        <v>10</v>
      </c>
      <c r="T83" t="s">
        <v>43</v>
      </c>
      <c r="U83" t="s">
        <v>0</v>
      </c>
      <c r="V83" t="s">
        <v>43</v>
      </c>
      <c r="W83" t="s">
        <v>13</v>
      </c>
      <c r="X83" t="s">
        <v>32</v>
      </c>
      <c r="Y83" t="s">
        <v>364</v>
      </c>
      <c r="Z83" t="s">
        <v>0</v>
      </c>
      <c r="AA83" t="s">
        <v>0</v>
      </c>
    </row>
    <row r="84" spans="1:27" ht="14" customHeight="1" x14ac:dyDescent="0.25">
      <c r="A84" s="2">
        <v>46226</v>
      </c>
      <c r="B84" t="s">
        <v>279</v>
      </c>
      <c r="C84" t="s">
        <v>317</v>
      </c>
      <c r="D84" t="s">
        <v>365</v>
      </c>
      <c r="E84" t="s">
        <v>365</v>
      </c>
      <c r="F84" t="s">
        <v>180</v>
      </c>
      <c r="G84" s="2">
        <v>46203</v>
      </c>
      <c r="H84" s="2">
        <v>46203</v>
      </c>
      <c r="I84" t="s">
        <v>149</v>
      </c>
      <c r="J84" t="s">
        <v>150</v>
      </c>
      <c r="K84" t="s">
        <v>7</v>
      </c>
      <c r="L84" t="s">
        <v>8</v>
      </c>
      <c r="M84" s="3">
        <v>-22914.41</v>
      </c>
      <c r="N84" s="3" t="s">
        <v>1153</v>
      </c>
      <c r="O84" t="s">
        <v>366</v>
      </c>
      <c r="P84" t="s">
        <v>182</v>
      </c>
      <c r="Q84" t="s">
        <v>12</v>
      </c>
      <c r="R84" t="s">
        <v>9</v>
      </c>
      <c r="S84" t="s">
        <v>10</v>
      </c>
      <c r="T84" t="s">
        <v>43</v>
      </c>
      <c r="U84" t="s">
        <v>0</v>
      </c>
      <c r="V84" t="s">
        <v>43</v>
      </c>
      <c r="W84" t="s">
        <v>13</v>
      </c>
      <c r="X84" t="s">
        <v>32</v>
      </c>
      <c r="Y84" t="s">
        <v>367</v>
      </c>
      <c r="Z84" t="s">
        <v>0</v>
      </c>
      <c r="AA84" t="s">
        <v>0</v>
      </c>
    </row>
    <row r="85" spans="1:27" ht="14" customHeight="1" x14ac:dyDescent="0.25">
      <c r="A85" s="2">
        <v>46226</v>
      </c>
      <c r="B85" t="s">
        <v>327</v>
      </c>
      <c r="C85" t="s">
        <v>328</v>
      </c>
      <c r="D85" t="s">
        <v>368</v>
      </c>
      <c r="E85" t="s">
        <v>368</v>
      </c>
      <c r="F85" t="s">
        <v>180</v>
      </c>
      <c r="G85" s="2">
        <v>46203</v>
      </c>
      <c r="H85" s="2">
        <v>46203</v>
      </c>
      <c r="I85" t="s">
        <v>149</v>
      </c>
      <c r="J85" t="s">
        <v>150</v>
      </c>
      <c r="K85" t="s">
        <v>7</v>
      </c>
      <c r="L85" t="s">
        <v>8</v>
      </c>
      <c r="M85" s="3">
        <v>-58289.77</v>
      </c>
      <c r="N85" s="3" t="s">
        <v>1153</v>
      </c>
      <c r="O85" t="s">
        <v>369</v>
      </c>
      <c r="P85" t="s">
        <v>182</v>
      </c>
      <c r="Q85" t="s">
        <v>12</v>
      </c>
      <c r="R85" t="s">
        <v>9</v>
      </c>
      <c r="S85" t="s">
        <v>10</v>
      </c>
      <c r="T85" t="s">
        <v>35</v>
      </c>
      <c r="U85" t="s">
        <v>0</v>
      </c>
      <c r="V85" t="s">
        <v>35</v>
      </c>
      <c r="W85" t="s">
        <v>13</v>
      </c>
      <c r="X85" t="s">
        <v>32</v>
      </c>
      <c r="Y85" t="s">
        <v>370</v>
      </c>
      <c r="Z85" t="s">
        <v>0</v>
      </c>
      <c r="AA85" t="s">
        <v>0</v>
      </c>
    </row>
    <row r="86" spans="1:27" ht="14" customHeight="1" x14ac:dyDescent="0.25">
      <c r="A86" s="2">
        <v>46226</v>
      </c>
      <c r="B86" t="s">
        <v>233</v>
      </c>
      <c r="C86" t="s">
        <v>234</v>
      </c>
      <c r="D86" t="s">
        <v>371</v>
      </c>
      <c r="E86" t="s">
        <v>371</v>
      </c>
      <c r="F86" t="s">
        <v>180</v>
      </c>
      <c r="G86" s="2">
        <v>46203</v>
      </c>
      <c r="H86" s="2">
        <v>46203</v>
      </c>
      <c r="I86" t="s">
        <v>149</v>
      </c>
      <c r="J86" t="s">
        <v>150</v>
      </c>
      <c r="K86" t="s">
        <v>7</v>
      </c>
      <c r="L86" t="s">
        <v>8</v>
      </c>
      <c r="M86" s="3">
        <v>-3799.2</v>
      </c>
      <c r="N86" s="3" t="s">
        <v>1153</v>
      </c>
      <c r="O86" t="s">
        <v>372</v>
      </c>
      <c r="P86" t="s">
        <v>182</v>
      </c>
      <c r="Q86" t="s">
        <v>12</v>
      </c>
      <c r="R86" t="s">
        <v>9</v>
      </c>
      <c r="S86" t="s">
        <v>10</v>
      </c>
      <c r="T86" t="s">
        <v>43</v>
      </c>
      <c r="U86" t="s">
        <v>0</v>
      </c>
      <c r="V86" t="s">
        <v>43</v>
      </c>
      <c r="W86" t="s">
        <v>13</v>
      </c>
      <c r="X86" t="s">
        <v>32</v>
      </c>
      <c r="Y86" t="s">
        <v>373</v>
      </c>
      <c r="Z86" t="s">
        <v>0</v>
      </c>
      <c r="AA86" t="s">
        <v>0</v>
      </c>
    </row>
    <row r="87" spans="1:27" ht="14" customHeight="1" x14ac:dyDescent="0.25">
      <c r="A87" s="2">
        <v>46226</v>
      </c>
      <c r="B87" t="s">
        <v>374</v>
      </c>
      <c r="C87" t="s">
        <v>375</v>
      </c>
      <c r="D87" t="s">
        <v>376</v>
      </c>
      <c r="E87" t="s">
        <v>376</v>
      </c>
      <c r="F87" t="s">
        <v>180</v>
      </c>
      <c r="G87" s="2">
        <v>46203</v>
      </c>
      <c r="H87" s="2">
        <v>46203</v>
      </c>
      <c r="I87" t="s">
        <v>149</v>
      </c>
      <c r="J87" t="s">
        <v>150</v>
      </c>
      <c r="K87" t="s">
        <v>7</v>
      </c>
      <c r="L87" t="s">
        <v>8</v>
      </c>
      <c r="M87" s="3">
        <v>-48756.6</v>
      </c>
      <c r="N87" s="3" t="s">
        <v>1153</v>
      </c>
      <c r="O87" t="s">
        <v>377</v>
      </c>
      <c r="P87" t="s">
        <v>182</v>
      </c>
      <c r="Q87" t="s">
        <v>12</v>
      </c>
      <c r="R87" t="s">
        <v>9</v>
      </c>
      <c r="S87" t="s">
        <v>10</v>
      </c>
      <c r="T87" t="s">
        <v>35</v>
      </c>
      <c r="U87" t="s">
        <v>0</v>
      </c>
      <c r="V87" t="s">
        <v>35</v>
      </c>
      <c r="W87" t="s">
        <v>13</v>
      </c>
      <c r="X87" t="s">
        <v>32</v>
      </c>
      <c r="Y87" t="s">
        <v>378</v>
      </c>
      <c r="Z87" t="s">
        <v>0</v>
      </c>
      <c r="AA87" t="s">
        <v>0</v>
      </c>
    </row>
    <row r="88" spans="1:27" ht="14" customHeight="1" x14ac:dyDescent="0.25">
      <c r="A88" s="2">
        <v>46226</v>
      </c>
      <c r="B88" t="s">
        <v>338</v>
      </c>
      <c r="C88" t="s">
        <v>339</v>
      </c>
      <c r="D88" t="s">
        <v>379</v>
      </c>
      <c r="E88" t="s">
        <v>379</v>
      </c>
      <c r="F88" t="s">
        <v>180</v>
      </c>
      <c r="G88" s="2">
        <v>46203</v>
      </c>
      <c r="H88" s="2">
        <v>46203</v>
      </c>
      <c r="I88" t="s">
        <v>149</v>
      </c>
      <c r="J88" t="s">
        <v>150</v>
      </c>
      <c r="K88" t="s">
        <v>7</v>
      </c>
      <c r="L88" t="s">
        <v>8</v>
      </c>
      <c r="M88" s="3">
        <v>-6278.36</v>
      </c>
      <c r="N88" s="3" t="s">
        <v>1153</v>
      </c>
      <c r="O88" t="s">
        <v>380</v>
      </c>
      <c r="P88" t="s">
        <v>182</v>
      </c>
      <c r="Q88" t="s">
        <v>12</v>
      </c>
      <c r="R88" t="s">
        <v>9</v>
      </c>
      <c r="S88" t="s">
        <v>10</v>
      </c>
      <c r="T88" t="s">
        <v>35</v>
      </c>
      <c r="U88" t="s">
        <v>0</v>
      </c>
      <c r="V88" t="s">
        <v>35</v>
      </c>
      <c r="W88" t="s">
        <v>13</v>
      </c>
      <c r="X88" t="s">
        <v>32</v>
      </c>
      <c r="Y88" t="s">
        <v>381</v>
      </c>
      <c r="Z88" t="s">
        <v>0</v>
      </c>
      <c r="AA88" t="s">
        <v>0</v>
      </c>
    </row>
    <row r="89" spans="1:27" ht="14" customHeight="1" x14ac:dyDescent="0.25">
      <c r="A89" s="2">
        <v>46226</v>
      </c>
      <c r="B89" t="s">
        <v>343</v>
      </c>
      <c r="C89" t="s">
        <v>344</v>
      </c>
      <c r="D89" t="s">
        <v>382</v>
      </c>
      <c r="E89" t="s">
        <v>382</v>
      </c>
      <c r="F89" t="s">
        <v>180</v>
      </c>
      <c r="G89" s="2">
        <v>46203</v>
      </c>
      <c r="H89" s="2">
        <v>46203</v>
      </c>
      <c r="I89" t="s">
        <v>149</v>
      </c>
      <c r="J89" t="s">
        <v>150</v>
      </c>
      <c r="K89" t="s">
        <v>7</v>
      </c>
      <c r="L89" t="s">
        <v>8</v>
      </c>
      <c r="M89" s="3">
        <v>-79134</v>
      </c>
      <c r="N89" s="3" t="s">
        <v>1153</v>
      </c>
      <c r="O89" t="s">
        <v>383</v>
      </c>
      <c r="P89" t="s">
        <v>182</v>
      </c>
      <c r="Q89" t="s">
        <v>12</v>
      </c>
      <c r="R89" t="s">
        <v>9</v>
      </c>
      <c r="S89" t="s">
        <v>10</v>
      </c>
      <c r="T89" t="s">
        <v>11</v>
      </c>
      <c r="U89" t="s">
        <v>0</v>
      </c>
      <c r="V89" t="s">
        <v>11</v>
      </c>
      <c r="W89" t="s">
        <v>13</v>
      </c>
      <c r="X89" t="s">
        <v>32</v>
      </c>
      <c r="Y89" t="s">
        <v>384</v>
      </c>
      <c r="Z89" t="s">
        <v>0</v>
      </c>
      <c r="AA89" t="s">
        <v>0</v>
      </c>
    </row>
    <row r="90" spans="1:27" ht="14" customHeight="1" x14ac:dyDescent="0.25">
      <c r="A90" s="2">
        <v>46226</v>
      </c>
      <c r="B90" t="s">
        <v>385</v>
      </c>
      <c r="C90" t="s">
        <v>386</v>
      </c>
      <c r="D90" t="s">
        <v>387</v>
      </c>
      <c r="E90" t="s">
        <v>387</v>
      </c>
      <c r="F90" t="s">
        <v>180</v>
      </c>
      <c r="G90" s="2">
        <v>46203</v>
      </c>
      <c r="H90" s="2">
        <v>46203</v>
      </c>
      <c r="I90" t="s">
        <v>149</v>
      </c>
      <c r="J90" t="s">
        <v>150</v>
      </c>
      <c r="K90" t="s">
        <v>7</v>
      </c>
      <c r="L90" t="s">
        <v>8</v>
      </c>
      <c r="M90" s="3">
        <v>-86998.25</v>
      </c>
      <c r="N90" s="3" t="s">
        <v>1153</v>
      </c>
      <c r="O90" t="s">
        <v>388</v>
      </c>
      <c r="P90" t="s">
        <v>182</v>
      </c>
      <c r="Q90" t="s">
        <v>12</v>
      </c>
      <c r="R90" t="s">
        <v>9</v>
      </c>
      <c r="S90" t="s">
        <v>10</v>
      </c>
      <c r="T90" t="s">
        <v>11</v>
      </c>
      <c r="U90" t="s">
        <v>0</v>
      </c>
      <c r="V90" t="s">
        <v>11</v>
      </c>
      <c r="W90" t="s">
        <v>13</v>
      </c>
      <c r="X90" t="s">
        <v>32</v>
      </c>
      <c r="Y90" t="s">
        <v>389</v>
      </c>
      <c r="Z90" t="s">
        <v>0</v>
      </c>
      <c r="AA90" t="s">
        <v>0</v>
      </c>
    </row>
    <row r="91" spans="1:27" ht="14" customHeight="1" x14ac:dyDescent="0.25">
      <c r="A91" s="2">
        <v>46224</v>
      </c>
      <c r="B91" t="s">
        <v>348</v>
      </c>
      <c r="C91" t="s">
        <v>349</v>
      </c>
      <c r="D91" t="s">
        <v>390</v>
      </c>
      <c r="E91" t="s">
        <v>390</v>
      </c>
      <c r="F91" t="s">
        <v>180</v>
      </c>
      <c r="G91" s="2">
        <v>46203</v>
      </c>
      <c r="H91" s="2">
        <v>46203</v>
      </c>
      <c r="I91" t="s">
        <v>149</v>
      </c>
      <c r="J91" t="s">
        <v>150</v>
      </c>
      <c r="K91" t="s">
        <v>7</v>
      </c>
      <c r="L91" t="s">
        <v>8</v>
      </c>
      <c r="M91" s="3">
        <v>-4703675.74</v>
      </c>
      <c r="N91" s="3" t="s">
        <v>1153</v>
      </c>
      <c r="O91" t="s">
        <v>391</v>
      </c>
      <c r="P91" t="s">
        <v>182</v>
      </c>
      <c r="Q91" t="s">
        <v>12</v>
      </c>
      <c r="R91" t="s">
        <v>9</v>
      </c>
      <c r="S91" t="s">
        <v>10</v>
      </c>
      <c r="T91" t="s">
        <v>11</v>
      </c>
      <c r="U91" t="s">
        <v>0</v>
      </c>
      <c r="V91" t="s">
        <v>11</v>
      </c>
      <c r="W91" t="s">
        <v>13</v>
      </c>
      <c r="X91" t="s">
        <v>32</v>
      </c>
      <c r="Y91" t="s">
        <v>392</v>
      </c>
      <c r="Z91" t="s">
        <v>0</v>
      </c>
      <c r="AA91" t="s">
        <v>0</v>
      </c>
    </row>
    <row r="92" spans="1:27" ht="14" customHeight="1" x14ac:dyDescent="0.25">
      <c r="A92" s="2">
        <v>46119</v>
      </c>
      <c r="B92" t="s">
        <v>0</v>
      </c>
      <c r="C92" t="s">
        <v>393</v>
      </c>
      <c r="D92" t="s">
        <v>394</v>
      </c>
      <c r="E92" t="s">
        <v>394</v>
      </c>
      <c r="F92" t="s">
        <v>4</v>
      </c>
      <c r="G92" s="2">
        <v>46080</v>
      </c>
      <c r="H92" s="2">
        <v>46080</v>
      </c>
      <c r="I92" t="s">
        <v>190</v>
      </c>
      <c r="J92" t="s">
        <v>191</v>
      </c>
      <c r="K92" t="s">
        <v>7</v>
      </c>
      <c r="L92" t="s">
        <v>8</v>
      </c>
      <c r="M92" s="3">
        <v>-5695</v>
      </c>
      <c r="N92" s="3" t="s">
        <v>1151</v>
      </c>
      <c r="O92" t="s">
        <v>397</v>
      </c>
      <c r="P92" t="s">
        <v>398</v>
      </c>
      <c r="Q92" t="s">
        <v>396</v>
      </c>
      <c r="R92" t="s">
        <v>9</v>
      </c>
      <c r="S92" t="s">
        <v>10</v>
      </c>
      <c r="T92" t="s">
        <v>395</v>
      </c>
      <c r="U92" t="s">
        <v>0</v>
      </c>
      <c r="V92" t="s">
        <v>395</v>
      </c>
      <c r="W92" t="s">
        <v>13</v>
      </c>
      <c r="X92" t="s">
        <v>16</v>
      </c>
      <c r="Y92" t="s">
        <v>399</v>
      </c>
      <c r="Z92" t="s">
        <v>0</v>
      </c>
      <c r="AA92" t="s">
        <v>0</v>
      </c>
    </row>
    <row r="93" spans="1:27" ht="14" customHeight="1" x14ac:dyDescent="0.25">
      <c r="A93" s="2">
        <v>46073</v>
      </c>
      <c r="B93" t="s">
        <v>400</v>
      </c>
      <c r="C93" t="s">
        <v>25</v>
      </c>
      <c r="D93" t="s">
        <v>401</v>
      </c>
      <c r="E93" t="s">
        <v>401</v>
      </c>
      <c r="F93" t="s">
        <v>27</v>
      </c>
      <c r="G93" s="2">
        <v>46052</v>
      </c>
      <c r="H93" s="2">
        <v>46053</v>
      </c>
      <c r="I93" t="s">
        <v>28</v>
      </c>
      <c r="J93" t="s">
        <v>29</v>
      </c>
      <c r="K93" t="s">
        <v>7</v>
      </c>
      <c r="L93" t="s">
        <v>30</v>
      </c>
      <c r="M93" s="3">
        <v>1600000</v>
      </c>
      <c r="N93" s="3" t="s">
        <v>1152</v>
      </c>
      <c r="O93" t="s">
        <v>402</v>
      </c>
      <c r="P93" t="s">
        <v>403</v>
      </c>
      <c r="Q93" t="s">
        <v>396</v>
      </c>
      <c r="R93" t="s">
        <v>9</v>
      </c>
      <c r="S93" t="s">
        <v>10</v>
      </c>
      <c r="T93" t="s">
        <v>11</v>
      </c>
      <c r="U93" t="s">
        <v>11</v>
      </c>
      <c r="V93" t="s">
        <v>11</v>
      </c>
      <c r="W93" t="s">
        <v>13</v>
      </c>
      <c r="X93" t="s">
        <v>32</v>
      </c>
      <c r="Y93" t="s">
        <v>0</v>
      </c>
      <c r="Z93" t="s">
        <v>0</v>
      </c>
      <c r="AA93" t="s">
        <v>0</v>
      </c>
    </row>
    <row r="94" spans="1:27" ht="14" customHeight="1" x14ac:dyDescent="0.25">
      <c r="A94" s="2">
        <v>46097</v>
      </c>
      <c r="B94" t="s">
        <v>404</v>
      </c>
      <c r="C94" t="s">
        <v>405</v>
      </c>
      <c r="D94" t="s">
        <v>406</v>
      </c>
      <c r="E94" t="s">
        <v>406</v>
      </c>
      <c r="F94" t="s">
        <v>27</v>
      </c>
      <c r="G94" s="2">
        <v>46052</v>
      </c>
      <c r="H94" s="2">
        <v>46090</v>
      </c>
      <c r="I94" t="s">
        <v>70</v>
      </c>
      <c r="J94" t="s">
        <v>71</v>
      </c>
      <c r="K94" t="s">
        <v>7</v>
      </c>
      <c r="L94" t="s">
        <v>30</v>
      </c>
      <c r="M94" s="3">
        <v>467000</v>
      </c>
      <c r="N94" s="3" t="s">
        <v>1152</v>
      </c>
      <c r="O94" t="s">
        <v>407</v>
      </c>
      <c r="P94" t="s">
        <v>408</v>
      </c>
      <c r="Q94" t="s">
        <v>396</v>
      </c>
      <c r="R94" t="s">
        <v>9</v>
      </c>
      <c r="S94" t="s">
        <v>10</v>
      </c>
      <c r="T94" t="s">
        <v>35</v>
      </c>
      <c r="U94" t="s">
        <v>35</v>
      </c>
      <c r="V94" t="s">
        <v>35</v>
      </c>
      <c r="W94" t="s">
        <v>13</v>
      </c>
      <c r="X94" t="s">
        <v>32</v>
      </c>
      <c r="Y94" t="s">
        <v>0</v>
      </c>
      <c r="Z94" t="s">
        <v>0</v>
      </c>
      <c r="AA94" t="s">
        <v>0</v>
      </c>
    </row>
    <row r="95" spans="1:27" ht="14" customHeight="1" x14ac:dyDescent="0.25">
      <c r="A95" s="2">
        <v>46097</v>
      </c>
      <c r="B95" t="s">
        <v>409</v>
      </c>
      <c r="C95" t="s">
        <v>405</v>
      </c>
      <c r="D95" t="s">
        <v>410</v>
      </c>
      <c r="E95" t="s">
        <v>410</v>
      </c>
      <c r="F95" t="s">
        <v>27</v>
      </c>
      <c r="G95" s="2">
        <v>46064</v>
      </c>
      <c r="H95" s="2">
        <v>46090</v>
      </c>
      <c r="I95" t="s">
        <v>70</v>
      </c>
      <c r="J95" t="s">
        <v>71</v>
      </c>
      <c r="K95" t="s">
        <v>7</v>
      </c>
      <c r="L95" t="s">
        <v>30</v>
      </c>
      <c r="M95" s="3">
        <v>61250</v>
      </c>
      <c r="N95" s="3" t="s">
        <v>1152</v>
      </c>
      <c r="O95" t="s">
        <v>411</v>
      </c>
      <c r="P95" t="s">
        <v>412</v>
      </c>
      <c r="Q95" t="s">
        <v>396</v>
      </c>
      <c r="R95" t="s">
        <v>9</v>
      </c>
      <c r="S95" t="s">
        <v>10</v>
      </c>
      <c r="T95" t="s">
        <v>395</v>
      </c>
      <c r="U95" t="s">
        <v>395</v>
      </c>
      <c r="V95" t="s">
        <v>395</v>
      </c>
      <c r="W95" t="s">
        <v>13</v>
      </c>
      <c r="X95" t="s">
        <v>32</v>
      </c>
      <c r="Y95" t="s">
        <v>0</v>
      </c>
      <c r="Z95" t="s">
        <v>0</v>
      </c>
      <c r="AA95" t="s">
        <v>0</v>
      </c>
    </row>
    <row r="96" spans="1:27" ht="14" customHeight="1" x14ac:dyDescent="0.25">
      <c r="A96" s="2">
        <v>46097</v>
      </c>
      <c r="B96" t="s">
        <v>413</v>
      </c>
      <c r="C96" t="s">
        <v>405</v>
      </c>
      <c r="D96" t="s">
        <v>414</v>
      </c>
      <c r="E96" t="s">
        <v>414</v>
      </c>
      <c r="F96" t="s">
        <v>27</v>
      </c>
      <c r="G96" s="2">
        <v>46064</v>
      </c>
      <c r="H96" s="2">
        <v>46090</v>
      </c>
      <c r="I96" t="s">
        <v>70</v>
      </c>
      <c r="J96" t="s">
        <v>71</v>
      </c>
      <c r="K96" t="s">
        <v>7</v>
      </c>
      <c r="L96" t="s">
        <v>30</v>
      </c>
      <c r="M96" s="3">
        <v>61250</v>
      </c>
      <c r="N96" s="3" t="s">
        <v>1152</v>
      </c>
      <c r="O96" t="s">
        <v>415</v>
      </c>
      <c r="P96" t="s">
        <v>416</v>
      </c>
      <c r="Q96" t="s">
        <v>396</v>
      </c>
      <c r="R96" t="s">
        <v>9</v>
      </c>
      <c r="S96" t="s">
        <v>10</v>
      </c>
      <c r="T96" t="s">
        <v>395</v>
      </c>
      <c r="U96" t="s">
        <v>395</v>
      </c>
      <c r="V96" t="s">
        <v>395</v>
      </c>
      <c r="W96" t="s">
        <v>13</v>
      </c>
      <c r="X96" t="s">
        <v>32</v>
      </c>
      <c r="Y96" t="s">
        <v>0</v>
      </c>
      <c r="Z96" t="s">
        <v>0</v>
      </c>
      <c r="AA96" t="s">
        <v>0</v>
      </c>
    </row>
    <row r="97" spans="1:27" ht="14" customHeight="1" x14ac:dyDescent="0.25">
      <c r="A97" s="2">
        <v>46097</v>
      </c>
      <c r="B97" t="s">
        <v>417</v>
      </c>
      <c r="C97" t="s">
        <v>405</v>
      </c>
      <c r="D97" t="s">
        <v>418</v>
      </c>
      <c r="E97" t="s">
        <v>418</v>
      </c>
      <c r="F97" t="s">
        <v>27</v>
      </c>
      <c r="G97" s="2">
        <v>46077</v>
      </c>
      <c r="H97" s="2">
        <v>46090</v>
      </c>
      <c r="I97" t="s">
        <v>70</v>
      </c>
      <c r="J97" t="s">
        <v>71</v>
      </c>
      <c r="K97" t="s">
        <v>7</v>
      </c>
      <c r="L97" t="s">
        <v>30</v>
      </c>
      <c r="M97" s="3">
        <v>250000</v>
      </c>
      <c r="N97" s="3" t="s">
        <v>1152</v>
      </c>
      <c r="O97" t="s">
        <v>419</v>
      </c>
      <c r="P97" t="s">
        <v>420</v>
      </c>
      <c r="Q97" t="s">
        <v>396</v>
      </c>
      <c r="R97" t="s">
        <v>9</v>
      </c>
      <c r="S97" t="s">
        <v>10</v>
      </c>
      <c r="T97" t="s">
        <v>11</v>
      </c>
      <c r="U97" t="s">
        <v>11</v>
      </c>
      <c r="V97" t="s">
        <v>11</v>
      </c>
      <c r="W97" t="s">
        <v>13</v>
      </c>
      <c r="X97" t="s">
        <v>32</v>
      </c>
      <c r="Y97" t="s">
        <v>0</v>
      </c>
      <c r="Z97" t="s">
        <v>0</v>
      </c>
      <c r="AA97" t="s">
        <v>0</v>
      </c>
    </row>
    <row r="98" spans="1:27" ht="14" customHeight="1" x14ac:dyDescent="0.25">
      <c r="A98" s="2">
        <v>46099</v>
      </c>
      <c r="B98" t="s">
        <v>421</v>
      </c>
      <c r="C98" t="s">
        <v>88</v>
      </c>
      <c r="D98" t="s">
        <v>422</v>
      </c>
      <c r="E98" t="s">
        <v>422</v>
      </c>
      <c r="F98" t="s">
        <v>27</v>
      </c>
      <c r="G98" s="2">
        <v>46077</v>
      </c>
      <c r="H98" s="2">
        <v>46099</v>
      </c>
      <c r="I98" t="s">
        <v>70</v>
      </c>
      <c r="J98" t="s">
        <v>71</v>
      </c>
      <c r="K98" t="s">
        <v>7</v>
      </c>
      <c r="L98" t="s">
        <v>30</v>
      </c>
      <c r="M98" s="3">
        <v>1639627.33</v>
      </c>
      <c r="N98" s="3" t="s">
        <v>1152</v>
      </c>
      <c r="O98" t="s">
        <v>424</v>
      </c>
      <c r="P98" t="s">
        <v>403</v>
      </c>
      <c r="Q98" t="s">
        <v>396</v>
      </c>
      <c r="R98" t="s">
        <v>9</v>
      </c>
      <c r="S98" t="s">
        <v>10</v>
      </c>
      <c r="T98" t="s">
        <v>423</v>
      </c>
      <c r="U98" t="s">
        <v>423</v>
      </c>
      <c r="V98" t="s">
        <v>423</v>
      </c>
      <c r="W98" t="s">
        <v>13</v>
      </c>
      <c r="X98" t="s">
        <v>32</v>
      </c>
      <c r="Y98" t="s">
        <v>0</v>
      </c>
      <c r="Z98" t="s">
        <v>0</v>
      </c>
      <c r="AA98" t="s">
        <v>0</v>
      </c>
    </row>
    <row r="99" spans="1:27" ht="14" customHeight="1" x14ac:dyDescent="0.25">
      <c r="A99" s="2">
        <v>46111</v>
      </c>
      <c r="B99" t="s">
        <v>425</v>
      </c>
      <c r="C99" t="s">
        <v>426</v>
      </c>
      <c r="D99" t="s">
        <v>427</v>
      </c>
      <c r="E99" t="s">
        <v>427</v>
      </c>
      <c r="F99" t="s">
        <v>27</v>
      </c>
      <c r="G99" s="2">
        <v>46085</v>
      </c>
      <c r="H99" s="2">
        <v>46107</v>
      </c>
      <c r="I99" t="s">
        <v>70</v>
      </c>
      <c r="J99" t="s">
        <v>71</v>
      </c>
      <c r="K99" t="s">
        <v>7</v>
      </c>
      <c r="L99" t="s">
        <v>30</v>
      </c>
      <c r="M99" s="3">
        <v>77644.83</v>
      </c>
      <c r="N99" s="3" t="s">
        <v>1152</v>
      </c>
      <c r="O99" t="s">
        <v>428</v>
      </c>
      <c r="P99" t="s">
        <v>429</v>
      </c>
      <c r="Q99" t="s">
        <v>396</v>
      </c>
      <c r="R99" t="s">
        <v>9</v>
      </c>
      <c r="S99" t="s">
        <v>10</v>
      </c>
      <c r="T99" t="s">
        <v>395</v>
      </c>
      <c r="U99" t="s">
        <v>395</v>
      </c>
      <c r="V99" t="s">
        <v>395</v>
      </c>
      <c r="W99" t="s">
        <v>13</v>
      </c>
      <c r="X99" t="s">
        <v>32</v>
      </c>
      <c r="Y99" t="s">
        <v>0</v>
      </c>
      <c r="Z99" t="s">
        <v>0</v>
      </c>
      <c r="AA99" t="s">
        <v>0</v>
      </c>
    </row>
    <row r="100" spans="1:27" ht="14" customHeight="1" x14ac:dyDescent="0.25">
      <c r="A100" s="2">
        <v>46111</v>
      </c>
      <c r="B100" t="s">
        <v>430</v>
      </c>
      <c r="C100" t="s">
        <v>426</v>
      </c>
      <c r="D100" t="s">
        <v>431</v>
      </c>
      <c r="E100" t="s">
        <v>431</v>
      </c>
      <c r="F100" t="s">
        <v>27</v>
      </c>
      <c r="G100" s="2">
        <v>46083</v>
      </c>
      <c r="H100" s="2">
        <v>46107</v>
      </c>
      <c r="I100" t="s">
        <v>70</v>
      </c>
      <c r="J100" t="s">
        <v>71</v>
      </c>
      <c r="K100" t="s">
        <v>7</v>
      </c>
      <c r="L100" t="s">
        <v>30</v>
      </c>
      <c r="M100" s="3">
        <v>16848</v>
      </c>
      <c r="N100" s="3" t="s">
        <v>1152</v>
      </c>
      <c r="O100" t="s">
        <v>433</v>
      </c>
      <c r="P100" t="s">
        <v>434</v>
      </c>
      <c r="Q100" t="s">
        <v>396</v>
      </c>
      <c r="R100" t="s">
        <v>9</v>
      </c>
      <c r="S100" t="s">
        <v>10</v>
      </c>
      <c r="T100" t="s">
        <v>432</v>
      </c>
      <c r="U100" t="s">
        <v>432</v>
      </c>
      <c r="V100" t="s">
        <v>432</v>
      </c>
      <c r="W100" t="s">
        <v>13</v>
      </c>
      <c r="X100" t="s">
        <v>32</v>
      </c>
      <c r="Y100" t="s">
        <v>0</v>
      </c>
      <c r="Z100" t="s">
        <v>0</v>
      </c>
      <c r="AA100" t="s">
        <v>0</v>
      </c>
    </row>
    <row r="101" spans="1:27" ht="14" customHeight="1" x14ac:dyDescent="0.25">
      <c r="A101" s="2">
        <v>46127</v>
      </c>
      <c r="B101" t="s">
        <v>435</v>
      </c>
      <c r="C101" t="s">
        <v>436</v>
      </c>
      <c r="D101" t="s">
        <v>437</v>
      </c>
      <c r="E101" t="s">
        <v>437</v>
      </c>
      <c r="F101" t="s">
        <v>27</v>
      </c>
      <c r="G101" s="2">
        <v>46113</v>
      </c>
      <c r="H101" s="2">
        <v>46127</v>
      </c>
      <c r="I101" t="s">
        <v>100</v>
      </c>
      <c r="J101" t="s">
        <v>101</v>
      </c>
      <c r="K101" t="s">
        <v>7</v>
      </c>
      <c r="L101" t="s">
        <v>30</v>
      </c>
      <c r="M101" s="3">
        <v>910000</v>
      </c>
      <c r="N101" s="3" t="s">
        <v>1152</v>
      </c>
      <c r="O101" t="s">
        <v>438</v>
      </c>
      <c r="P101" t="s">
        <v>439</v>
      </c>
      <c r="Q101" t="s">
        <v>396</v>
      </c>
      <c r="R101" t="s">
        <v>9</v>
      </c>
      <c r="S101" t="s">
        <v>10</v>
      </c>
      <c r="T101" t="s">
        <v>11</v>
      </c>
      <c r="U101" t="s">
        <v>11</v>
      </c>
      <c r="V101" t="s">
        <v>11</v>
      </c>
      <c r="W101" t="s">
        <v>13</v>
      </c>
      <c r="X101" t="s">
        <v>32</v>
      </c>
      <c r="Y101" t="s">
        <v>0</v>
      </c>
      <c r="Z101" t="s">
        <v>0</v>
      </c>
      <c r="AA101" t="s">
        <v>0</v>
      </c>
    </row>
    <row r="102" spans="1:27" ht="14" customHeight="1" x14ac:dyDescent="0.25">
      <c r="A102" s="2">
        <v>46146</v>
      </c>
      <c r="B102" t="s">
        <v>440</v>
      </c>
      <c r="C102" t="s">
        <v>441</v>
      </c>
      <c r="D102" t="s">
        <v>442</v>
      </c>
      <c r="E102" t="s">
        <v>442</v>
      </c>
      <c r="F102" t="s">
        <v>27</v>
      </c>
      <c r="G102" s="2">
        <v>46122</v>
      </c>
      <c r="H102" s="2">
        <v>46141</v>
      </c>
      <c r="I102" t="s">
        <v>100</v>
      </c>
      <c r="J102" t="s">
        <v>101</v>
      </c>
      <c r="K102" t="s">
        <v>7</v>
      </c>
      <c r="L102" t="s">
        <v>30</v>
      </c>
      <c r="M102" s="3">
        <v>450000</v>
      </c>
      <c r="N102" s="3" t="s">
        <v>1152</v>
      </c>
      <c r="O102" t="s">
        <v>443</v>
      </c>
      <c r="P102" t="s">
        <v>444</v>
      </c>
      <c r="Q102" t="s">
        <v>396</v>
      </c>
      <c r="R102" t="s">
        <v>9</v>
      </c>
      <c r="S102" t="s">
        <v>10</v>
      </c>
      <c r="T102" t="s">
        <v>43</v>
      </c>
      <c r="U102" t="s">
        <v>43</v>
      </c>
      <c r="V102" t="s">
        <v>43</v>
      </c>
      <c r="W102" t="s">
        <v>13</v>
      </c>
      <c r="X102" t="s">
        <v>32</v>
      </c>
      <c r="Y102" t="s">
        <v>0</v>
      </c>
      <c r="Z102" t="s">
        <v>0</v>
      </c>
      <c r="AA102" t="s">
        <v>0</v>
      </c>
    </row>
    <row r="103" spans="1:27" ht="14" customHeight="1" x14ac:dyDescent="0.25">
      <c r="A103" s="2">
        <v>46160</v>
      </c>
      <c r="B103" t="s">
        <v>445</v>
      </c>
      <c r="C103" t="s">
        <v>129</v>
      </c>
      <c r="D103" t="s">
        <v>446</v>
      </c>
      <c r="E103" t="s">
        <v>446</v>
      </c>
      <c r="F103" t="s">
        <v>27</v>
      </c>
      <c r="G103" s="2">
        <v>46125</v>
      </c>
      <c r="H103" s="2">
        <v>46155</v>
      </c>
      <c r="I103" t="s">
        <v>5</v>
      </c>
      <c r="J103" t="s">
        <v>6</v>
      </c>
      <c r="K103" t="s">
        <v>7</v>
      </c>
      <c r="L103" t="s">
        <v>30</v>
      </c>
      <c r="M103" s="3">
        <v>56171.23</v>
      </c>
      <c r="N103" s="3" t="s">
        <v>1152</v>
      </c>
      <c r="O103" t="s">
        <v>447</v>
      </c>
      <c r="P103" t="s">
        <v>448</v>
      </c>
      <c r="Q103" t="s">
        <v>396</v>
      </c>
      <c r="R103" t="s">
        <v>9</v>
      </c>
      <c r="S103" t="s">
        <v>10</v>
      </c>
      <c r="T103" t="s">
        <v>432</v>
      </c>
      <c r="U103" t="s">
        <v>432</v>
      </c>
      <c r="V103" t="s">
        <v>432</v>
      </c>
      <c r="W103" t="s">
        <v>13</v>
      </c>
      <c r="X103" t="s">
        <v>32</v>
      </c>
      <c r="Y103" t="s">
        <v>0</v>
      </c>
      <c r="Z103" t="s">
        <v>0</v>
      </c>
      <c r="AA103" t="s">
        <v>0</v>
      </c>
    </row>
    <row r="104" spans="1:27" ht="14" customHeight="1" x14ac:dyDescent="0.25">
      <c r="A104" s="2">
        <v>46164</v>
      </c>
      <c r="B104" t="s">
        <v>449</v>
      </c>
      <c r="C104" t="s">
        <v>450</v>
      </c>
      <c r="D104" t="s">
        <v>451</v>
      </c>
      <c r="E104" t="s">
        <v>451</v>
      </c>
      <c r="F104" t="s">
        <v>27</v>
      </c>
      <c r="G104" s="2">
        <v>46147</v>
      </c>
      <c r="H104" s="2">
        <v>46164</v>
      </c>
      <c r="I104" t="s">
        <v>5</v>
      </c>
      <c r="J104" t="s">
        <v>6</v>
      </c>
      <c r="K104" t="s">
        <v>7</v>
      </c>
      <c r="L104" t="s">
        <v>30</v>
      </c>
      <c r="M104" s="3">
        <v>10750</v>
      </c>
      <c r="N104" s="3" t="s">
        <v>1152</v>
      </c>
      <c r="O104" t="s">
        <v>452</v>
      </c>
      <c r="P104" t="s">
        <v>453</v>
      </c>
      <c r="Q104" t="s">
        <v>396</v>
      </c>
      <c r="R104" t="s">
        <v>9</v>
      </c>
      <c r="S104" t="s">
        <v>10</v>
      </c>
      <c r="T104" t="s">
        <v>11</v>
      </c>
      <c r="U104" t="s">
        <v>11</v>
      </c>
      <c r="V104" t="s">
        <v>11</v>
      </c>
      <c r="W104" t="s">
        <v>13</v>
      </c>
      <c r="X104" t="s">
        <v>32</v>
      </c>
      <c r="Y104" t="s">
        <v>0</v>
      </c>
      <c r="Z104" t="s">
        <v>0</v>
      </c>
      <c r="AA104" t="s">
        <v>0</v>
      </c>
    </row>
    <row r="105" spans="1:27" ht="14" customHeight="1" x14ac:dyDescent="0.25">
      <c r="A105" s="2">
        <v>46189</v>
      </c>
      <c r="B105" t="s">
        <v>454</v>
      </c>
      <c r="C105" t="s">
        <v>154</v>
      </c>
      <c r="D105" t="s">
        <v>455</v>
      </c>
      <c r="E105" t="s">
        <v>455</v>
      </c>
      <c r="F105" t="s">
        <v>27</v>
      </c>
      <c r="G105" s="2">
        <v>46129</v>
      </c>
      <c r="H105" s="2">
        <v>46182</v>
      </c>
      <c r="I105" t="s">
        <v>149</v>
      </c>
      <c r="J105" t="s">
        <v>150</v>
      </c>
      <c r="K105" t="s">
        <v>7</v>
      </c>
      <c r="L105" t="s">
        <v>30</v>
      </c>
      <c r="M105" s="3">
        <v>61250</v>
      </c>
      <c r="N105" s="3" t="s">
        <v>1152</v>
      </c>
      <c r="O105" t="s">
        <v>456</v>
      </c>
      <c r="P105" t="s">
        <v>457</v>
      </c>
      <c r="Q105" t="s">
        <v>396</v>
      </c>
      <c r="R105" t="s">
        <v>9</v>
      </c>
      <c r="S105" t="s">
        <v>10</v>
      </c>
      <c r="T105" t="s">
        <v>395</v>
      </c>
      <c r="U105" t="s">
        <v>395</v>
      </c>
      <c r="V105" t="s">
        <v>395</v>
      </c>
      <c r="W105" t="s">
        <v>13</v>
      </c>
      <c r="X105" t="s">
        <v>32</v>
      </c>
      <c r="Y105" t="s">
        <v>0</v>
      </c>
      <c r="Z105" t="s">
        <v>0</v>
      </c>
      <c r="AA105" t="s">
        <v>0</v>
      </c>
    </row>
    <row r="106" spans="1:27" ht="14" customHeight="1" x14ac:dyDescent="0.25">
      <c r="A106" s="2">
        <v>46189</v>
      </c>
      <c r="B106" t="s">
        <v>458</v>
      </c>
      <c r="C106" t="s">
        <v>154</v>
      </c>
      <c r="D106" t="s">
        <v>459</v>
      </c>
      <c r="E106" t="s">
        <v>459</v>
      </c>
      <c r="F106" t="s">
        <v>27</v>
      </c>
      <c r="G106" s="2">
        <v>46129</v>
      </c>
      <c r="H106" s="2">
        <v>46182</v>
      </c>
      <c r="I106" t="s">
        <v>149</v>
      </c>
      <c r="J106" t="s">
        <v>150</v>
      </c>
      <c r="K106" t="s">
        <v>7</v>
      </c>
      <c r="L106" t="s">
        <v>30</v>
      </c>
      <c r="M106" s="3">
        <v>61250</v>
      </c>
      <c r="N106" s="3" t="s">
        <v>1152</v>
      </c>
      <c r="O106" t="s">
        <v>460</v>
      </c>
      <c r="P106" t="s">
        <v>461</v>
      </c>
      <c r="Q106" t="s">
        <v>396</v>
      </c>
      <c r="R106" t="s">
        <v>9</v>
      </c>
      <c r="S106" t="s">
        <v>10</v>
      </c>
      <c r="T106" t="s">
        <v>395</v>
      </c>
      <c r="U106" t="s">
        <v>395</v>
      </c>
      <c r="V106" t="s">
        <v>395</v>
      </c>
      <c r="W106" t="s">
        <v>13</v>
      </c>
      <c r="X106" t="s">
        <v>32</v>
      </c>
      <c r="Y106" t="s">
        <v>0</v>
      </c>
      <c r="Z106" t="s">
        <v>0</v>
      </c>
      <c r="AA106" t="s">
        <v>0</v>
      </c>
    </row>
    <row r="107" spans="1:27" ht="14" customHeight="1" x14ac:dyDescent="0.25">
      <c r="A107" s="2">
        <v>46189</v>
      </c>
      <c r="B107" t="s">
        <v>462</v>
      </c>
      <c r="C107" t="s">
        <v>154</v>
      </c>
      <c r="D107" t="s">
        <v>463</v>
      </c>
      <c r="E107" t="s">
        <v>463</v>
      </c>
      <c r="F107" t="s">
        <v>27</v>
      </c>
      <c r="G107" s="2">
        <v>46119</v>
      </c>
      <c r="H107" s="2">
        <v>46182</v>
      </c>
      <c r="I107" t="s">
        <v>149</v>
      </c>
      <c r="J107" t="s">
        <v>150</v>
      </c>
      <c r="K107" t="s">
        <v>7</v>
      </c>
      <c r="L107" t="s">
        <v>30</v>
      </c>
      <c r="M107" s="3">
        <v>68000.289999999994</v>
      </c>
      <c r="N107" s="3" t="s">
        <v>1152</v>
      </c>
      <c r="O107" t="s">
        <v>464</v>
      </c>
      <c r="P107" t="s">
        <v>465</v>
      </c>
      <c r="Q107" t="s">
        <v>396</v>
      </c>
      <c r="R107" t="s">
        <v>9</v>
      </c>
      <c r="S107" t="s">
        <v>10</v>
      </c>
      <c r="T107" t="s">
        <v>395</v>
      </c>
      <c r="U107" t="s">
        <v>395</v>
      </c>
      <c r="V107" t="s">
        <v>395</v>
      </c>
      <c r="W107" t="s">
        <v>13</v>
      </c>
      <c r="X107" t="s">
        <v>32</v>
      </c>
      <c r="Y107" t="s">
        <v>0</v>
      </c>
      <c r="Z107" t="s">
        <v>0</v>
      </c>
      <c r="AA107" t="s">
        <v>0</v>
      </c>
    </row>
    <row r="108" spans="1:27" ht="14" customHeight="1" x14ac:dyDescent="0.25">
      <c r="A108" s="2">
        <v>46189</v>
      </c>
      <c r="B108" t="s">
        <v>466</v>
      </c>
      <c r="C108" t="s">
        <v>154</v>
      </c>
      <c r="D108" t="s">
        <v>467</v>
      </c>
      <c r="E108" t="s">
        <v>467</v>
      </c>
      <c r="F108" t="s">
        <v>27</v>
      </c>
      <c r="G108" s="2">
        <v>46129</v>
      </c>
      <c r="H108" s="2">
        <v>46182</v>
      </c>
      <c r="I108" t="s">
        <v>149</v>
      </c>
      <c r="J108" t="s">
        <v>150</v>
      </c>
      <c r="K108" t="s">
        <v>7</v>
      </c>
      <c r="L108" t="s">
        <v>30</v>
      </c>
      <c r="M108" s="3">
        <v>76600</v>
      </c>
      <c r="N108" s="3" t="s">
        <v>1152</v>
      </c>
      <c r="O108" t="s">
        <v>468</v>
      </c>
      <c r="P108" t="s">
        <v>469</v>
      </c>
      <c r="Q108" t="s">
        <v>396</v>
      </c>
      <c r="R108" t="s">
        <v>9</v>
      </c>
      <c r="S108" t="s">
        <v>10</v>
      </c>
      <c r="T108" t="s">
        <v>395</v>
      </c>
      <c r="U108" t="s">
        <v>395</v>
      </c>
      <c r="V108" t="s">
        <v>395</v>
      </c>
      <c r="W108" t="s">
        <v>13</v>
      </c>
      <c r="X108" t="s">
        <v>32</v>
      </c>
      <c r="Y108" t="s">
        <v>0</v>
      </c>
      <c r="Z108" t="s">
        <v>0</v>
      </c>
      <c r="AA108" t="s">
        <v>0</v>
      </c>
    </row>
    <row r="109" spans="1:27" ht="14" customHeight="1" x14ac:dyDescent="0.25">
      <c r="A109" s="2">
        <v>46189</v>
      </c>
      <c r="B109" t="s">
        <v>470</v>
      </c>
      <c r="C109" t="s">
        <v>163</v>
      </c>
      <c r="D109" t="s">
        <v>471</v>
      </c>
      <c r="E109" t="s">
        <v>471</v>
      </c>
      <c r="F109" t="s">
        <v>27</v>
      </c>
      <c r="G109" s="2">
        <v>46149</v>
      </c>
      <c r="H109" s="2">
        <v>46189</v>
      </c>
      <c r="I109" t="s">
        <v>149</v>
      </c>
      <c r="J109" t="s">
        <v>150</v>
      </c>
      <c r="K109" t="s">
        <v>7</v>
      </c>
      <c r="L109" t="s">
        <v>30</v>
      </c>
      <c r="M109" s="3">
        <v>110000</v>
      </c>
      <c r="N109" s="3" t="s">
        <v>1152</v>
      </c>
      <c r="O109" t="s">
        <v>472</v>
      </c>
      <c r="P109" t="s">
        <v>473</v>
      </c>
      <c r="Q109" t="s">
        <v>396</v>
      </c>
      <c r="R109" t="s">
        <v>9</v>
      </c>
      <c r="S109" t="s">
        <v>10</v>
      </c>
      <c r="T109" t="s">
        <v>395</v>
      </c>
      <c r="U109" t="s">
        <v>395</v>
      </c>
      <c r="V109" t="s">
        <v>395</v>
      </c>
      <c r="W109" t="s">
        <v>13</v>
      </c>
      <c r="X109" t="s">
        <v>32</v>
      </c>
      <c r="Y109" t="s">
        <v>0</v>
      </c>
      <c r="Z109" t="s">
        <v>0</v>
      </c>
      <c r="AA109" t="s">
        <v>0</v>
      </c>
    </row>
    <row r="110" spans="1:27" ht="14" customHeight="1" x14ac:dyDescent="0.25">
      <c r="A110" s="2">
        <v>46150</v>
      </c>
      <c r="B110" t="s">
        <v>431</v>
      </c>
      <c r="C110" t="s">
        <v>474</v>
      </c>
      <c r="D110" t="s">
        <v>475</v>
      </c>
      <c r="E110" t="s">
        <v>475</v>
      </c>
      <c r="F110" t="s">
        <v>180</v>
      </c>
      <c r="G110" s="2">
        <v>46099</v>
      </c>
      <c r="H110" s="2">
        <v>46107</v>
      </c>
      <c r="I110" t="s">
        <v>70</v>
      </c>
      <c r="J110" t="s">
        <v>71</v>
      </c>
      <c r="K110" t="s">
        <v>7</v>
      </c>
      <c r="L110" t="s">
        <v>8</v>
      </c>
      <c r="M110" s="3">
        <v>-16848</v>
      </c>
      <c r="N110" s="3" t="s">
        <v>1153</v>
      </c>
      <c r="O110" t="s">
        <v>476</v>
      </c>
      <c r="P110" t="s">
        <v>477</v>
      </c>
      <c r="Q110" t="s">
        <v>396</v>
      </c>
      <c r="R110" t="s">
        <v>9</v>
      </c>
      <c r="S110" t="s">
        <v>10</v>
      </c>
      <c r="T110" t="s">
        <v>432</v>
      </c>
      <c r="U110" t="s">
        <v>0</v>
      </c>
      <c r="V110" t="s">
        <v>432</v>
      </c>
      <c r="W110" t="s">
        <v>13</v>
      </c>
      <c r="X110" t="s">
        <v>32</v>
      </c>
      <c r="Y110" t="s">
        <v>478</v>
      </c>
      <c r="Z110" t="s">
        <v>0</v>
      </c>
      <c r="AA110" t="s">
        <v>0</v>
      </c>
    </row>
    <row r="111" spans="1:27" ht="14" customHeight="1" x14ac:dyDescent="0.25">
      <c r="A111" s="2">
        <v>46149</v>
      </c>
      <c r="B111" t="s">
        <v>427</v>
      </c>
      <c r="C111" t="s">
        <v>479</v>
      </c>
      <c r="D111" t="s">
        <v>480</v>
      </c>
      <c r="E111" t="s">
        <v>480</v>
      </c>
      <c r="F111" t="s">
        <v>180</v>
      </c>
      <c r="G111" s="2">
        <v>46099</v>
      </c>
      <c r="H111" s="2">
        <v>46107</v>
      </c>
      <c r="I111" t="s">
        <v>70</v>
      </c>
      <c r="J111" t="s">
        <v>71</v>
      </c>
      <c r="K111" t="s">
        <v>7</v>
      </c>
      <c r="L111" t="s">
        <v>8</v>
      </c>
      <c r="M111" s="3">
        <v>-77644.83</v>
      </c>
      <c r="N111" s="3" t="s">
        <v>1153</v>
      </c>
      <c r="O111" t="s">
        <v>481</v>
      </c>
      <c r="P111" t="s">
        <v>482</v>
      </c>
      <c r="Q111" t="s">
        <v>396</v>
      </c>
      <c r="R111" t="s">
        <v>9</v>
      </c>
      <c r="S111" t="s">
        <v>10</v>
      </c>
      <c r="T111" t="s">
        <v>395</v>
      </c>
      <c r="U111" t="s">
        <v>0</v>
      </c>
      <c r="V111" t="s">
        <v>395</v>
      </c>
      <c r="W111" t="s">
        <v>13</v>
      </c>
      <c r="X111" t="s">
        <v>32</v>
      </c>
      <c r="Y111" t="s">
        <v>483</v>
      </c>
      <c r="Z111" t="s">
        <v>0</v>
      </c>
      <c r="AA111" t="s">
        <v>0</v>
      </c>
    </row>
    <row r="112" spans="1:27" ht="14" customHeight="1" x14ac:dyDescent="0.25">
      <c r="A112" s="2">
        <v>46154</v>
      </c>
      <c r="B112" t="s">
        <v>484</v>
      </c>
      <c r="C112" t="s">
        <v>485</v>
      </c>
      <c r="D112" t="s">
        <v>486</v>
      </c>
      <c r="E112" t="s">
        <v>486</v>
      </c>
      <c r="F112" t="s">
        <v>180</v>
      </c>
      <c r="G112" s="2">
        <v>46053</v>
      </c>
      <c r="H112" s="2">
        <v>46053</v>
      </c>
      <c r="I112" t="s">
        <v>28</v>
      </c>
      <c r="J112" t="s">
        <v>29</v>
      </c>
      <c r="K112" t="s">
        <v>7</v>
      </c>
      <c r="L112" t="s">
        <v>8</v>
      </c>
      <c r="M112" s="3">
        <v>-280000</v>
      </c>
      <c r="N112" s="3" t="s">
        <v>1153</v>
      </c>
      <c r="O112" t="s">
        <v>487</v>
      </c>
      <c r="P112" t="s">
        <v>482</v>
      </c>
      <c r="Q112" t="s">
        <v>396</v>
      </c>
      <c r="R112" t="s">
        <v>9</v>
      </c>
      <c r="S112" t="s">
        <v>10</v>
      </c>
      <c r="T112" t="s">
        <v>11</v>
      </c>
      <c r="U112" t="s">
        <v>0</v>
      </c>
      <c r="V112" t="s">
        <v>11</v>
      </c>
      <c r="W112" t="s">
        <v>13</v>
      </c>
      <c r="X112" t="s">
        <v>32</v>
      </c>
      <c r="Y112" t="s">
        <v>488</v>
      </c>
      <c r="Z112" t="s">
        <v>0</v>
      </c>
      <c r="AA112" t="s">
        <v>0</v>
      </c>
    </row>
    <row r="113" spans="1:27" ht="14" customHeight="1" x14ac:dyDescent="0.25">
      <c r="A113" s="2">
        <v>46154</v>
      </c>
      <c r="B113" t="s">
        <v>484</v>
      </c>
      <c r="C113" t="s">
        <v>485</v>
      </c>
      <c r="D113" t="s">
        <v>489</v>
      </c>
      <c r="E113" t="s">
        <v>489</v>
      </c>
      <c r="F113" t="s">
        <v>180</v>
      </c>
      <c r="G113" s="2">
        <v>46081</v>
      </c>
      <c r="H113" s="2">
        <v>46081</v>
      </c>
      <c r="I113" t="s">
        <v>190</v>
      </c>
      <c r="J113" t="s">
        <v>191</v>
      </c>
      <c r="K113" t="s">
        <v>7</v>
      </c>
      <c r="L113" t="s">
        <v>8</v>
      </c>
      <c r="M113" s="3">
        <v>-108000</v>
      </c>
      <c r="N113" s="3" t="s">
        <v>1153</v>
      </c>
      <c r="O113" t="s">
        <v>490</v>
      </c>
      <c r="P113" t="s">
        <v>482</v>
      </c>
      <c r="Q113" t="s">
        <v>396</v>
      </c>
      <c r="R113" t="s">
        <v>9</v>
      </c>
      <c r="S113" t="s">
        <v>10</v>
      </c>
      <c r="T113" t="s">
        <v>11</v>
      </c>
      <c r="U113" t="s">
        <v>0</v>
      </c>
      <c r="V113" t="s">
        <v>11</v>
      </c>
      <c r="W113" t="s">
        <v>13</v>
      </c>
      <c r="X113" t="s">
        <v>32</v>
      </c>
      <c r="Y113" t="s">
        <v>491</v>
      </c>
      <c r="Z113" t="s">
        <v>0</v>
      </c>
      <c r="AA113" t="s">
        <v>0</v>
      </c>
    </row>
    <row r="114" spans="1:27" ht="14" customHeight="1" x14ac:dyDescent="0.25">
      <c r="A114" s="2">
        <v>46154</v>
      </c>
      <c r="B114" t="s">
        <v>484</v>
      </c>
      <c r="C114" t="s">
        <v>485</v>
      </c>
      <c r="D114" t="s">
        <v>492</v>
      </c>
      <c r="E114" t="s">
        <v>492</v>
      </c>
      <c r="F114" t="s">
        <v>180</v>
      </c>
      <c r="G114" s="2">
        <v>46112</v>
      </c>
      <c r="H114" s="2">
        <v>46112</v>
      </c>
      <c r="I114" t="s">
        <v>70</v>
      </c>
      <c r="J114" t="s">
        <v>71</v>
      </c>
      <c r="K114" t="s">
        <v>7</v>
      </c>
      <c r="L114" t="s">
        <v>8</v>
      </c>
      <c r="M114" s="3">
        <v>-80000</v>
      </c>
      <c r="N114" s="3" t="s">
        <v>1153</v>
      </c>
      <c r="O114" t="s">
        <v>493</v>
      </c>
      <c r="P114" t="s">
        <v>482</v>
      </c>
      <c r="Q114" t="s">
        <v>396</v>
      </c>
      <c r="R114" t="s">
        <v>9</v>
      </c>
      <c r="S114" t="s">
        <v>10</v>
      </c>
      <c r="T114" t="s">
        <v>11</v>
      </c>
      <c r="U114" t="s">
        <v>0</v>
      </c>
      <c r="V114" t="s">
        <v>11</v>
      </c>
      <c r="W114" t="s">
        <v>13</v>
      </c>
      <c r="X114" t="s">
        <v>32</v>
      </c>
      <c r="Y114" t="s">
        <v>494</v>
      </c>
      <c r="Z114" t="s">
        <v>0</v>
      </c>
      <c r="AA114" t="s">
        <v>0</v>
      </c>
    </row>
    <row r="115" spans="1:27" ht="14" customHeight="1" x14ac:dyDescent="0.25">
      <c r="A115" s="2">
        <v>46154</v>
      </c>
      <c r="B115" t="s">
        <v>495</v>
      </c>
      <c r="C115" t="s">
        <v>496</v>
      </c>
      <c r="D115" t="s">
        <v>497</v>
      </c>
      <c r="E115" t="s">
        <v>497</v>
      </c>
      <c r="F115" t="s">
        <v>180</v>
      </c>
      <c r="G115" s="2">
        <v>46112</v>
      </c>
      <c r="H115" s="2">
        <v>46112</v>
      </c>
      <c r="I115" t="s">
        <v>70</v>
      </c>
      <c r="J115" t="s">
        <v>71</v>
      </c>
      <c r="K115" t="s">
        <v>7</v>
      </c>
      <c r="L115" t="s">
        <v>8</v>
      </c>
      <c r="M115" s="3">
        <v>-128245.7</v>
      </c>
      <c r="N115" s="3" t="s">
        <v>1153</v>
      </c>
      <c r="O115" t="s">
        <v>498</v>
      </c>
      <c r="P115" t="s">
        <v>499</v>
      </c>
      <c r="Q115" t="s">
        <v>396</v>
      </c>
      <c r="R115" t="s">
        <v>9</v>
      </c>
      <c r="S115" t="s">
        <v>10</v>
      </c>
      <c r="T115" t="s">
        <v>35</v>
      </c>
      <c r="U115" t="s">
        <v>0</v>
      </c>
      <c r="V115" t="s">
        <v>35</v>
      </c>
      <c r="W115" t="s">
        <v>13</v>
      </c>
      <c r="X115" t="s">
        <v>32</v>
      </c>
      <c r="Y115" t="s">
        <v>500</v>
      </c>
      <c r="Z115" t="s">
        <v>0</v>
      </c>
      <c r="AA115" t="s">
        <v>0</v>
      </c>
    </row>
    <row r="116" spans="1:27" ht="14" customHeight="1" x14ac:dyDescent="0.25">
      <c r="A116" s="2">
        <v>46154</v>
      </c>
      <c r="B116" t="s">
        <v>501</v>
      </c>
      <c r="C116" t="s">
        <v>502</v>
      </c>
      <c r="D116" t="s">
        <v>503</v>
      </c>
      <c r="E116" t="s">
        <v>503</v>
      </c>
      <c r="F116" t="s">
        <v>180</v>
      </c>
      <c r="G116" s="2">
        <v>46112</v>
      </c>
      <c r="H116" s="2">
        <v>46112</v>
      </c>
      <c r="I116" t="s">
        <v>70</v>
      </c>
      <c r="J116" t="s">
        <v>71</v>
      </c>
      <c r="K116" t="s">
        <v>7</v>
      </c>
      <c r="L116" t="s">
        <v>8</v>
      </c>
      <c r="M116" s="3">
        <v>-19577.599999999999</v>
      </c>
      <c r="N116" s="3" t="s">
        <v>1153</v>
      </c>
      <c r="O116" t="s">
        <v>504</v>
      </c>
      <c r="P116" t="s">
        <v>499</v>
      </c>
      <c r="Q116" t="s">
        <v>396</v>
      </c>
      <c r="R116" t="s">
        <v>9</v>
      </c>
      <c r="S116" t="s">
        <v>10</v>
      </c>
      <c r="T116" t="s">
        <v>11</v>
      </c>
      <c r="U116" t="s">
        <v>0</v>
      </c>
      <c r="V116" t="s">
        <v>11</v>
      </c>
      <c r="W116" t="s">
        <v>13</v>
      </c>
      <c r="X116" t="s">
        <v>32</v>
      </c>
      <c r="Y116" t="s">
        <v>505</v>
      </c>
      <c r="Z116" t="s">
        <v>0</v>
      </c>
      <c r="AA116" t="s">
        <v>0</v>
      </c>
    </row>
    <row r="117" spans="1:27" ht="14" customHeight="1" x14ac:dyDescent="0.25">
      <c r="A117" s="2">
        <v>46154</v>
      </c>
      <c r="B117" t="s">
        <v>501</v>
      </c>
      <c r="C117" t="s">
        <v>502</v>
      </c>
      <c r="D117" t="s">
        <v>506</v>
      </c>
      <c r="E117" t="s">
        <v>506</v>
      </c>
      <c r="F117" t="s">
        <v>180</v>
      </c>
      <c r="G117" s="2">
        <v>46112</v>
      </c>
      <c r="H117" s="2">
        <v>46112</v>
      </c>
      <c r="I117" t="s">
        <v>70</v>
      </c>
      <c r="J117" t="s">
        <v>71</v>
      </c>
      <c r="K117" t="s">
        <v>7</v>
      </c>
      <c r="L117" t="s">
        <v>8</v>
      </c>
      <c r="M117" s="3">
        <v>-19577.599999999999</v>
      </c>
      <c r="N117" s="3" t="s">
        <v>1153</v>
      </c>
      <c r="O117" t="s">
        <v>507</v>
      </c>
      <c r="P117" t="s">
        <v>499</v>
      </c>
      <c r="Q117" t="s">
        <v>396</v>
      </c>
      <c r="R117" t="s">
        <v>9</v>
      </c>
      <c r="S117" t="s">
        <v>10</v>
      </c>
      <c r="T117" t="s">
        <v>11</v>
      </c>
      <c r="U117" t="s">
        <v>0</v>
      </c>
      <c r="V117" t="s">
        <v>11</v>
      </c>
      <c r="W117" t="s">
        <v>13</v>
      </c>
      <c r="X117" t="s">
        <v>32</v>
      </c>
      <c r="Y117" t="s">
        <v>508</v>
      </c>
      <c r="Z117" t="s">
        <v>0</v>
      </c>
      <c r="AA117" t="s">
        <v>0</v>
      </c>
    </row>
    <row r="118" spans="1:27" ht="14" customHeight="1" x14ac:dyDescent="0.25">
      <c r="A118" s="2">
        <v>46160</v>
      </c>
      <c r="B118" t="s">
        <v>446</v>
      </c>
      <c r="C118" t="s">
        <v>509</v>
      </c>
      <c r="D118" t="s">
        <v>510</v>
      </c>
      <c r="E118" t="s">
        <v>510</v>
      </c>
      <c r="F118" t="s">
        <v>180</v>
      </c>
      <c r="G118" s="2">
        <v>46154</v>
      </c>
      <c r="H118" s="2">
        <v>46155</v>
      </c>
      <c r="I118" t="s">
        <v>5</v>
      </c>
      <c r="J118" t="s">
        <v>6</v>
      </c>
      <c r="K118" t="s">
        <v>7</v>
      </c>
      <c r="L118" t="s">
        <v>8</v>
      </c>
      <c r="M118" s="3">
        <v>-56171.23</v>
      </c>
      <c r="N118" s="3" t="s">
        <v>1153</v>
      </c>
      <c r="O118" t="s">
        <v>511</v>
      </c>
      <c r="P118" t="s">
        <v>512</v>
      </c>
      <c r="Q118" t="s">
        <v>396</v>
      </c>
      <c r="R118" t="s">
        <v>9</v>
      </c>
      <c r="S118" t="s">
        <v>10</v>
      </c>
      <c r="T118" t="s">
        <v>432</v>
      </c>
      <c r="U118" t="s">
        <v>0</v>
      </c>
      <c r="V118" t="s">
        <v>432</v>
      </c>
      <c r="W118" t="s">
        <v>13</v>
      </c>
      <c r="X118" t="s">
        <v>32</v>
      </c>
      <c r="Y118" t="s">
        <v>513</v>
      </c>
      <c r="Z118" t="s">
        <v>0</v>
      </c>
      <c r="AA118" t="s">
        <v>0</v>
      </c>
    </row>
    <row r="119" spans="1:27" ht="14" customHeight="1" x14ac:dyDescent="0.25">
      <c r="A119" s="2">
        <v>46226</v>
      </c>
      <c r="B119" t="s">
        <v>484</v>
      </c>
      <c r="C119" t="s">
        <v>485</v>
      </c>
      <c r="D119" t="s">
        <v>514</v>
      </c>
      <c r="E119" t="s">
        <v>514</v>
      </c>
      <c r="F119" t="s">
        <v>180</v>
      </c>
      <c r="G119" s="2">
        <v>46142</v>
      </c>
      <c r="H119" s="2">
        <v>46142</v>
      </c>
      <c r="I119" t="s">
        <v>100</v>
      </c>
      <c r="J119" t="s">
        <v>101</v>
      </c>
      <c r="K119" t="s">
        <v>7</v>
      </c>
      <c r="L119" t="s">
        <v>8</v>
      </c>
      <c r="M119" s="3">
        <v>-212000</v>
      </c>
      <c r="N119" s="3" t="s">
        <v>1153</v>
      </c>
      <c r="O119" t="s">
        <v>515</v>
      </c>
      <c r="P119" t="s">
        <v>482</v>
      </c>
      <c r="Q119" t="s">
        <v>396</v>
      </c>
      <c r="R119" t="s">
        <v>9</v>
      </c>
      <c r="S119" t="s">
        <v>10</v>
      </c>
      <c r="T119" t="s">
        <v>11</v>
      </c>
      <c r="U119" t="s">
        <v>0</v>
      </c>
      <c r="V119" t="s">
        <v>11</v>
      </c>
      <c r="W119" t="s">
        <v>13</v>
      </c>
      <c r="X119" t="s">
        <v>32</v>
      </c>
      <c r="Y119" t="s">
        <v>516</v>
      </c>
      <c r="Z119" t="s">
        <v>0</v>
      </c>
      <c r="AA119" t="s">
        <v>0</v>
      </c>
    </row>
    <row r="120" spans="1:27" ht="14" customHeight="1" x14ac:dyDescent="0.25">
      <c r="A120" s="2">
        <v>46226</v>
      </c>
      <c r="B120" t="s">
        <v>495</v>
      </c>
      <c r="C120" t="s">
        <v>496</v>
      </c>
      <c r="D120" t="s">
        <v>517</v>
      </c>
      <c r="E120" t="s">
        <v>517</v>
      </c>
      <c r="F120" t="s">
        <v>180</v>
      </c>
      <c r="G120" s="2">
        <v>46142</v>
      </c>
      <c r="H120" s="2">
        <v>46142</v>
      </c>
      <c r="I120" t="s">
        <v>100</v>
      </c>
      <c r="J120" t="s">
        <v>101</v>
      </c>
      <c r="K120" t="s">
        <v>7</v>
      </c>
      <c r="L120" t="s">
        <v>8</v>
      </c>
      <c r="M120" s="3">
        <v>-71466.14</v>
      </c>
      <c r="N120" s="3" t="s">
        <v>1153</v>
      </c>
      <c r="O120" t="s">
        <v>518</v>
      </c>
      <c r="P120" t="s">
        <v>519</v>
      </c>
      <c r="Q120" t="s">
        <v>396</v>
      </c>
      <c r="R120" t="s">
        <v>9</v>
      </c>
      <c r="S120" t="s">
        <v>10</v>
      </c>
      <c r="T120" t="s">
        <v>35</v>
      </c>
      <c r="U120" t="s">
        <v>0</v>
      </c>
      <c r="V120" t="s">
        <v>35</v>
      </c>
      <c r="W120" t="s">
        <v>13</v>
      </c>
      <c r="X120" t="s">
        <v>32</v>
      </c>
      <c r="Y120" t="s">
        <v>520</v>
      </c>
      <c r="Z120" t="s">
        <v>0</v>
      </c>
      <c r="AA120" t="s">
        <v>0</v>
      </c>
    </row>
    <row r="121" spans="1:27" ht="14" customHeight="1" x14ac:dyDescent="0.25">
      <c r="A121" s="2">
        <v>46226</v>
      </c>
      <c r="B121" t="s">
        <v>501</v>
      </c>
      <c r="C121" t="s">
        <v>502</v>
      </c>
      <c r="D121" t="s">
        <v>521</v>
      </c>
      <c r="E121" t="s">
        <v>521</v>
      </c>
      <c r="F121" t="s">
        <v>180</v>
      </c>
      <c r="G121" s="2">
        <v>46142</v>
      </c>
      <c r="H121" s="2">
        <v>46142</v>
      </c>
      <c r="I121" t="s">
        <v>100</v>
      </c>
      <c r="J121" t="s">
        <v>101</v>
      </c>
      <c r="K121" t="s">
        <v>7</v>
      </c>
      <c r="L121" t="s">
        <v>8</v>
      </c>
      <c r="M121" s="3">
        <v>-1978.36</v>
      </c>
      <c r="N121" s="3" t="s">
        <v>1153</v>
      </c>
      <c r="O121" t="s">
        <v>522</v>
      </c>
      <c r="P121" t="s">
        <v>519</v>
      </c>
      <c r="Q121" t="s">
        <v>396</v>
      </c>
      <c r="R121" t="s">
        <v>9</v>
      </c>
      <c r="S121" t="s">
        <v>10</v>
      </c>
      <c r="T121" t="s">
        <v>11</v>
      </c>
      <c r="U121" t="s">
        <v>0</v>
      </c>
      <c r="V121" t="s">
        <v>11</v>
      </c>
      <c r="W121" t="s">
        <v>13</v>
      </c>
      <c r="X121" t="s">
        <v>32</v>
      </c>
      <c r="Y121" t="s">
        <v>523</v>
      </c>
      <c r="Z121" t="s">
        <v>0</v>
      </c>
      <c r="AA121" t="s">
        <v>0</v>
      </c>
    </row>
    <row r="122" spans="1:27" ht="14" customHeight="1" x14ac:dyDescent="0.25">
      <c r="A122" s="2">
        <v>46226</v>
      </c>
      <c r="B122" t="s">
        <v>484</v>
      </c>
      <c r="C122" t="s">
        <v>485</v>
      </c>
      <c r="D122" t="s">
        <v>524</v>
      </c>
      <c r="E122" t="s">
        <v>524</v>
      </c>
      <c r="F122" t="s">
        <v>180</v>
      </c>
      <c r="G122" s="2">
        <v>46173</v>
      </c>
      <c r="H122" s="2">
        <v>46173</v>
      </c>
      <c r="I122" t="s">
        <v>5</v>
      </c>
      <c r="J122" t="s">
        <v>6</v>
      </c>
      <c r="K122" t="s">
        <v>7</v>
      </c>
      <c r="L122" t="s">
        <v>8</v>
      </c>
      <c r="M122" s="3">
        <v>-158000</v>
      </c>
      <c r="N122" s="3" t="s">
        <v>1153</v>
      </c>
      <c r="O122" t="s">
        <v>525</v>
      </c>
      <c r="P122" t="s">
        <v>519</v>
      </c>
      <c r="Q122" t="s">
        <v>396</v>
      </c>
      <c r="R122" t="s">
        <v>9</v>
      </c>
      <c r="S122" t="s">
        <v>10</v>
      </c>
      <c r="T122" t="s">
        <v>11</v>
      </c>
      <c r="U122" t="s">
        <v>0</v>
      </c>
      <c r="V122" t="s">
        <v>11</v>
      </c>
      <c r="W122" t="s">
        <v>13</v>
      </c>
      <c r="X122" t="s">
        <v>32</v>
      </c>
      <c r="Y122" t="s">
        <v>526</v>
      </c>
      <c r="Z122" t="s">
        <v>0</v>
      </c>
      <c r="AA122" t="s">
        <v>0</v>
      </c>
    </row>
    <row r="123" spans="1:27" ht="14" customHeight="1" x14ac:dyDescent="0.25">
      <c r="A123" s="2">
        <v>46226</v>
      </c>
      <c r="B123" t="s">
        <v>495</v>
      </c>
      <c r="C123" t="s">
        <v>496</v>
      </c>
      <c r="D123" t="s">
        <v>527</v>
      </c>
      <c r="E123" t="s">
        <v>527</v>
      </c>
      <c r="F123" t="s">
        <v>180</v>
      </c>
      <c r="G123" s="2">
        <v>46173</v>
      </c>
      <c r="H123" s="2">
        <v>46173</v>
      </c>
      <c r="I123" t="s">
        <v>5</v>
      </c>
      <c r="J123" t="s">
        <v>6</v>
      </c>
      <c r="K123" t="s">
        <v>7</v>
      </c>
      <c r="L123" t="s">
        <v>8</v>
      </c>
      <c r="M123" s="3">
        <v>-32001.439999999999</v>
      </c>
      <c r="N123" s="3" t="s">
        <v>1153</v>
      </c>
      <c r="O123" t="s">
        <v>528</v>
      </c>
      <c r="P123" t="s">
        <v>519</v>
      </c>
      <c r="Q123" t="s">
        <v>396</v>
      </c>
      <c r="R123" t="s">
        <v>9</v>
      </c>
      <c r="S123" t="s">
        <v>10</v>
      </c>
      <c r="T123" t="s">
        <v>35</v>
      </c>
      <c r="U123" t="s">
        <v>0</v>
      </c>
      <c r="V123" t="s">
        <v>35</v>
      </c>
      <c r="W123" t="s">
        <v>13</v>
      </c>
      <c r="X123" t="s">
        <v>32</v>
      </c>
      <c r="Y123" t="s">
        <v>529</v>
      </c>
      <c r="Z123" t="s">
        <v>0</v>
      </c>
      <c r="AA123" t="s">
        <v>0</v>
      </c>
    </row>
    <row r="124" spans="1:27" ht="14" customHeight="1" x14ac:dyDescent="0.25">
      <c r="A124" s="2">
        <v>46226</v>
      </c>
      <c r="B124" t="s">
        <v>501</v>
      </c>
      <c r="C124" t="s">
        <v>502</v>
      </c>
      <c r="D124" t="s">
        <v>530</v>
      </c>
      <c r="E124" t="s">
        <v>530</v>
      </c>
      <c r="F124" t="s">
        <v>180</v>
      </c>
      <c r="G124" s="2">
        <v>46173</v>
      </c>
      <c r="H124" s="2">
        <v>46173</v>
      </c>
      <c r="I124" t="s">
        <v>5</v>
      </c>
      <c r="J124" t="s">
        <v>6</v>
      </c>
      <c r="K124" t="s">
        <v>7</v>
      </c>
      <c r="L124" t="s">
        <v>8</v>
      </c>
      <c r="M124" s="3">
        <v>-47950.66</v>
      </c>
      <c r="N124" s="3" t="s">
        <v>1153</v>
      </c>
      <c r="O124" t="s">
        <v>531</v>
      </c>
      <c r="P124" t="s">
        <v>519</v>
      </c>
      <c r="Q124" t="s">
        <v>396</v>
      </c>
      <c r="R124" t="s">
        <v>9</v>
      </c>
      <c r="S124" t="s">
        <v>10</v>
      </c>
      <c r="T124" t="s">
        <v>11</v>
      </c>
      <c r="U124" t="s">
        <v>0</v>
      </c>
      <c r="V124" t="s">
        <v>11</v>
      </c>
      <c r="W124" t="s">
        <v>13</v>
      </c>
      <c r="X124" t="s">
        <v>32</v>
      </c>
      <c r="Y124" t="s">
        <v>532</v>
      </c>
      <c r="Z124" t="s">
        <v>0</v>
      </c>
      <c r="AA124" t="s">
        <v>0</v>
      </c>
    </row>
    <row r="125" spans="1:27" ht="14" customHeight="1" x14ac:dyDescent="0.25">
      <c r="A125" s="2">
        <v>46226</v>
      </c>
      <c r="B125" t="s">
        <v>533</v>
      </c>
      <c r="C125" t="s">
        <v>534</v>
      </c>
      <c r="D125" t="s">
        <v>535</v>
      </c>
      <c r="E125" t="s">
        <v>535</v>
      </c>
      <c r="F125" t="s">
        <v>180</v>
      </c>
      <c r="G125" s="2">
        <v>46173</v>
      </c>
      <c r="H125" s="2">
        <v>46173</v>
      </c>
      <c r="I125" t="s">
        <v>5</v>
      </c>
      <c r="J125" t="s">
        <v>6</v>
      </c>
      <c r="K125" t="s">
        <v>7</v>
      </c>
      <c r="L125" t="s">
        <v>8</v>
      </c>
      <c r="M125" s="3">
        <v>-145785.35999999999</v>
      </c>
      <c r="N125" s="3" t="s">
        <v>1153</v>
      </c>
      <c r="O125" t="s">
        <v>536</v>
      </c>
      <c r="P125" t="s">
        <v>519</v>
      </c>
      <c r="Q125" t="s">
        <v>396</v>
      </c>
      <c r="R125" t="s">
        <v>9</v>
      </c>
      <c r="S125" t="s">
        <v>10</v>
      </c>
      <c r="T125" t="s">
        <v>423</v>
      </c>
      <c r="U125" t="s">
        <v>0</v>
      </c>
      <c r="V125" t="s">
        <v>423</v>
      </c>
      <c r="W125" t="s">
        <v>13</v>
      </c>
      <c r="X125" t="s">
        <v>32</v>
      </c>
      <c r="Y125" t="s">
        <v>537</v>
      </c>
      <c r="Z125" t="s">
        <v>0</v>
      </c>
      <c r="AA125" t="s">
        <v>0</v>
      </c>
    </row>
    <row r="126" spans="1:27" ht="14" customHeight="1" x14ac:dyDescent="0.25">
      <c r="A126" s="2">
        <v>46226</v>
      </c>
      <c r="B126" t="s">
        <v>538</v>
      </c>
      <c r="C126" t="s">
        <v>539</v>
      </c>
      <c r="D126" t="s">
        <v>540</v>
      </c>
      <c r="E126" t="s">
        <v>540</v>
      </c>
      <c r="F126" t="s">
        <v>180</v>
      </c>
      <c r="G126" s="2">
        <v>46173</v>
      </c>
      <c r="H126" s="2">
        <v>46173</v>
      </c>
      <c r="I126" t="s">
        <v>5</v>
      </c>
      <c r="J126" t="s">
        <v>6</v>
      </c>
      <c r="K126" t="s">
        <v>7</v>
      </c>
      <c r="L126" t="s">
        <v>8</v>
      </c>
      <c r="M126" s="3">
        <v>-29611.61</v>
      </c>
      <c r="N126" s="3" t="s">
        <v>1153</v>
      </c>
      <c r="O126" t="s">
        <v>541</v>
      </c>
      <c r="P126" t="s">
        <v>519</v>
      </c>
      <c r="Q126" t="s">
        <v>396</v>
      </c>
      <c r="R126" t="s">
        <v>9</v>
      </c>
      <c r="S126" t="s">
        <v>10</v>
      </c>
      <c r="T126" t="s">
        <v>43</v>
      </c>
      <c r="U126" t="s">
        <v>0</v>
      </c>
      <c r="V126" t="s">
        <v>43</v>
      </c>
      <c r="W126" t="s">
        <v>13</v>
      </c>
      <c r="X126" t="s">
        <v>32</v>
      </c>
      <c r="Y126" t="s">
        <v>542</v>
      </c>
      <c r="Z126" t="s">
        <v>0</v>
      </c>
      <c r="AA126" t="s">
        <v>0</v>
      </c>
    </row>
    <row r="127" spans="1:27" ht="14" customHeight="1" x14ac:dyDescent="0.25">
      <c r="A127" s="2">
        <v>46226</v>
      </c>
      <c r="B127" t="s">
        <v>543</v>
      </c>
      <c r="C127" t="s">
        <v>544</v>
      </c>
      <c r="D127" t="s">
        <v>545</v>
      </c>
      <c r="E127" t="s">
        <v>545</v>
      </c>
      <c r="F127" t="s">
        <v>180</v>
      </c>
      <c r="G127" s="2">
        <v>46173</v>
      </c>
      <c r="H127" s="2">
        <v>46173</v>
      </c>
      <c r="I127" t="s">
        <v>5</v>
      </c>
      <c r="J127" t="s">
        <v>6</v>
      </c>
      <c r="K127" t="s">
        <v>7</v>
      </c>
      <c r="L127" t="s">
        <v>8</v>
      </c>
      <c r="M127" s="3">
        <v>-10665</v>
      </c>
      <c r="N127" s="3" t="s">
        <v>1153</v>
      </c>
      <c r="O127" t="s">
        <v>546</v>
      </c>
      <c r="P127" t="s">
        <v>519</v>
      </c>
      <c r="Q127" t="s">
        <v>396</v>
      </c>
      <c r="R127" t="s">
        <v>9</v>
      </c>
      <c r="S127" t="s">
        <v>10</v>
      </c>
      <c r="T127" t="s">
        <v>11</v>
      </c>
      <c r="U127" t="s">
        <v>0</v>
      </c>
      <c r="V127" t="s">
        <v>11</v>
      </c>
      <c r="W127" t="s">
        <v>13</v>
      </c>
      <c r="X127" t="s">
        <v>32</v>
      </c>
      <c r="Y127" t="s">
        <v>547</v>
      </c>
      <c r="Z127" t="s">
        <v>0</v>
      </c>
      <c r="AA127" t="s">
        <v>0</v>
      </c>
    </row>
    <row r="128" spans="1:27" ht="14" customHeight="1" x14ac:dyDescent="0.25">
      <c r="A128" s="2">
        <v>46226</v>
      </c>
      <c r="B128" t="s">
        <v>484</v>
      </c>
      <c r="C128" t="s">
        <v>485</v>
      </c>
      <c r="D128" t="s">
        <v>548</v>
      </c>
      <c r="E128" t="s">
        <v>548</v>
      </c>
      <c r="F128" t="s">
        <v>180</v>
      </c>
      <c r="G128" s="2">
        <v>46203</v>
      </c>
      <c r="H128" s="2">
        <v>46203</v>
      </c>
      <c r="I128" t="s">
        <v>149</v>
      </c>
      <c r="J128" t="s">
        <v>150</v>
      </c>
      <c r="K128" t="s">
        <v>7</v>
      </c>
      <c r="L128" t="s">
        <v>8</v>
      </c>
      <c r="M128" s="3">
        <v>-246000</v>
      </c>
      <c r="N128" s="3" t="s">
        <v>1153</v>
      </c>
      <c r="O128" t="s">
        <v>549</v>
      </c>
      <c r="P128" t="s">
        <v>519</v>
      </c>
      <c r="Q128" t="s">
        <v>396</v>
      </c>
      <c r="R128" t="s">
        <v>9</v>
      </c>
      <c r="S128" t="s">
        <v>10</v>
      </c>
      <c r="T128" t="s">
        <v>11</v>
      </c>
      <c r="U128" t="s">
        <v>0</v>
      </c>
      <c r="V128" t="s">
        <v>11</v>
      </c>
      <c r="W128" t="s">
        <v>13</v>
      </c>
      <c r="X128" t="s">
        <v>32</v>
      </c>
      <c r="Y128" t="s">
        <v>550</v>
      </c>
      <c r="Z128" t="s">
        <v>0</v>
      </c>
      <c r="AA128" t="s">
        <v>0</v>
      </c>
    </row>
    <row r="129" spans="1:27" ht="14" customHeight="1" x14ac:dyDescent="0.25">
      <c r="A129" s="2">
        <v>46226</v>
      </c>
      <c r="B129" t="s">
        <v>495</v>
      </c>
      <c r="C129" t="s">
        <v>496</v>
      </c>
      <c r="D129" t="s">
        <v>551</v>
      </c>
      <c r="E129" t="s">
        <v>551</v>
      </c>
      <c r="F129" t="s">
        <v>180</v>
      </c>
      <c r="G129" s="2">
        <v>46203</v>
      </c>
      <c r="H129" s="2">
        <v>46203</v>
      </c>
      <c r="I129" t="s">
        <v>149</v>
      </c>
      <c r="J129" t="s">
        <v>150</v>
      </c>
      <c r="K129" t="s">
        <v>7</v>
      </c>
      <c r="L129" t="s">
        <v>8</v>
      </c>
      <c r="M129" s="3">
        <v>-5236.1000000000004</v>
      </c>
      <c r="N129" s="3" t="s">
        <v>1153</v>
      </c>
      <c r="O129" t="s">
        <v>552</v>
      </c>
      <c r="P129" t="s">
        <v>519</v>
      </c>
      <c r="Q129" t="s">
        <v>396</v>
      </c>
      <c r="R129" t="s">
        <v>9</v>
      </c>
      <c r="S129" t="s">
        <v>10</v>
      </c>
      <c r="T129" t="s">
        <v>35</v>
      </c>
      <c r="U129" t="s">
        <v>0</v>
      </c>
      <c r="V129" t="s">
        <v>35</v>
      </c>
      <c r="W129" t="s">
        <v>13</v>
      </c>
      <c r="X129" t="s">
        <v>32</v>
      </c>
      <c r="Y129" t="s">
        <v>553</v>
      </c>
      <c r="Z129" t="s">
        <v>0</v>
      </c>
      <c r="AA129" t="s">
        <v>0</v>
      </c>
    </row>
    <row r="130" spans="1:27" ht="14" customHeight="1" x14ac:dyDescent="0.25">
      <c r="A130" s="2">
        <v>46226</v>
      </c>
      <c r="B130" t="s">
        <v>501</v>
      </c>
      <c r="C130" t="s">
        <v>502</v>
      </c>
      <c r="D130" t="s">
        <v>554</v>
      </c>
      <c r="E130" t="s">
        <v>554</v>
      </c>
      <c r="F130" t="s">
        <v>180</v>
      </c>
      <c r="G130" s="2">
        <v>46203</v>
      </c>
      <c r="H130" s="2">
        <v>46203</v>
      </c>
      <c r="I130" t="s">
        <v>149</v>
      </c>
      <c r="J130" t="s">
        <v>150</v>
      </c>
      <c r="K130" t="s">
        <v>7</v>
      </c>
      <c r="L130" t="s">
        <v>8</v>
      </c>
      <c r="M130" s="3">
        <v>-54655.040000000001</v>
      </c>
      <c r="N130" s="3" t="s">
        <v>1153</v>
      </c>
      <c r="O130" t="s">
        <v>555</v>
      </c>
      <c r="P130" t="s">
        <v>519</v>
      </c>
      <c r="Q130" t="s">
        <v>396</v>
      </c>
      <c r="R130" t="s">
        <v>9</v>
      </c>
      <c r="S130" t="s">
        <v>10</v>
      </c>
      <c r="T130" t="s">
        <v>11</v>
      </c>
      <c r="U130" t="s">
        <v>0</v>
      </c>
      <c r="V130" t="s">
        <v>11</v>
      </c>
      <c r="W130" t="s">
        <v>13</v>
      </c>
      <c r="X130" t="s">
        <v>32</v>
      </c>
      <c r="Y130" t="s">
        <v>556</v>
      </c>
      <c r="Z130" t="s">
        <v>0</v>
      </c>
      <c r="AA130" t="s">
        <v>0</v>
      </c>
    </row>
    <row r="131" spans="1:27" ht="14" customHeight="1" x14ac:dyDescent="0.25">
      <c r="A131" s="2">
        <v>46226</v>
      </c>
      <c r="B131" t="s">
        <v>533</v>
      </c>
      <c r="C131" t="s">
        <v>534</v>
      </c>
      <c r="D131" t="s">
        <v>557</v>
      </c>
      <c r="E131" t="s">
        <v>557</v>
      </c>
      <c r="F131" t="s">
        <v>180</v>
      </c>
      <c r="G131" s="2">
        <v>46203</v>
      </c>
      <c r="H131" s="2">
        <v>46203</v>
      </c>
      <c r="I131" t="s">
        <v>149</v>
      </c>
      <c r="J131" t="s">
        <v>150</v>
      </c>
      <c r="K131" t="s">
        <v>7</v>
      </c>
      <c r="L131" t="s">
        <v>8</v>
      </c>
      <c r="M131" s="3">
        <v>-122685.36</v>
      </c>
      <c r="N131" s="3" t="s">
        <v>1153</v>
      </c>
      <c r="O131" t="s">
        <v>558</v>
      </c>
      <c r="P131" t="s">
        <v>519</v>
      </c>
      <c r="Q131" t="s">
        <v>396</v>
      </c>
      <c r="R131" t="s">
        <v>9</v>
      </c>
      <c r="S131" t="s">
        <v>10</v>
      </c>
      <c r="T131" t="s">
        <v>423</v>
      </c>
      <c r="U131" t="s">
        <v>0</v>
      </c>
      <c r="V131" t="s">
        <v>423</v>
      </c>
      <c r="W131" t="s">
        <v>13</v>
      </c>
      <c r="X131" t="s">
        <v>32</v>
      </c>
      <c r="Y131" t="s">
        <v>559</v>
      </c>
      <c r="Z131" t="s">
        <v>0</v>
      </c>
      <c r="AA131" t="s">
        <v>0</v>
      </c>
    </row>
    <row r="132" spans="1:27" ht="14" customHeight="1" x14ac:dyDescent="0.25">
      <c r="A132" s="2">
        <v>46227</v>
      </c>
      <c r="B132" t="s">
        <v>560</v>
      </c>
      <c r="C132" t="s">
        <v>393</v>
      </c>
      <c r="D132" t="s">
        <v>561</v>
      </c>
      <c r="E132" t="s">
        <v>561</v>
      </c>
      <c r="F132" t="s">
        <v>180</v>
      </c>
      <c r="G132" s="2">
        <v>46080</v>
      </c>
      <c r="H132" s="2">
        <v>46080</v>
      </c>
      <c r="I132" t="s">
        <v>190</v>
      </c>
      <c r="J132" t="s">
        <v>191</v>
      </c>
      <c r="K132" t="s">
        <v>7</v>
      </c>
      <c r="L132" t="s">
        <v>562</v>
      </c>
      <c r="M132" s="3">
        <v>5695</v>
      </c>
      <c r="N132" s="3" t="s">
        <v>1151</v>
      </c>
      <c r="O132" t="s">
        <v>563</v>
      </c>
      <c r="P132" t="s">
        <v>398</v>
      </c>
      <c r="Q132" t="s">
        <v>396</v>
      </c>
      <c r="R132" t="s">
        <v>9</v>
      </c>
      <c r="S132" t="s">
        <v>10</v>
      </c>
      <c r="T132" t="s">
        <v>395</v>
      </c>
      <c r="U132" t="s">
        <v>0</v>
      </c>
      <c r="V132" t="s">
        <v>395</v>
      </c>
      <c r="W132" t="s">
        <v>13</v>
      </c>
      <c r="X132" t="s">
        <v>32</v>
      </c>
      <c r="Y132" t="s">
        <v>564</v>
      </c>
      <c r="Z132" t="s">
        <v>0</v>
      </c>
      <c r="AA132" t="s">
        <v>0</v>
      </c>
    </row>
    <row r="133" spans="1:27" ht="14" customHeight="1" x14ac:dyDescent="0.25">
      <c r="A133" s="2">
        <v>46052</v>
      </c>
      <c r="B133" t="s">
        <v>565</v>
      </c>
      <c r="C133" t="s">
        <v>566</v>
      </c>
      <c r="D133" t="s">
        <v>567</v>
      </c>
      <c r="E133" t="s">
        <v>567</v>
      </c>
      <c r="F133" t="s">
        <v>27</v>
      </c>
      <c r="G133" s="2">
        <v>46038</v>
      </c>
      <c r="H133" s="2">
        <v>46052</v>
      </c>
      <c r="I133" t="s">
        <v>28</v>
      </c>
      <c r="J133" t="s">
        <v>29</v>
      </c>
      <c r="K133" t="s">
        <v>7</v>
      </c>
      <c r="L133" t="s">
        <v>30</v>
      </c>
      <c r="M133" s="3">
        <v>108000</v>
      </c>
      <c r="N133" s="3" t="s">
        <v>1152</v>
      </c>
      <c r="O133" t="s">
        <v>569</v>
      </c>
      <c r="P133" t="s">
        <v>570</v>
      </c>
      <c r="Q133" t="s">
        <v>568</v>
      </c>
      <c r="R133" t="s">
        <v>9</v>
      </c>
      <c r="S133" t="s">
        <v>10</v>
      </c>
      <c r="T133" t="s">
        <v>432</v>
      </c>
      <c r="U133" t="s">
        <v>432</v>
      </c>
      <c r="V133" t="s">
        <v>432</v>
      </c>
      <c r="W133" t="s">
        <v>13</v>
      </c>
      <c r="X133" t="s">
        <v>32</v>
      </c>
      <c r="Y133" t="s">
        <v>0</v>
      </c>
      <c r="Z133" t="s">
        <v>0</v>
      </c>
      <c r="AA133" t="s">
        <v>0</v>
      </c>
    </row>
    <row r="134" spans="1:27" ht="14" customHeight="1" x14ac:dyDescent="0.25">
      <c r="A134" s="2">
        <v>46073</v>
      </c>
      <c r="B134" t="s">
        <v>571</v>
      </c>
      <c r="C134" t="s">
        <v>25</v>
      </c>
      <c r="D134" t="s">
        <v>572</v>
      </c>
      <c r="E134" t="s">
        <v>572</v>
      </c>
      <c r="F134" t="s">
        <v>27</v>
      </c>
      <c r="G134" s="2">
        <v>46049</v>
      </c>
      <c r="H134" s="2">
        <v>46053</v>
      </c>
      <c r="I134" t="s">
        <v>28</v>
      </c>
      <c r="J134" t="s">
        <v>29</v>
      </c>
      <c r="K134" t="s">
        <v>7</v>
      </c>
      <c r="L134" t="s">
        <v>30</v>
      </c>
      <c r="M134" s="3">
        <v>100000</v>
      </c>
      <c r="N134" s="3" t="s">
        <v>1152</v>
      </c>
      <c r="O134" t="s">
        <v>573</v>
      </c>
      <c r="P134" t="s">
        <v>574</v>
      </c>
      <c r="Q134" t="s">
        <v>568</v>
      </c>
      <c r="R134" t="s">
        <v>9</v>
      </c>
      <c r="S134" t="s">
        <v>10</v>
      </c>
      <c r="T134" t="s">
        <v>11</v>
      </c>
      <c r="U134" t="s">
        <v>11</v>
      </c>
      <c r="V134" t="s">
        <v>11</v>
      </c>
      <c r="W134" t="s">
        <v>13</v>
      </c>
      <c r="X134" t="s">
        <v>32</v>
      </c>
      <c r="Y134" t="s">
        <v>0</v>
      </c>
      <c r="Z134" t="s">
        <v>0</v>
      </c>
      <c r="AA134" t="s">
        <v>0</v>
      </c>
    </row>
    <row r="135" spans="1:27" ht="14" customHeight="1" x14ac:dyDescent="0.25">
      <c r="A135" s="2">
        <v>46111</v>
      </c>
      <c r="B135" t="s">
        <v>575</v>
      </c>
      <c r="C135" t="s">
        <v>426</v>
      </c>
      <c r="D135" t="s">
        <v>576</v>
      </c>
      <c r="E135" t="s">
        <v>576</v>
      </c>
      <c r="F135" t="s">
        <v>27</v>
      </c>
      <c r="G135" s="2">
        <v>46084</v>
      </c>
      <c r="H135" s="2">
        <v>46107</v>
      </c>
      <c r="I135" t="s">
        <v>70</v>
      </c>
      <c r="J135" t="s">
        <v>71</v>
      </c>
      <c r="K135" t="s">
        <v>7</v>
      </c>
      <c r="L135" t="s">
        <v>30</v>
      </c>
      <c r="M135" s="3">
        <v>245200</v>
      </c>
      <c r="N135" s="3" t="s">
        <v>1152</v>
      </c>
      <c r="O135" t="s">
        <v>578</v>
      </c>
      <c r="P135" t="s">
        <v>579</v>
      </c>
      <c r="Q135" t="s">
        <v>568</v>
      </c>
      <c r="R135" t="s">
        <v>9</v>
      </c>
      <c r="S135" t="s">
        <v>10</v>
      </c>
      <c r="T135" s="20" t="s">
        <v>94</v>
      </c>
      <c r="U135" s="18" t="s">
        <v>577</v>
      </c>
      <c r="V135" s="18" t="s">
        <v>577</v>
      </c>
      <c r="W135" t="s">
        <v>13</v>
      </c>
      <c r="X135" t="s">
        <v>32</v>
      </c>
      <c r="Y135" t="s">
        <v>0</v>
      </c>
      <c r="Z135" t="s">
        <v>0</v>
      </c>
      <c r="AA135" t="s">
        <v>0</v>
      </c>
    </row>
    <row r="136" spans="1:27" ht="14" customHeight="1" x14ac:dyDescent="0.25">
      <c r="A136" s="2">
        <v>46111</v>
      </c>
      <c r="B136" t="s">
        <v>580</v>
      </c>
      <c r="C136" t="s">
        <v>426</v>
      </c>
      <c r="D136" t="s">
        <v>581</v>
      </c>
      <c r="E136" t="s">
        <v>581</v>
      </c>
      <c r="F136" t="s">
        <v>27</v>
      </c>
      <c r="G136" s="2">
        <v>46084</v>
      </c>
      <c r="H136" s="2">
        <v>46107</v>
      </c>
      <c r="I136" t="s">
        <v>70</v>
      </c>
      <c r="J136" t="s">
        <v>71</v>
      </c>
      <c r="K136" t="s">
        <v>7</v>
      </c>
      <c r="L136" t="s">
        <v>30</v>
      </c>
      <c r="M136" s="3">
        <v>151300</v>
      </c>
      <c r="N136" s="3" t="s">
        <v>1152</v>
      </c>
      <c r="O136" t="s">
        <v>582</v>
      </c>
      <c r="P136" t="s">
        <v>583</v>
      </c>
      <c r="Q136" t="s">
        <v>568</v>
      </c>
      <c r="R136" t="s">
        <v>9</v>
      </c>
      <c r="S136" t="s">
        <v>10</v>
      </c>
      <c r="T136" s="20" t="s">
        <v>94</v>
      </c>
      <c r="U136" s="18" t="s">
        <v>577</v>
      </c>
      <c r="V136" s="18" t="s">
        <v>577</v>
      </c>
      <c r="W136" t="s">
        <v>13</v>
      </c>
      <c r="X136" t="s">
        <v>32</v>
      </c>
      <c r="Y136" t="s">
        <v>0</v>
      </c>
      <c r="Z136" t="s">
        <v>0</v>
      </c>
      <c r="AA136" t="s">
        <v>0</v>
      </c>
    </row>
    <row r="137" spans="1:27" ht="14" customHeight="1" x14ac:dyDescent="0.25">
      <c r="A137" s="2">
        <v>46111</v>
      </c>
      <c r="B137" t="s">
        <v>584</v>
      </c>
      <c r="C137" t="s">
        <v>426</v>
      </c>
      <c r="D137" t="s">
        <v>585</v>
      </c>
      <c r="E137" t="s">
        <v>585</v>
      </c>
      <c r="F137" t="s">
        <v>27</v>
      </c>
      <c r="G137" s="2">
        <v>46094</v>
      </c>
      <c r="H137" s="2">
        <v>46107</v>
      </c>
      <c r="I137" t="s">
        <v>70</v>
      </c>
      <c r="J137" t="s">
        <v>71</v>
      </c>
      <c r="K137" t="s">
        <v>7</v>
      </c>
      <c r="L137" t="s">
        <v>30</v>
      </c>
      <c r="M137" s="3">
        <v>100000</v>
      </c>
      <c r="N137" s="3" t="s">
        <v>1152</v>
      </c>
      <c r="O137" t="s">
        <v>586</v>
      </c>
      <c r="P137" t="s">
        <v>587</v>
      </c>
      <c r="Q137" t="s">
        <v>568</v>
      </c>
      <c r="R137" t="s">
        <v>9</v>
      </c>
      <c r="S137" t="s">
        <v>10</v>
      </c>
      <c r="T137" t="s">
        <v>395</v>
      </c>
      <c r="U137" t="s">
        <v>395</v>
      </c>
      <c r="V137" t="s">
        <v>395</v>
      </c>
      <c r="W137" t="s">
        <v>13</v>
      </c>
      <c r="X137" t="s">
        <v>32</v>
      </c>
      <c r="Y137" t="s">
        <v>0</v>
      </c>
      <c r="Z137" t="s">
        <v>0</v>
      </c>
      <c r="AA137" t="s">
        <v>0</v>
      </c>
    </row>
    <row r="138" spans="1:27" ht="14" customHeight="1" x14ac:dyDescent="0.25">
      <c r="A138" s="2">
        <v>46118</v>
      </c>
      <c r="B138" t="s">
        <v>588</v>
      </c>
      <c r="C138" t="s">
        <v>98</v>
      </c>
      <c r="D138" t="s">
        <v>589</v>
      </c>
      <c r="E138" t="s">
        <v>589</v>
      </c>
      <c r="F138" t="s">
        <v>27</v>
      </c>
      <c r="G138" s="2">
        <v>46078</v>
      </c>
      <c r="H138" s="2">
        <v>46118</v>
      </c>
      <c r="I138" t="s">
        <v>100</v>
      </c>
      <c r="J138" t="s">
        <v>101</v>
      </c>
      <c r="K138" t="s">
        <v>7</v>
      </c>
      <c r="L138" t="s">
        <v>30</v>
      </c>
      <c r="M138" s="3">
        <v>132500</v>
      </c>
      <c r="N138" s="3" t="s">
        <v>1152</v>
      </c>
      <c r="O138" t="s">
        <v>590</v>
      </c>
      <c r="P138" t="s">
        <v>591</v>
      </c>
      <c r="Q138" t="s">
        <v>568</v>
      </c>
      <c r="R138" t="s">
        <v>9</v>
      </c>
      <c r="S138" t="s">
        <v>10</v>
      </c>
      <c r="T138" t="s">
        <v>35</v>
      </c>
      <c r="U138" t="s">
        <v>35</v>
      </c>
      <c r="V138" t="s">
        <v>35</v>
      </c>
      <c r="W138" t="s">
        <v>13</v>
      </c>
      <c r="X138" t="s">
        <v>32</v>
      </c>
      <c r="Y138" t="s">
        <v>0</v>
      </c>
      <c r="Z138" t="s">
        <v>0</v>
      </c>
      <c r="AA138" t="s">
        <v>0</v>
      </c>
    </row>
    <row r="139" spans="1:27" ht="14" customHeight="1" x14ac:dyDescent="0.25">
      <c r="A139" s="2">
        <v>46140</v>
      </c>
      <c r="B139" t="s">
        <v>592</v>
      </c>
      <c r="C139" t="s">
        <v>593</v>
      </c>
      <c r="D139" t="s">
        <v>594</v>
      </c>
      <c r="E139" t="s">
        <v>594</v>
      </c>
      <c r="F139" t="s">
        <v>27</v>
      </c>
      <c r="G139" s="2">
        <v>46119</v>
      </c>
      <c r="H139" s="2">
        <v>46139</v>
      </c>
      <c r="I139" t="s">
        <v>100</v>
      </c>
      <c r="J139" t="s">
        <v>101</v>
      </c>
      <c r="K139" t="s">
        <v>7</v>
      </c>
      <c r="L139" t="s">
        <v>30</v>
      </c>
      <c r="M139" s="3">
        <v>186250</v>
      </c>
      <c r="N139" s="3" t="s">
        <v>1152</v>
      </c>
      <c r="O139" t="s">
        <v>595</v>
      </c>
      <c r="P139" t="s">
        <v>596</v>
      </c>
      <c r="Q139" t="s">
        <v>568</v>
      </c>
      <c r="R139" t="s">
        <v>9</v>
      </c>
      <c r="S139" t="s">
        <v>10</v>
      </c>
      <c r="T139" t="s">
        <v>94</v>
      </c>
      <c r="U139" t="s">
        <v>94</v>
      </c>
      <c r="V139" t="s">
        <v>94</v>
      </c>
      <c r="W139" t="s">
        <v>13</v>
      </c>
      <c r="X139" t="s">
        <v>32</v>
      </c>
      <c r="Y139" t="s">
        <v>0</v>
      </c>
      <c r="Z139" t="s">
        <v>0</v>
      </c>
      <c r="AA139" t="s">
        <v>0</v>
      </c>
    </row>
    <row r="140" spans="1:27" ht="14" customHeight="1" x14ac:dyDescent="0.25">
      <c r="A140" s="2">
        <v>46140</v>
      </c>
      <c r="B140" t="s">
        <v>597</v>
      </c>
      <c r="C140" t="s">
        <v>593</v>
      </c>
      <c r="D140" t="s">
        <v>598</v>
      </c>
      <c r="E140" t="s">
        <v>598</v>
      </c>
      <c r="F140" t="s">
        <v>27</v>
      </c>
      <c r="G140" s="2">
        <v>46094</v>
      </c>
      <c r="H140" s="2">
        <v>46139</v>
      </c>
      <c r="I140" t="s">
        <v>100</v>
      </c>
      <c r="J140" t="s">
        <v>101</v>
      </c>
      <c r="K140" t="s">
        <v>7</v>
      </c>
      <c r="L140" t="s">
        <v>30</v>
      </c>
      <c r="M140" s="3">
        <v>30000</v>
      </c>
      <c r="N140" s="3" t="s">
        <v>1152</v>
      </c>
      <c r="O140" t="s">
        <v>599</v>
      </c>
      <c r="P140" t="s">
        <v>600</v>
      </c>
      <c r="Q140" t="s">
        <v>568</v>
      </c>
      <c r="R140" t="s">
        <v>9</v>
      </c>
      <c r="S140" t="s">
        <v>10</v>
      </c>
      <c r="T140" t="s">
        <v>11</v>
      </c>
      <c r="U140" t="s">
        <v>11</v>
      </c>
      <c r="V140" t="s">
        <v>11</v>
      </c>
      <c r="W140" t="s">
        <v>13</v>
      </c>
      <c r="X140" t="s">
        <v>32</v>
      </c>
      <c r="Y140" t="s">
        <v>0</v>
      </c>
      <c r="Z140" t="s">
        <v>0</v>
      </c>
      <c r="AA140" t="s">
        <v>0</v>
      </c>
    </row>
    <row r="141" spans="1:27" ht="14" customHeight="1" x14ac:dyDescent="0.25">
      <c r="A141" s="2">
        <v>46146</v>
      </c>
      <c r="B141" t="s">
        <v>601</v>
      </c>
      <c r="C141" t="s">
        <v>119</v>
      </c>
      <c r="D141" t="s">
        <v>602</v>
      </c>
      <c r="E141" t="s">
        <v>602</v>
      </c>
      <c r="F141" t="s">
        <v>27</v>
      </c>
      <c r="G141" s="2">
        <v>46115</v>
      </c>
      <c r="H141" s="2">
        <v>46142</v>
      </c>
      <c r="I141" t="s">
        <v>100</v>
      </c>
      <c r="J141" t="s">
        <v>101</v>
      </c>
      <c r="K141" t="s">
        <v>7</v>
      </c>
      <c r="L141" t="s">
        <v>30</v>
      </c>
      <c r="M141" s="3">
        <v>37908</v>
      </c>
      <c r="N141" s="3" t="s">
        <v>1152</v>
      </c>
      <c r="O141" t="s">
        <v>603</v>
      </c>
      <c r="P141" t="s">
        <v>604</v>
      </c>
      <c r="Q141" t="s">
        <v>568</v>
      </c>
      <c r="R141" t="s">
        <v>9</v>
      </c>
      <c r="S141" t="s">
        <v>10</v>
      </c>
      <c r="T141" t="s">
        <v>94</v>
      </c>
      <c r="U141" t="s">
        <v>94</v>
      </c>
      <c r="V141" t="s">
        <v>94</v>
      </c>
      <c r="W141" t="s">
        <v>13</v>
      </c>
      <c r="X141" t="s">
        <v>32</v>
      </c>
      <c r="Y141" t="s">
        <v>0</v>
      </c>
      <c r="Z141" t="s">
        <v>0</v>
      </c>
      <c r="AA141" t="s">
        <v>0</v>
      </c>
    </row>
    <row r="142" spans="1:27" ht="14" customHeight="1" x14ac:dyDescent="0.25">
      <c r="A142" s="2">
        <v>46146</v>
      </c>
      <c r="B142" t="s">
        <v>605</v>
      </c>
      <c r="C142" t="s">
        <v>119</v>
      </c>
      <c r="D142" t="s">
        <v>606</v>
      </c>
      <c r="E142" t="s">
        <v>606</v>
      </c>
      <c r="F142" t="s">
        <v>27</v>
      </c>
      <c r="G142" s="2">
        <v>46115</v>
      </c>
      <c r="H142" s="2">
        <v>46142</v>
      </c>
      <c r="I142" t="s">
        <v>100</v>
      </c>
      <c r="J142" t="s">
        <v>101</v>
      </c>
      <c r="K142" t="s">
        <v>7</v>
      </c>
      <c r="L142" t="s">
        <v>30</v>
      </c>
      <c r="M142" s="3">
        <v>35532</v>
      </c>
      <c r="N142" s="3" t="s">
        <v>1152</v>
      </c>
      <c r="O142" t="s">
        <v>607</v>
      </c>
      <c r="P142" t="s">
        <v>608</v>
      </c>
      <c r="Q142" t="s">
        <v>568</v>
      </c>
      <c r="R142" t="s">
        <v>9</v>
      </c>
      <c r="S142" t="s">
        <v>10</v>
      </c>
      <c r="T142" t="s">
        <v>94</v>
      </c>
      <c r="U142" t="s">
        <v>94</v>
      </c>
      <c r="V142" t="s">
        <v>94</v>
      </c>
      <c r="W142" t="s">
        <v>13</v>
      </c>
      <c r="X142" t="s">
        <v>32</v>
      </c>
      <c r="Y142" t="s">
        <v>0</v>
      </c>
      <c r="Z142" t="s">
        <v>0</v>
      </c>
      <c r="AA142" t="s">
        <v>0</v>
      </c>
    </row>
    <row r="143" spans="1:27" ht="14" customHeight="1" x14ac:dyDescent="0.25">
      <c r="A143" s="2">
        <v>46146</v>
      </c>
      <c r="B143" t="s">
        <v>609</v>
      </c>
      <c r="C143" t="s">
        <v>119</v>
      </c>
      <c r="D143" t="s">
        <v>610</v>
      </c>
      <c r="E143" t="s">
        <v>610</v>
      </c>
      <c r="F143" t="s">
        <v>27</v>
      </c>
      <c r="G143" s="2">
        <v>46115</v>
      </c>
      <c r="H143" s="2">
        <v>46142</v>
      </c>
      <c r="I143" t="s">
        <v>100</v>
      </c>
      <c r="J143" t="s">
        <v>101</v>
      </c>
      <c r="K143" t="s">
        <v>7</v>
      </c>
      <c r="L143" t="s">
        <v>30</v>
      </c>
      <c r="M143" s="3">
        <v>13996.8</v>
      </c>
      <c r="N143" s="3" t="s">
        <v>1152</v>
      </c>
      <c r="O143" t="s">
        <v>611</v>
      </c>
      <c r="P143" t="s">
        <v>612</v>
      </c>
      <c r="Q143" t="s">
        <v>568</v>
      </c>
      <c r="R143" t="s">
        <v>9</v>
      </c>
      <c r="S143" t="s">
        <v>10</v>
      </c>
      <c r="T143" t="s">
        <v>94</v>
      </c>
      <c r="U143" t="s">
        <v>94</v>
      </c>
      <c r="V143" t="s">
        <v>94</v>
      </c>
      <c r="W143" t="s">
        <v>13</v>
      </c>
      <c r="X143" t="s">
        <v>32</v>
      </c>
      <c r="Y143" t="s">
        <v>0</v>
      </c>
      <c r="Z143" t="s">
        <v>0</v>
      </c>
      <c r="AA143" t="s">
        <v>0</v>
      </c>
    </row>
    <row r="144" spans="1:27" ht="14" customHeight="1" x14ac:dyDescent="0.25">
      <c r="A144" s="2">
        <v>46189</v>
      </c>
      <c r="B144" t="s">
        <v>613</v>
      </c>
      <c r="C144" t="s">
        <v>154</v>
      </c>
      <c r="D144" t="s">
        <v>614</v>
      </c>
      <c r="E144" t="s">
        <v>614</v>
      </c>
      <c r="F144" t="s">
        <v>27</v>
      </c>
      <c r="G144" s="2">
        <v>46163</v>
      </c>
      <c r="H144" s="2">
        <v>46182</v>
      </c>
      <c r="I144" t="s">
        <v>149</v>
      </c>
      <c r="J144" t="s">
        <v>150</v>
      </c>
      <c r="K144" t="s">
        <v>7</v>
      </c>
      <c r="L144" t="s">
        <v>30</v>
      </c>
      <c r="M144" s="3">
        <v>215500</v>
      </c>
      <c r="N144" s="3" t="s">
        <v>1152</v>
      </c>
      <c r="O144" t="s">
        <v>615</v>
      </c>
      <c r="P144" t="s">
        <v>616</v>
      </c>
      <c r="Q144" t="s">
        <v>568</v>
      </c>
      <c r="R144" t="s">
        <v>9</v>
      </c>
      <c r="S144" t="s">
        <v>10</v>
      </c>
      <c r="T144" t="s">
        <v>395</v>
      </c>
      <c r="U144" t="s">
        <v>395</v>
      </c>
      <c r="V144" t="s">
        <v>395</v>
      </c>
      <c r="W144" t="s">
        <v>13</v>
      </c>
      <c r="X144" t="s">
        <v>32</v>
      </c>
      <c r="Y144" t="s">
        <v>0</v>
      </c>
      <c r="Z144" t="s">
        <v>0</v>
      </c>
      <c r="AA144" t="s">
        <v>0</v>
      </c>
    </row>
    <row r="145" spans="1:27" ht="14" customHeight="1" x14ac:dyDescent="0.25">
      <c r="A145" s="2">
        <v>46189</v>
      </c>
      <c r="B145" t="s">
        <v>617</v>
      </c>
      <c r="C145" t="s">
        <v>154</v>
      </c>
      <c r="D145" t="s">
        <v>618</v>
      </c>
      <c r="E145" t="s">
        <v>618</v>
      </c>
      <c r="F145" t="s">
        <v>27</v>
      </c>
      <c r="G145" s="2">
        <v>46147</v>
      </c>
      <c r="H145" s="2">
        <v>46182</v>
      </c>
      <c r="I145" t="s">
        <v>149</v>
      </c>
      <c r="J145" t="s">
        <v>150</v>
      </c>
      <c r="K145" t="s">
        <v>7</v>
      </c>
      <c r="L145" t="s">
        <v>30</v>
      </c>
      <c r="M145" s="3">
        <v>212450</v>
      </c>
      <c r="N145" s="3" t="s">
        <v>1152</v>
      </c>
      <c r="O145" t="s">
        <v>619</v>
      </c>
      <c r="P145" t="s">
        <v>620</v>
      </c>
      <c r="Q145" t="s">
        <v>568</v>
      </c>
      <c r="R145" t="s">
        <v>9</v>
      </c>
      <c r="S145" t="s">
        <v>10</v>
      </c>
      <c r="T145" t="s">
        <v>94</v>
      </c>
      <c r="U145" t="s">
        <v>94</v>
      </c>
      <c r="V145" t="s">
        <v>94</v>
      </c>
      <c r="W145" t="s">
        <v>13</v>
      </c>
      <c r="X145" t="s">
        <v>32</v>
      </c>
      <c r="Y145" t="s">
        <v>0</v>
      </c>
      <c r="Z145" t="s">
        <v>0</v>
      </c>
      <c r="AA145" t="s">
        <v>0</v>
      </c>
    </row>
    <row r="146" spans="1:27" ht="14" customHeight="1" x14ac:dyDescent="0.25">
      <c r="A146" s="2">
        <v>46197</v>
      </c>
      <c r="B146" t="s">
        <v>621</v>
      </c>
      <c r="C146" t="s">
        <v>622</v>
      </c>
      <c r="D146" t="s">
        <v>623</v>
      </c>
      <c r="E146" t="s">
        <v>623</v>
      </c>
      <c r="F146" t="s">
        <v>27</v>
      </c>
      <c r="G146" s="2">
        <v>46156</v>
      </c>
      <c r="H146" s="2">
        <v>46194</v>
      </c>
      <c r="I146" t="s">
        <v>149</v>
      </c>
      <c r="J146" t="s">
        <v>150</v>
      </c>
      <c r="K146" t="s">
        <v>7</v>
      </c>
      <c r="L146" t="s">
        <v>30</v>
      </c>
      <c r="M146" s="3">
        <v>12204</v>
      </c>
      <c r="N146" s="3" t="s">
        <v>1152</v>
      </c>
      <c r="O146" t="s">
        <v>624</v>
      </c>
      <c r="P146" t="s">
        <v>625</v>
      </c>
      <c r="Q146" t="s">
        <v>568</v>
      </c>
      <c r="R146" t="s">
        <v>9</v>
      </c>
      <c r="S146" t="s">
        <v>10</v>
      </c>
      <c r="T146" t="s">
        <v>94</v>
      </c>
      <c r="U146" t="s">
        <v>94</v>
      </c>
      <c r="V146" t="s">
        <v>94</v>
      </c>
      <c r="W146" t="s">
        <v>13</v>
      </c>
      <c r="X146" t="s">
        <v>32</v>
      </c>
      <c r="Y146" t="s">
        <v>0</v>
      </c>
      <c r="Z146" t="s">
        <v>0</v>
      </c>
      <c r="AA146" t="s">
        <v>0</v>
      </c>
    </row>
    <row r="147" spans="1:27" ht="14" customHeight="1" x14ac:dyDescent="0.25">
      <c r="A147" s="2">
        <v>46197</v>
      </c>
      <c r="B147" t="s">
        <v>626</v>
      </c>
      <c r="C147" t="s">
        <v>622</v>
      </c>
      <c r="D147" t="s">
        <v>627</v>
      </c>
      <c r="E147" t="s">
        <v>627</v>
      </c>
      <c r="F147" t="s">
        <v>27</v>
      </c>
      <c r="G147" s="2">
        <v>46156</v>
      </c>
      <c r="H147" s="2">
        <v>46194</v>
      </c>
      <c r="I147" t="s">
        <v>149</v>
      </c>
      <c r="J147" t="s">
        <v>150</v>
      </c>
      <c r="K147" t="s">
        <v>7</v>
      </c>
      <c r="L147" t="s">
        <v>30</v>
      </c>
      <c r="M147" s="3">
        <v>2538</v>
      </c>
      <c r="N147" s="3" t="s">
        <v>1152</v>
      </c>
      <c r="O147" t="s">
        <v>628</v>
      </c>
      <c r="P147" t="s">
        <v>629</v>
      </c>
      <c r="Q147" t="s">
        <v>568</v>
      </c>
      <c r="R147" t="s">
        <v>9</v>
      </c>
      <c r="S147" t="s">
        <v>10</v>
      </c>
      <c r="T147" t="s">
        <v>94</v>
      </c>
      <c r="U147" t="s">
        <v>94</v>
      </c>
      <c r="V147" t="s">
        <v>94</v>
      </c>
      <c r="W147" t="s">
        <v>13</v>
      </c>
      <c r="X147" t="s">
        <v>32</v>
      </c>
      <c r="Y147" t="s">
        <v>0</v>
      </c>
      <c r="Z147" t="s">
        <v>0</v>
      </c>
      <c r="AA147" t="s">
        <v>0</v>
      </c>
    </row>
    <row r="148" spans="1:27" ht="14" customHeight="1" x14ac:dyDescent="0.25">
      <c r="A148" s="2">
        <v>46147</v>
      </c>
      <c r="B148" t="s">
        <v>576</v>
      </c>
      <c r="C148" t="s">
        <v>630</v>
      </c>
      <c r="D148" t="s">
        <v>631</v>
      </c>
      <c r="E148" t="s">
        <v>631</v>
      </c>
      <c r="F148" t="s">
        <v>180</v>
      </c>
      <c r="G148" s="2">
        <v>46099</v>
      </c>
      <c r="H148" s="2">
        <v>46107</v>
      </c>
      <c r="I148" t="s">
        <v>70</v>
      </c>
      <c r="J148" t="s">
        <v>71</v>
      </c>
      <c r="K148" t="s">
        <v>7</v>
      </c>
      <c r="L148" t="s">
        <v>8</v>
      </c>
      <c r="M148" s="3">
        <v>-245200</v>
      </c>
      <c r="N148" s="3" t="s">
        <v>1153</v>
      </c>
      <c r="O148" t="s">
        <v>632</v>
      </c>
      <c r="P148" t="s">
        <v>633</v>
      </c>
      <c r="Q148" t="s">
        <v>568</v>
      </c>
      <c r="R148" t="s">
        <v>9</v>
      </c>
      <c r="S148" t="s">
        <v>10</v>
      </c>
      <c r="T148" s="20" t="s">
        <v>94</v>
      </c>
      <c r="U148" s="19" t="s">
        <v>0</v>
      </c>
      <c r="V148" s="18" t="s">
        <v>577</v>
      </c>
      <c r="W148" t="s">
        <v>13</v>
      </c>
      <c r="X148" t="s">
        <v>32</v>
      </c>
      <c r="Y148" t="s">
        <v>634</v>
      </c>
      <c r="Z148" t="s">
        <v>0</v>
      </c>
      <c r="AA148" t="s">
        <v>0</v>
      </c>
    </row>
    <row r="149" spans="1:27" ht="14" customHeight="1" x14ac:dyDescent="0.25">
      <c r="A149" s="2">
        <v>46147</v>
      </c>
      <c r="B149" t="s">
        <v>581</v>
      </c>
      <c r="C149" t="s">
        <v>635</v>
      </c>
      <c r="D149" t="s">
        <v>636</v>
      </c>
      <c r="E149" t="s">
        <v>636</v>
      </c>
      <c r="F149" t="s">
        <v>180</v>
      </c>
      <c r="G149" s="2">
        <v>46099</v>
      </c>
      <c r="H149" s="2">
        <v>46107</v>
      </c>
      <c r="I149" t="s">
        <v>70</v>
      </c>
      <c r="J149" t="s">
        <v>71</v>
      </c>
      <c r="K149" t="s">
        <v>7</v>
      </c>
      <c r="L149" t="s">
        <v>8</v>
      </c>
      <c r="M149" s="3">
        <v>-151300</v>
      </c>
      <c r="N149" s="3" t="s">
        <v>1153</v>
      </c>
      <c r="O149" t="s">
        <v>637</v>
      </c>
      <c r="P149" t="s">
        <v>633</v>
      </c>
      <c r="Q149" t="s">
        <v>568</v>
      </c>
      <c r="R149" t="s">
        <v>9</v>
      </c>
      <c r="S149" t="s">
        <v>10</v>
      </c>
      <c r="T149" t="s">
        <v>94</v>
      </c>
      <c r="U149" t="s">
        <v>0</v>
      </c>
      <c r="V149" t="s">
        <v>94</v>
      </c>
      <c r="W149" t="s">
        <v>13</v>
      </c>
      <c r="X149" t="s">
        <v>32</v>
      </c>
      <c r="Y149" t="s">
        <v>638</v>
      </c>
      <c r="Z149" t="s">
        <v>0</v>
      </c>
      <c r="AA149" t="s">
        <v>0</v>
      </c>
    </row>
    <row r="150" spans="1:27" ht="14" customHeight="1" x14ac:dyDescent="0.25">
      <c r="A150" s="2">
        <v>46140</v>
      </c>
      <c r="B150" t="s">
        <v>594</v>
      </c>
      <c r="C150" t="s">
        <v>639</v>
      </c>
      <c r="D150" t="s">
        <v>640</v>
      </c>
      <c r="E150" t="s">
        <v>640</v>
      </c>
      <c r="F150" t="s">
        <v>180</v>
      </c>
      <c r="G150" s="2">
        <v>46135</v>
      </c>
      <c r="H150" s="2">
        <v>46139</v>
      </c>
      <c r="I150" t="s">
        <v>100</v>
      </c>
      <c r="J150" t="s">
        <v>101</v>
      </c>
      <c r="K150" t="s">
        <v>7</v>
      </c>
      <c r="L150" t="s">
        <v>8</v>
      </c>
      <c r="M150" s="3">
        <v>-186250</v>
      </c>
      <c r="N150" s="3" t="s">
        <v>1153</v>
      </c>
      <c r="O150" t="s">
        <v>641</v>
      </c>
      <c r="P150" t="s">
        <v>633</v>
      </c>
      <c r="Q150" t="s">
        <v>568</v>
      </c>
      <c r="R150" t="s">
        <v>9</v>
      </c>
      <c r="S150" t="s">
        <v>10</v>
      </c>
      <c r="T150" t="s">
        <v>94</v>
      </c>
      <c r="U150" t="s">
        <v>0</v>
      </c>
      <c r="V150" t="s">
        <v>94</v>
      </c>
      <c r="W150" t="s">
        <v>13</v>
      </c>
      <c r="X150" t="s">
        <v>32</v>
      </c>
      <c r="Y150" t="s">
        <v>642</v>
      </c>
      <c r="Z150" t="s">
        <v>0</v>
      </c>
      <c r="AA150" t="s">
        <v>0</v>
      </c>
    </row>
    <row r="151" spans="1:27" ht="14" customHeight="1" x14ac:dyDescent="0.25">
      <c r="A151" s="2">
        <v>46146</v>
      </c>
      <c r="B151" t="s">
        <v>602</v>
      </c>
      <c r="C151" t="s">
        <v>643</v>
      </c>
      <c r="D151" t="s">
        <v>644</v>
      </c>
      <c r="E151" t="s">
        <v>644</v>
      </c>
      <c r="F151" t="s">
        <v>180</v>
      </c>
      <c r="G151" s="2">
        <v>46140</v>
      </c>
      <c r="H151" s="2">
        <v>46142</v>
      </c>
      <c r="I151" t="s">
        <v>100</v>
      </c>
      <c r="J151" t="s">
        <v>101</v>
      </c>
      <c r="K151" t="s">
        <v>7</v>
      </c>
      <c r="L151" t="s">
        <v>8</v>
      </c>
      <c r="M151" s="3">
        <v>-37908</v>
      </c>
      <c r="N151" s="3" t="s">
        <v>1153</v>
      </c>
      <c r="O151" t="s">
        <v>645</v>
      </c>
      <c r="P151" t="s">
        <v>633</v>
      </c>
      <c r="Q151" t="s">
        <v>568</v>
      </c>
      <c r="R151" t="s">
        <v>9</v>
      </c>
      <c r="S151" t="s">
        <v>10</v>
      </c>
      <c r="T151" t="s">
        <v>94</v>
      </c>
      <c r="U151" t="s">
        <v>0</v>
      </c>
      <c r="V151" t="s">
        <v>94</v>
      </c>
      <c r="W151" t="s">
        <v>13</v>
      </c>
      <c r="X151" t="s">
        <v>32</v>
      </c>
      <c r="Y151" t="s">
        <v>646</v>
      </c>
      <c r="Z151" t="s">
        <v>0</v>
      </c>
      <c r="AA151" t="s">
        <v>0</v>
      </c>
    </row>
    <row r="152" spans="1:27" ht="14" customHeight="1" x14ac:dyDescent="0.25">
      <c r="A152" s="2">
        <v>46146</v>
      </c>
      <c r="B152" t="s">
        <v>606</v>
      </c>
      <c r="C152" t="s">
        <v>647</v>
      </c>
      <c r="D152" t="s">
        <v>648</v>
      </c>
      <c r="E152" t="s">
        <v>648</v>
      </c>
      <c r="F152" t="s">
        <v>180</v>
      </c>
      <c r="G152" s="2">
        <v>46140</v>
      </c>
      <c r="H152" s="2">
        <v>46142</v>
      </c>
      <c r="I152" t="s">
        <v>100</v>
      </c>
      <c r="J152" t="s">
        <v>101</v>
      </c>
      <c r="K152" t="s">
        <v>7</v>
      </c>
      <c r="L152" t="s">
        <v>8</v>
      </c>
      <c r="M152" s="3">
        <v>-35532</v>
      </c>
      <c r="N152" s="3" t="s">
        <v>1153</v>
      </c>
      <c r="O152" t="s">
        <v>649</v>
      </c>
      <c r="P152" t="s">
        <v>633</v>
      </c>
      <c r="Q152" t="s">
        <v>568</v>
      </c>
      <c r="R152" t="s">
        <v>9</v>
      </c>
      <c r="S152" t="s">
        <v>10</v>
      </c>
      <c r="T152" t="s">
        <v>94</v>
      </c>
      <c r="U152" t="s">
        <v>0</v>
      </c>
      <c r="V152" t="s">
        <v>94</v>
      </c>
      <c r="W152" t="s">
        <v>13</v>
      </c>
      <c r="X152" t="s">
        <v>32</v>
      </c>
      <c r="Y152" t="s">
        <v>650</v>
      </c>
      <c r="Z152" t="s">
        <v>0</v>
      </c>
      <c r="AA152" t="s">
        <v>0</v>
      </c>
    </row>
    <row r="153" spans="1:27" ht="14" customHeight="1" x14ac:dyDescent="0.25">
      <c r="A153" s="2">
        <v>46146</v>
      </c>
      <c r="B153" t="s">
        <v>610</v>
      </c>
      <c r="C153" t="s">
        <v>651</v>
      </c>
      <c r="D153" t="s">
        <v>652</v>
      </c>
      <c r="E153" t="s">
        <v>652</v>
      </c>
      <c r="F153" t="s">
        <v>180</v>
      </c>
      <c r="G153" s="2">
        <v>46140</v>
      </c>
      <c r="H153" s="2">
        <v>46142</v>
      </c>
      <c r="I153" t="s">
        <v>100</v>
      </c>
      <c r="J153" t="s">
        <v>101</v>
      </c>
      <c r="K153" t="s">
        <v>7</v>
      </c>
      <c r="L153" t="s">
        <v>8</v>
      </c>
      <c r="M153" s="3">
        <v>-13996.8</v>
      </c>
      <c r="N153" s="3" t="s">
        <v>1153</v>
      </c>
      <c r="O153" t="s">
        <v>653</v>
      </c>
      <c r="P153" t="s">
        <v>633</v>
      </c>
      <c r="Q153" t="s">
        <v>568</v>
      </c>
      <c r="R153" t="s">
        <v>9</v>
      </c>
      <c r="S153" t="s">
        <v>10</v>
      </c>
      <c r="T153" t="s">
        <v>94</v>
      </c>
      <c r="U153" t="s">
        <v>0</v>
      </c>
      <c r="V153" t="s">
        <v>94</v>
      </c>
      <c r="W153" t="s">
        <v>13</v>
      </c>
      <c r="X153" t="s">
        <v>32</v>
      </c>
      <c r="Y153" t="s">
        <v>654</v>
      </c>
      <c r="Z153" t="s">
        <v>0</v>
      </c>
      <c r="AA153" t="s">
        <v>0</v>
      </c>
    </row>
    <row r="154" spans="1:27" ht="14" customHeight="1" x14ac:dyDescent="0.25">
      <c r="A154" s="2">
        <v>46154</v>
      </c>
      <c r="B154" t="s">
        <v>655</v>
      </c>
      <c r="C154" t="s">
        <v>375</v>
      </c>
      <c r="D154" t="s">
        <v>656</v>
      </c>
      <c r="E154" t="s">
        <v>656</v>
      </c>
      <c r="F154" t="s">
        <v>180</v>
      </c>
      <c r="G154" s="2">
        <v>46081</v>
      </c>
      <c r="H154" s="2">
        <v>46081</v>
      </c>
      <c r="I154" t="s">
        <v>190</v>
      </c>
      <c r="J154" t="s">
        <v>191</v>
      </c>
      <c r="K154" t="s">
        <v>7</v>
      </c>
      <c r="L154" t="s">
        <v>8</v>
      </c>
      <c r="M154" s="3">
        <v>-25336.799999999999</v>
      </c>
      <c r="N154" s="3" t="s">
        <v>1153</v>
      </c>
      <c r="O154" t="s">
        <v>657</v>
      </c>
      <c r="P154" t="s">
        <v>633</v>
      </c>
      <c r="Q154" t="s">
        <v>568</v>
      </c>
      <c r="R154" t="s">
        <v>9</v>
      </c>
      <c r="S154" t="s">
        <v>10</v>
      </c>
      <c r="T154" t="s">
        <v>11</v>
      </c>
      <c r="U154" t="s">
        <v>0</v>
      </c>
      <c r="V154" t="s">
        <v>11</v>
      </c>
      <c r="W154" t="s">
        <v>13</v>
      </c>
      <c r="X154" t="s">
        <v>32</v>
      </c>
      <c r="Y154" t="s">
        <v>658</v>
      </c>
      <c r="Z154" t="s">
        <v>0</v>
      </c>
      <c r="AA154" t="s">
        <v>0</v>
      </c>
    </row>
    <row r="155" spans="1:27" ht="14" customHeight="1" x14ac:dyDescent="0.25">
      <c r="A155" s="2">
        <v>46154</v>
      </c>
      <c r="B155" t="s">
        <v>655</v>
      </c>
      <c r="C155" t="s">
        <v>375</v>
      </c>
      <c r="D155" t="s">
        <v>659</v>
      </c>
      <c r="E155" t="s">
        <v>659</v>
      </c>
      <c r="F155" t="s">
        <v>180</v>
      </c>
      <c r="G155" s="2">
        <v>46112</v>
      </c>
      <c r="H155" s="2">
        <v>46112</v>
      </c>
      <c r="I155" t="s">
        <v>70</v>
      </c>
      <c r="J155" t="s">
        <v>71</v>
      </c>
      <c r="K155" t="s">
        <v>7</v>
      </c>
      <c r="L155" t="s">
        <v>8</v>
      </c>
      <c r="M155" s="3">
        <v>-25158.6</v>
      </c>
      <c r="N155" s="3" t="s">
        <v>1153</v>
      </c>
      <c r="O155" t="s">
        <v>660</v>
      </c>
      <c r="P155" t="s">
        <v>633</v>
      </c>
      <c r="Q155" t="s">
        <v>568</v>
      </c>
      <c r="R155" t="s">
        <v>9</v>
      </c>
      <c r="S155" t="s">
        <v>10</v>
      </c>
      <c r="T155" t="s">
        <v>11</v>
      </c>
      <c r="U155" t="s">
        <v>0</v>
      </c>
      <c r="V155" t="s">
        <v>11</v>
      </c>
      <c r="W155" t="s">
        <v>13</v>
      </c>
      <c r="X155" t="s">
        <v>32</v>
      </c>
      <c r="Y155" t="s">
        <v>661</v>
      </c>
      <c r="Z155" t="s">
        <v>0</v>
      </c>
      <c r="AA155" t="s">
        <v>0</v>
      </c>
    </row>
    <row r="156" spans="1:27" ht="14" customHeight="1" x14ac:dyDescent="0.25">
      <c r="A156" s="2">
        <v>46153</v>
      </c>
      <c r="B156" t="s">
        <v>662</v>
      </c>
      <c r="C156" t="s">
        <v>663</v>
      </c>
      <c r="D156" t="s">
        <v>664</v>
      </c>
      <c r="E156" t="s">
        <v>664</v>
      </c>
      <c r="F156" t="s">
        <v>180</v>
      </c>
      <c r="G156" s="2">
        <v>46112</v>
      </c>
      <c r="H156" s="2">
        <v>46112</v>
      </c>
      <c r="I156" t="s">
        <v>70</v>
      </c>
      <c r="J156" t="s">
        <v>71</v>
      </c>
      <c r="K156" t="s">
        <v>7</v>
      </c>
      <c r="L156" t="s">
        <v>8</v>
      </c>
      <c r="M156" s="3">
        <v>-8432.11</v>
      </c>
      <c r="N156" s="3" t="s">
        <v>1153</v>
      </c>
      <c r="O156" t="s">
        <v>665</v>
      </c>
      <c r="P156" t="s">
        <v>633</v>
      </c>
      <c r="Q156" t="s">
        <v>568</v>
      </c>
      <c r="R156" t="s">
        <v>9</v>
      </c>
      <c r="S156" t="s">
        <v>10</v>
      </c>
      <c r="T156" t="s">
        <v>395</v>
      </c>
      <c r="U156" t="s">
        <v>0</v>
      </c>
      <c r="V156" t="s">
        <v>395</v>
      </c>
      <c r="W156" t="s">
        <v>13</v>
      </c>
      <c r="X156" t="s">
        <v>32</v>
      </c>
      <c r="Y156" t="s">
        <v>666</v>
      </c>
      <c r="Z156" t="s">
        <v>0</v>
      </c>
      <c r="AA156" t="s">
        <v>0</v>
      </c>
    </row>
    <row r="157" spans="1:27" ht="14" customHeight="1" x14ac:dyDescent="0.25">
      <c r="A157" s="2">
        <v>46189</v>
      </c>
      <c r="B157" t="s">
        <v>618</v>
      </c>
      <c r="C157" t="s">
        <v>667</v>
      </c>
      <c r="D157" t="s">
        <v>668</v>
      </c>
      <c r="E157" t="s">
        <v>668</v>
      </c>
      <c r="F157" t="s">
        <v>180</v>
      </c>
      <c r="G157" s="2">
        <v>46181</v>
      </c>
      <c r="H157" s="2">
        <v>46182</v>
      </c>
      <c r="I157" t="s">
        <v>149</v>
      </c>
      <c r="J157" t="s">
        <v>150</v>
      </c>
      <c r="K157" t="s">
        <v>7</v>
      </c>
      <c r="L157" t="s">
        <v>8</v>
      </c>
      <c r="M157" s="3">
        <v>-212450</v>
      </c>
      <c r="N157" s="3" t="s">
        <v>1153</v>
      </c>
      <c r="O157" t="s">
        <v>669</v>
      </c>
      <c r="P157" t="s">
        <v>633</v>
      </c>
      <c r="Q157" t="s">
        <v>568</v>
      </c>
      <c r="R157" t="s">
        <v>9</v>
      </c>
      <c r="S157" t="s">
        <v>10</v>
      </c>
      <c r="T157" t="s">
        <v>94</v>
      </c>
      <c r="U157" t="s">
        <v>0</v>
      </c>
      <c r="V157" t="s">
        <v>94</v>
      </c>
      <c r="W157" t="s">
        <v>13</v>
      </c>
      <c r="X157" t="s">
        <v>32</v>
      </c>
      <c r="Y157" t="s">
        <v>670</v>
      </c>
      <c r="Z157" t="s">
        <v>0</v>
      </c>
      <c r="AA157" t="s">
        <v>0</v>
      </c>
    </row>
    <row r="158" spans="1:27" ht="14" customHeight="1" x14ac:dyDescent="0.25">
      <c r="A158" s="2">
        <v>46197</v>
      </c>
      <c r="B158" t="s">
        <v>623</v>
      </c>
      <c r="C158" t="s">
        <v>671</v>
      </c>
      <c r="D158" t="s">
        <v>672</v>
      </c>
      <c r="E158" t="s">
        <v>672</v>
      </c>
      <c r="F158" t="s">
        <v>180</v>
      </c>
      <c r="G158" s="2">
        <v>46189</v>
      </c>
      <c r="H158" s="2">
        <v>46194</v>
      </c>
      <c r="I158" t="s">
        <v>149</v>
      </c>
      <c r="J158" t="s">
        <v>150</v>
      </c>
      <c r="K158" t="s">
        <v>7</v>
      </c>
      <c r="L158" t="s">
        <v>8</v>
      </c>
      <c r="M158" s="3">
        <v>-12204</v>
      </c>
      <c r="N158" s="3" t="s">
        <v>1153</v>
      </c>
      <c r="O158" t="s">
        <v>673</v>
      </c>
      <c r="P158" t="s">
        <v>633</v>
      </c>
      <c r="Q158" t="s">
        <v>568</v>
      </c>
      <c r="R158" t="s">
        <v>9</v>
      </c>
      <c r="S158" t="s">
        <v>10</v>
      </c>
      <c r="T158" t="s">
        <v>94</v>
      </c>
      <c r="U158" t="s">
        <v>0</v>
      </c>
      <c r="V158" t="s">
        <v>94</v>
      </c>
      <c r="W158" t="s">
        <v>13</v>
      </c>
      <c r="X158" t="s">
        <v>32</v>
      </c>
      <c r="Y158" t="s">
        <v>674</v>
      </c>
      <c r="Z158" t="s">
        <v>0</v>
      </c>
      <c r="AA158" t="s">
        <v>0</v>
      </c>
    </row>
    <row r="159" spans="1:27" ht="14" customHeight="1" x14ac:dyDescent="0.25">
      <c r="A159" s="2">
        <v>46199</v>
      </c>
      <c r="B159" t="s">
        <v>627</v>
      </c>
      <c r="C159" t="s">
        <v>675</v>
      </c>
      <c r="D159" t="s">
        <v>676</v>
      </c>
      <c r="E159" t="s">
        <v>676</v>
      </c>
      <c r="F159" t="s">
        <v>180</v>
      </c>
      <c r="G159" s="2">
        <v>46189</v>
      </c>
      <c r="H159" s="2">
        <v>46195</v>
      </c>
      <c r="I159" t="s">
        <v>149</v>
      </c>
      <c r="J159" t="s">
        <v>150</v>
      </c>
      <c r="K159" t="s">
        <v>7</v>
      </c>
      <c r="L159" t="s">
        <v>8</v>
      </c>
      <c r="M159" s="3">
        <v>-2538</v>
      </c>
      <c r="N159" s="3" t="s">
        <v>1153</v>
      </c>
      <c r="O159" t="s">
        <v>677</v>
      </c>
      <c r="P159" t="s">
        <v>633</v>
      </c>
      <c r="Q159" t="s">
        <v>568</v>
      </c>
      <c r="R159" t="s">
        <v>9</v>
      </c>
      <c r="S159" t="s">
        <v>10</v>
      </c>
      <c r="T159" t="s">
        <v>94</v>
      </c>
      <c r="U159" t="s">
        <v>0</v>
      </c>
      <c r="V159" t="s">
        <v>94</v>
      </c>
      <c r="W159" t="s">
        <v>13</v>
      </c>
      <c r="X159" t="s">
        <v>32</v>
      </c>
      <c r="Y159" t="s">
        <v>678</v>
      </c>
      <c r="Z159" t="s">
        <v>0</v>
      </c>
      <c r="AA159" t="s">
        <v>0</v>
      </c>
    </row>
    <row r="160" spans="1:27" ht="14" customHeight="1" x14ac:dyDescent="0.25">
      <c r="A160" s="2">
        <v>46226</v>
      </c>
      <c r="B160" t="s">
        <v>679</v>
      </c>
      <c r="C160" t="s">
        <v>680</v>
      </c>
      <c r="D160" t="s">
        <v>681</v>
      </c>
      <c r="E160" t="s">
        <v>681</v>
      </c>
      <c r="F160" t="s">
        <v>180</v>
      </c>
      <c r="G160" s="2">
        <v>46142</v>
      </c>
      <c r="H160" s="2">
        <v>46142</v>
      </c>
      <c r="I160" t="s">
        <v>100</v>
      </c>
      <c r="J160" t="s">
        <v>101</v>
      </c>
      <c r="K160" t="s">
        <v>7</v>
      </c>
      <c r="L160" t="s">
        <v>8</v>
      </c>
      <c r="M160" s="3">
        <v>-5832</v>
      </c>
      <c r="N160" s="12" t="s">
        <v>1153</v>
      </c>
      <c r="O160" t="s">
        <v>569</v>
      </c>
      <c r="P160" t="s">
        <v>633</v>
      </c>
      <c r="Q160" t="s">
        <v>568</v>
      </c>
      <c r="R160" t="s">
        <v>9</v>
      </c>
      <c r="S160" t="s">
        <v>10</v>
      </c>
      <c r="T160" t="s">
        <v>432</v>
      </c>
      <c r="U160" t="s">
        <v>0</v>
      </c>
      <c r="V160" t="s">
        <v>432</v>
      </c>
      <c r="W160" t="s">
        <v>13</v>
      </c>
      <c r="X160" t="s">
        <v>32</v>
      </c>
      <c r="Y160" t="s">
        <v>682</v>
      </c>
      <c r="Z160" t="s">
        <v>0</v>
      </c>
      <c r="AA160" t="s">
        <v>0</v>
      </c>
    </row>
    <row r="161" spans="1:27" ht="14" customHeight="1" x14ac:dyDescent="0.25">
      <c r="A161" s="2">
        <v>46226</v>
      </c>
      <c r="B161" t="s">
        <v>655</v>
      </c>
      <c r="C161" t="s">
        <v>375</v>
      </c>
      <c r="D161" t="s">
        <v>683</v>
      </c>
      <c r="E161" t="s">
        <v>683</v>
      </c>
      <c r="F161" t="s">
        <v>180</v>
      </c>
      <c r="G161" s="2">
        <v>46142</v>
      </c>
      <c r="H161" s="2">
        <v>46142</v>
      </c>
      <c r="I161" t="s">
        <v>100</v>
      </c>
      <c r="J161" t="s">
        <v>101</v>
      </c>
      <c r="K161" t="s">
        <v>7</v>
      </c>
      <c r="L161" t="s">
        <v>8</v>
      </c>
      <c r="M161" s="3">
        <v>-64881</v>
      </c>
      <c r="N161" s="3" t="s">
        <v>1153</v>
      </c>
      <c r="O161" t="s">
        <v>684</v>
      </c>
      <c r="P161" t="s">
        <v>633</v>
      </c>
      <c r="Q161" t="s">
        <v>568</v>
      </c>
      <c r="R161" t="s">
        <v>9</v>
      </c>
      <c r="S161" t="s">
        <v>10</v>
      </c>
      <c r="T161" t="s">
        <v>11</v>
      </c>
      <c r="U161" t="s">
        <v>0</v>
      </c>
      <c r="V161" t="s">
        <v>11</v>
      </c>
      <c r="W161" t="s">
        <v>13</v>
      </c>
      <c r="X161" t="s">
        <v>32</v>
      </c>
      <c r="Y161" t="s">
        <v>685</v>
      </c>
      <c r="Z161" t="s">
        <v>0</v>
      </c>
      <c r="AA161" t="s">
        <v>0</v>
      </c>
    </row>
    <row r="162" spans="1:27" ht="14" customHeight="1" x14ac:dyDescent="0.25">
      <c r="A162" s="2">
        <v>46226</v>
      </c>
      <c r="B162" t="s">
        <v>662</v>
      </c>
      <c r="C162" t="s">
        <v>663</v>
      </c>
      <c r="D162" t="s">
        <v>686</v>
      </c>
      <c r="E162" t="s">
        <v>686</v>
      </c>
      <c r="F162" t="s">
        <v>180</v>
      </c>
      <c r="G162" s="2">
        <v>46142</v>
      </c>
      <c r="H162" s="2">
        <v>46142</v>
      </c>
      <c r="I162" t="s">
        <v>100</v>
      </c>
      <c r="J162" t="s">
        <v>101</v>
      </c>
      <c r="K162" t="s">
        <v>7</v>
      </c>
      <c r="L162" t="s">
        <v>8</v>
      </c>
      <c r="M162" s="3">
        <v>-6836.85</v>
      </c>
      <c r="N162" s="3" t="s">
        <v>1153</v>
      </c>
      <c r="O162" t="s">
        <v>687</v>
      </c>
      <c r="P162" t="s">
        <v>633</v>
      </c>
      <c r="Q162" t="s">
        <v>568</v>
      </c>
      <c r="R162" t="s">
        <v>9</v>
      </c>
      <c r="S162" t="s">
        <v>10</v>
      </c>
      <c r="T162" t="s">
        <v>395</v>
      </c>
      <c r="U162" t="s">
        <v>0</v>
      </c>
      <c r="V162" t="s">
        <v>395</v>
      </c>
      <c r="W162" t="s">
        <v>13</v>
      </c>
      <c r="X162" t="s">
        <v>32</v>
      </c>
      <c r="Y162" t="s">
        <v>688</v>
      </c>
      <c r="Z162" t="s">
        <v>0</v>
      </c>
      <c r="AA162" t="s">
        <v>0</v>
      </c>
    </row>
    <row r="163" spans="1:27" ht="14" customHeight="1" x14ac:dyDescent="0.25">
      <c r="A163" s="2">
        <v>46226</v>
      </c>
      <c r="B163" t="s">
        <v>689</v>
      </c>
      <c r="C163" t="s">
        <v>690</v>
      </c>
      <c r="D163" t="s">
        <v>691</v>
      </c>
      <c r="E163" t="s">
        <v>691</v>
      </c>
      <c r="F163" t="s">
        <v>180</v>
      </c>
      <c r="G163" s="2">
        <v>46142</v>
      </c>
      <c r="H163" s="2">
        <v>46142</v>
      </c>
      <c r="I163" t="s">
        <v>100</v>
      </c>
      <c r="J163" t="s">
        <v>101</v>
      </c>
      <c r="K163" t="s">
        <v>7</v>
      </c>
      <c r="L163" t="s">
        <v>8</v>
      </c>
      <c r="M163" s="3">
        <v>-57775</v>
      </c>
      <c r="N163" s="3" t="s">
        <v>1153</v>
      </c>
      <c r="O163" t="s">
        <v>692</v>
      </c>
      <c r="P163" t="s">
        <v>633</v>
      </c>
      <c r="Q163" t="s">
        <v>568</v>
      </c>
      <c r="R163" t="s">
        <v>9</v>
      </c>
      <c r="S163" t="s">
        <v>10</v>
      </c>
      <c r="T163" t="s">
        <v>35</v>
      </c>
      <c r="U163" t="s">
        <v>0</v>
      </c>
      <c r="V163" t="s">
        <v>35</v>
      </c>
      <c r="W163" t="s">
        <v>13</v>
      </c>
      <c r="X163" t="s">
        <v>32</v>
      </c>
      <c r="Y163" t="s">
        <v>693</v>
      </c>
      <c r="Z163" t="s">
        <v>0</v>
      </c>
      <c r="AA163" t="s">
        <v>0</v>
      </c>
    </row>
    <row r="164" spans="1:27" ht="14" customHeight="1" x14ac:dyDescent="0.25">
      <c r="A164" s="2">
        <v>46226</v>
      </c>
      <c r="B164" t="s">
        <v>662</v>
      </c>
      <c r="C164" t="s">
        <v>663</v>
      </c>
      <c r="D164" t="s">
        <v>694</v>
      </c>
      <c r="E164" t="s">
        <v>694</v>
      </c>
      <c r="F164" t="s">
        <v>180</v>
      </c>
      <c r="G164" s="2">
        <v>46173</v>
      </c>
      <c r="H164" s="2">
        <v>46173</v>
      </c>
      <c r="I164" t="s">
        <v>5</v>
      </c>
      <c r="J164" t="s">
        <v>6</v>
      </c>
      <c r="K164" t="s">
        <v>7</v>
      </c>
      <c r="L164" t="s">
        <v>8</v>
      </c>
      <c r="M164" s="3">
        <v>-6836.85</v>
      </c>
      <c r="N164" s="3" t="s">
        <v>1153</v>
      </c>
      <c r="O164" t="s">
        <v>695</v>
      </c>
      <c r="P164" t="s">
        <v>633</v>
      </c>
      <c r="Q164" t="s">
        <v>568</v>
      </c>
      <c r="R164" t="s">
        <v>9</v>
      </c>
      <c r="S164" t="s">
        <v>10</v>
      </c>
      <c r="T164" t="s">
        <v>395</v>
      </c>
      <c r="U164" t="s">
        <v>0</v>
      </c>
      <c r="V164" t="s">
        <v>395</v>
      </c>
      <c r="W164" t="s">
        <v>13</v>
      </c>
      <c r="X164" t="s">
        <v>32</v>
      </c>
      <c r="Y164" t="s">
        <v>696</v>
      </c>
      <c r="Z164" t="s">
        <v>0</v>
      </c>
      <c r="AA164" t="s">
        <v>0</v>
      </c>
    </row>
    <row r="165" spans="1:27" ht="14" customHeight="1" x14ac:dyDescent="0.25">
      <c r="A165" s="2">
        <v>46226</v>
      </c>
      <c r="B165" t="s">
        <v>689</v>
      </c>
      <c r="C165" t="s">
        <v>690</v>
      </c>
      <c r="D165" t="s">
        <v>697</v>
      </c>
      <c r="E165" t="s">
        <v>697</v>
      </c>
      <c r="F165" t="s">
        <v>180</v>
      </c>
      <c r="G165" s="2">
        <v>46173</v>
      </c>
      <c r="H165" s="2">
        <v>46173</v>
      </c>
      <c r="I165" t="s">
        <v>5</v>
      </c>
      <c r="J165" t="s">
        <v>6</v>
      </c>
      <c r="K165" t="s">
        <v>7</v>
      </c>
      <c r="L165" t="s">
        <v>8</v>
      </c>
      <c r="M165" s="3">
        <v>-28150</v>
      </c>
      <c r="N165" s="3" t="s">
        <v>1153</v>
      </c>
      <c r="O165" t="s">
        <v>698</v>
      </c>
      <c r="P165" t="s">
        <v>633</v>
      </c>
      <c r="Q165" t="s">
        <v>568</v>
      </c>
      <c r="R165" t="s">
        <v>9</v>
      </c>
      <c r="S165" t="s">
        <v>10</v>
      </c>
      <c r="T165" t="s">
        <v>35</v>
      </c>
      <c r="U165" t="s">
        <v>0</v>
      </c>
      <c r="V165" t="s">
        <v>35</v>
      </c>
      <c r="W165" t="s">
        <v>13</v>
      </c>
      <c r="X165" t="s">
        <v>32</v>
      </c>
      <c r="Y165" t="s">
        <v>699</v>
      </c>
      <c r="Z165" t="s">
        <v>0</v>
      </c>
      <c r="AA165" t="s">
        <v>0</v>
      </c>
    </row>
    <row r="166" spans="1:27" ht="14" customHeight="1" x14ac:dyDescent="0.25">
      <c r="A166" s="2">
        <v>46226</v>
      </c>
      <c r="B166" t="s">
        <v>662</v>
      </c>
      <c r="C166" t="s">
        <v>663</v>
      </c>
      <c r="D166" t="s">
        <v>700</v>
      </c>
      <c r="E166" t="s">
        <v>700</v>
      </c>
      <c r="F166" t="s">
        <v>180</v>
      </c>
      <c r="G166" s="2">
        <v>46203</v>
      </c>
      <c r="H166" s="2">
        <v>46203</v>
      </c>
      <c r="I166" t="s">
        <v>149</v>
      </c>
      <c r="J166" t="s">
        <v>150</v>
      </c>
      <c r="K166" t="s">
        <v>7</v>
      </c>
      <c r="L166" t="s">
        <v>8</v>
      </c>
      <c r="M166" s="3">
        <v>-6836.85</v>
      </c>
      <c r="N166" s="3" t="s">
        <v>1153</v>
      </c>
      <c r="O166" t="s">
        <v>701</v>
      </c>
      <c r="P166" t="s">
        <v>633</v>
      </c>
      <c r="Q166" t="s">
        <v>568</v>
      </c>
      <c r="R166" t="s">
        <v>9</v>
      </c>
      <c r="S166" t="s">
        <v>10</v>
      </c>
      <c r="T166" t="s">
        <v>395</v>
      </c>
      <c r="U166" t="s">
        <v>0</v>
      </c>
      <c r="V166" t="s">
        <v>395</v>
      </c>
      <c r="W166" t="s">
        <v>13</v>
      </c>
      <c r="X166" t="s">
        <v>32</v>
      </c>
      <c r="Y166" t="s">
        <v>702</v>
      </c>
      <c r="Z166" t="s">
        <v>0</v>
      </c>
      <c r="AA166" t="s">
        <v>0</v>
      </c>
    </row>
    <row r="167" spans="1:27" ht="14" customHeight="1" x14ac:dyDescent="0.25">
      <c r="A167" s="2">
        <v>46226</v>
      </c>
      <c r="B167" t="s">
        <v>689</v>
      </c>
      <c r="C167" t="s">
        <v>690</v>
      </c>
      <c r="D167" t="s">
        <v>703</v>
      </c>
      <c r="E167" t="s">
        <v>703</v>
      </c>
      <c r="F167" t="s">
        <v>180</v>
      </c>
      <c r="G167" s="2">
        <v>46203</v>
      </c>
      <c r="H167" s="2">
        <v>46203</v>
      </c>
      <c r="I167" t="s">
        <v>149</v>
      </c>
      <c r="J167" t="s">
        <v>150</v>
      </c>
      <c r="K167" t="s">
        <v>7</v>
      </c>
      <c r="L167" t="s">
        <v>8</v>
      </c>
      <c r="M167" s="3">
        <v>-13762</v>
      </c>
      <c r="N167" s="3" t="s">
        <v>1153</v>
      </c>
      <c r="O167" t="s">
        <v>704</v>
      </c>
      <c r="P167" t="s">
        <v>633</v>
      </c>
      <c r="Q167" t="s">
        <v>568</v>
      </c>
      <c r="R167" t="s">
        <v>9</v>
      </c>
      <c r="S167" t="s">
        <v>10</v>
      </c>
      <c r="T167" t="s">
        <v>35</v>
      </c>
      <c r="U167" t="s">
        <v>0</v>
      </c>
      <c r="V167" t="s">
        <v>35</v>
      </c>
      <c r="W167" t="s">
        <v>13</v>
      </c>
      <c r="X167" t="s">
        <v>32</v>
      </c>
      <c r="Y167" t="s">
        <v>705</v>
      </c>
      <c r="Z167" t="s">
        <v>0</v>
      </c>
      <c r="AA167" t="s">
        <v>0</v>
      </c>
    </row>
    <row r="168" spans="1:27" ht="14" customHeight="1" x14ac:dyDescent="0.25">
      <c r="A168" s="2">
        <v>46226</v>
      </c>
      <c r="B168" t="s">
        <v>706</v>
      </c>
      <c r="C168" t="s">
        <v>707</v>
      </c>
      <c r="D168" t="s">
        <v>708</v>
      </c>
      <c r="E168" t="s">
        <v>708</v>
      </c>
      <c r="F168" t="s">
        <v>180</v>
      </c>
      <c r="G168" s="2">
        <v>46203</v>
      </c>
      <c r="H168" s="2">
        <v>46203</v>
      </c>
      <c r="I168" t="s">
        <v>149</v>
      </c>
      <c r="J168" t="s">
        <v>150</v>
      </c>
      <c r="K168" t="s">
        <v>7</v>
      </c>
      <c r="L168" t="s">
        <v>8</v>
      </c>
      <c r="M168" s="3">
        <v>-33022.97</v>
      </c>
      <c r="N168" s="3" t="s">
        <v>1153</v>
      </c>
      <c r="O168" t="s">
        <v>709</v>
      </c>
      <c r="P168" t="s">
        <v>633</v>
      </c>
      <c r="Q168" t="s">
        <v>568</v>
      </c>
      <c r="R168" t="s">
        <v>9</v>
      </c>
      <c r="S168" t="s">
        <v>10</v>
      </c>
      <c r="T168" t="s">
        <v>395</v>
      </c>
      <c r="U168" t="s">
        <v>0</v>
      </c>
      <c r="V168" t="s">
        <v>395</v>
      </c>
      <c r="W168" t="s">
        <v>13</v>
      </c>
      <c r="X168" t="s">
        <v>32</v>
      </c>
      <c r="Y168" t="s">
        <v>710</v>
      </c>
      <c r="Z168" t="s">
        <v>0</v>
      </c>
      <c r="AA168" t="s">
        <v>0</v>
      </c>
    </row>
    <row r="169" spans="1:27" ht="14" customHeight="1" x14ac:dyDescent="0.25">
      <c r="A169" s="2">
        <v>46052</v>
      </c>
      <c r="B169" t="s">
        <v>711</v>
      </c>
      <c r="C169" t="s">
        <v>712</v>
      </c>
      <c r="D169" t="s">
        <v>713</v>
      </c>
      <c r="E169" t="s">
        <v>713</v>
      </c>
      <c r="F169" t="s">
        <v>27</v>
      </c>
      <c r="G169" s="2">
        <v>46034</v>
      </c>
      <c r="H169" s="2">
        <v>46049</v>
      </c>
      <c r="I169" t="s">
        <v>28</v>
      </c>
      <c r="J169" t="s">
        <v>29</v>
      </c>
      <c r="K169" t="s">
        <v>7</v>
      </c>
      <c r="L169" t="s">
        <v>30</v>
      </c>
      <c r="M169" s="3">
        <v>1500000</v>
      </c>
      <c r="N169" s="3" t="s">
        <v>1152</v>
      </c>
      <c r="O169" t="s">
        <v>715</v>
      </c>
      <c r="P169" t="s">
        <v>0</v>
      </c>
      <c r="Q169" t="s">
        <v>714</v>
      </c>
      <c r="R169" t="s">
        <v>9</v>
      </c>
      <c r="S169" t="s">
        <v>10</v>
      </c>
      <c r="T169" t="s">
        <v>11</v>
      </c>
      <c r="U169" t="s">
        <v>11</v>
      </c>
      <c r="V169" t="s">
        <v>11</v>
      </c>
      <c r="W169" t="s">
        <v>13</v>
      </c>
      <c r="X169" t="s">
        <v>32</v>
      </c>
      <c r="Y169" t="s">
        <v>0</v>
      </c>
      <c r="Z169" t="s">
        <v>0</v>
      </c>
      <c r="AA169" t="s">
        <v>0</v>
      </c>
    </row>
    <row r="170" spans="1:27" ht="14" customHeight="1" x14ac:dyDescent="0.25">
      <c r="A170" s="2">
        <v>46154</v>
      </c>
      <c r="B170" t="s">
        <v>716</v>
      </c>
      <c r="C170" t="s">
        <v>717</v>
      </c>
      <c r="D170" t="s">
        <v>718</v>
      </c>
      <c r="E170" t="s">
        <v>718</v>
      </c>
      <c r="F170" t="s">
        <v>180</v>
      </c>
      <c r="G170" s="2">
        <v>46053</v>
      </c>
      <c r="H170" s="2">
        <v>46053</v>
      </c>
      <c r="I170" t="s">
        <v>28</v>
      </c>
      <c r="J170" t="s">
        <v>29</v>
      </c>
      <c r="K170" t="s">
        <v>7</v>
      </c>
      <c r="L170" t="s">
        <v>8</v>
      </c>
      <c r="M170" s="3">
        <v>-353970.88</v>
      </c>
      <c r="N170" s="3" t="s">
        <v>1153</v>
      </c>
      <c r="O170" t="s">
        <v>719</v>
      </c>
      <c r="P170" t="s">
        <v>720</v>
      </c>
      <c r="Q170" t="s">
        <v>714</v>
      </c>
      <c r="R170" t="s">
        <v>9</v>
      </c>
      <c r="S170" t="s">
        <v>10</v>
      </c>
      <c r="T170" t="s">
        <v>11</v>
      </c>
      <c r="U170" t="s">
        <v>0</v>
      </c>
      <c r="V170" t="s">
        <v>11</v>
      </c>
      <c r="W170" t="s">
        <v>13</v>
      </c>
      <c r="X170" t="s">
        <v>32</v>
      </c>
      <c r="Y170" t="s">
        <v>721</v>
      </c>
      <c r="Z170" t="s">
        <v>0</v>
      </c>
      <c r="AA170" t="s">
        <v>0</v>
      </c>
    </row>
    <row r="171" spans="1:27" ht="14" customHeight="1" x14ac:dyDescent="0.25">
      <c r="A171" s="2">
        <v>46154</v>
      </c>
      <c r="B171" t="s">
        <v>716</v>
      </c>
      <c r="C171" t="s">
        <v>717</v>
      </c>
      <c r="D171" t="s">
        <v>722</v>
      </c>
      <c r="E171" t="s">
        <v>722</v>
      </c>
      <c r="F171" t="s">
        <v>180</v>
      </c>
      <c r="G171" s="2">
        <v>46081</v>
      </c>
      <c r="H171" s="2">
        <v>46081</v>
      </c>
      <c r="I171" t="s">
        <v>190</v>
      </c>
      <c r="J171" t="s">
        <v>191</v>
      </c>
      <c r="K171" t="s">
        <v>7</v>
      </c>
      <c r="L171" t="s">
        <v>8</v>
      </c>
      <c r="M171" s="3">
        <v>-306244.8</v>
      </c>
      <c r="N171" s="3" t="s">
        <v>1153</v>
      </c>
      <c r="O171" t="s">
        <v>723</v>
      </c>
      <c r="P171" t="s">
        <v>720</v>
      </c>
      <c r="Q171" t="s">
        <v>714</v>
      </c>
      <c r="R171" t="s">
        <v>9</v>
      </c>
      <c r="S171" t="s">
        <v>10</v>
      </c>
      <c r="T171" t="s">
        <v>11</v>
      </c>
      <c r="U171" t="s">
        <v>0</v>
      </c>
      <c r="V171" t="s">
        <v>11</v>
      </c>
      <c r="W171" t="s">
        <v>13</v>
      </c>
      <c r="X171" t="s">
        <v>32</v>
      </c>
      <c r="Y171" t="s">
        <v>724</v>
      </c>
      <c r="Z171" t="s">
        <v>0</v>
      </c>
      <c r="AA171" t="s">
        <v>0</v>
      </c>
    </row>
    <row r="172" spans="1:27" ht="14" customHeight="1" x14ac:dyDescent="0.25">
      <c r="A172" s="2">
        <v>46154</v>
      </c>
      <c r="B172" t="s">
        <v>716</v>
      </c>
      <c r="C172" t="s">
        <v>717</v>
      </c>
      <c r="D172" t="s">
        <v>725</v>
      </c>
      <c r="E172" t="s">
        <v>725</v>
      </c>
      <c r="F172" t="s">
        <v>180</v>
      </c>
      <c r="G172" s="2">
        <v>46112</v>
      </c>
      <c r="H172" s="2">
        <v>46112</v>
      </c>
      <c r="I172" t="s">
        <v>70</v>
      </c>
      <c r="J172" t="s">
        <v>71</v>
      </c>
      <c r="K172" t="s">
        <v>7</v>
      </c>
      <c r="L172" t="s">
        <v>8</v>
      </c>
      <c r="M172" s="3">
        <v>-161212.42000000001</v>
      </c>
      <c r="N172" s="3" t="s">
        <v>1153</v>
      </c>
      <c r="O172" t="s">
        <v>726</v>
      </c>
      <c r="P172" t="s">
        <v>720</v>
      </c>
      <c r="Q172" t="s">
        <v>714</v>
      </c>
      <c r="R172" t="s">
        <v>9</v>
      </c>
      <c r="S172" t="s">
        <v>10</v>
      </c>
      <c r="T172" t="s">
        <v>11</v>
      </c>
      <c r="U172" t="s">
        <v>0</v>
      </c>
      <c r="V172" t="s">
        <v>11</v>
      </c>
      <c r="W172" t="s">
        <v>13</v>
      </c>
      <c r="X172" t="s">
        <v>32</v>
      </c>
      <c r="Y172" t="s">
        <v>727</v>
      </c>
      <c r="Z172" t="s">
        <v>0</v>
      </c>
      <c r="AA172" t="s">
        <v>0</v>
      </c>
    </row>
    <row r="173" spans="1:27" ht="14" customHeight="1" x14ac:dyDescent="0.25">
      <c r="A173" s="2">
        <v>46226</v>
      </c>
      <c r="B173" t="s">
        <v>716</v>
      </c>
      <c r="C173" t="s">
        <v>717</v>
      </c>
      <c r="D173" t="s">
        <v>728</v>
      </c>
      <c r="E173" t="s">
        <v>728</v>
      </c>
      <c r="F173" t="s">
        <v>180</v>
      </c>
      <c r="G173" s="2">
        <v>46142</v>
      </c>
      <c r="H173" s="2">
        <v>46142</v>
      </c>
      <c r="I173" t="s">
        <v>100</v>
      </c>
      <c r="J173" t="s">
        <v>101</v>
      </c>
      <c r="K173" t="s">
        <v>7</v>
      </c>
      <c r="L173" t="s">
        <v>8</v>
      </c>
      <c r="M173" s="3">
        <v>-242513.96</v>
      </c>
      <c r="N173" s="3" t="s">
        <v>1153</v>
      </c>
      <c r="O173" t="s">
        <v>729</v>
      </c>
      <c r="P173" t="s">
        <v>720</v>
      </c>
      <c r="Q173" t="s">
        <v>714</v>
      </c>
      <c r="R173" t="s">
        <v>9</v>
      </c>
      <c r="S173" t="s">
        <v>10</v>
      </c>
      <c r="T173" t="s">
        <v>11</v>
      </c>
      <c r="U173" t="s">
        <v>0</v>
      </c>
      <c r="V173" t="s">
        <v>11</v>
      </c>
      <c r="W173" t="s">
        <v>13</v>
      </c>
      <c r="X173" t="s">
        <v>32</v>
      </c>
      <c r="Y173" t="s">
        <v>730</v>
      </c>
      <c r="Z173" t="s">
        <v>0</v>
      </c>
      <c r="AA173" t="s">
        <v>0</v>
      </c>
    </row>
    <row r="174" spans="1:27" ht="14" customHeight="1" x14ac:dyDescent="0.25">
      <c r="A174" s="2">
        <v>46226</v>
      </c>
      <c r="B174" t="s">
        <v>716</v>
      </c>
      <c r="C174" t="s">
        <v>717</v>
      </c>
      <c r="D174" t="s">
        <v>731</v>
      </c>
      <c r="E174" t="s">
        <v>731</v>
      </c>
      <c r="F174" t="s">
        <v>180</v>
      </c>
      <c r="G174" s="2">
        <v>46173</v>
      </c>
      <c r="H174" s="2">
        <v>46173</v>
      </c>
      <c r="I174" t="s">
        <v>5</v>
      </c>
      <c r="J174" t="s">
        <v>6</v>
      </c>
      <c r="K174" t="s">
        <v>7</v>
      </c>
      <c r="L174" t="s">
        <v>8</v>
      </c>
      <c r="M174" s="3">
        <v>-268907.27</v>
      </c>
      <c r="N174" s="3" t="s">
        <v>1153</v>
      </c>
      <c r="O174" t="s">
        <v>732</v>
      </c>
      <c r="P174" t="s">
        <v>720</v>
      </c>
      <c r="Q174" t="s">
        <v>714</v>
      </c>
      <c r="R174" t="s">
        <v>9</v>
      </c>
      <c r="S174" t="s">
        <v>10</v>
      </c>
      <c r="T174" t="s">
        <v>11</v>
      </c>
      <c r="U174" t="s">
        <v>0</v>
      </c>
      <c r="V174" t="s">
        <v>11</v>
      </c>
      <c r="W174" t="s">
        <v>13</v>
      </c>
      <c r="X174" t="s">
        <v>32</v>
      </c>
      <c r="Y174" t="s">
        <v>733</v>
      </c>
      <c r="Z174" t="s">
        <v>0</v>
      </c>
      <c r="AA174" t="s">
        <v>0</v>
      </c>
    </row>
    <row r="175" spans="1:27" ht="14" customHeight="1" x14ac:dyDescent="0.25">
      <c r="A175" s="2">
        <v>46077</v>
      </c>
      <c r="B175" t="s">
        <v>734</v>
      </c>
      <c r="C175" t="s">
        <v>25</v>
      </c>
      <c r="D175" t="s">
        <v>735</v>
      </c>
      <c r="E175" t="s">
        <v>735</v>
      </c>
      <c r="F175" t="s">
        <v>27</v>
      </c>
      <c r="G175" s="2">
        <v>46063</v>
      </c>
      <c r="H175" s="2">
        <v>46053</v>
      </c>
      <c r="I175" t="s">
        <v>28</v>
      </c>
      <c r="J175" t="s">
        <v>29</v>
      </c>
      <c r="K175" t="s">
        <v>7</v>
      </c>
      <c r="L175" t="s">
        <v>30</v>
      </c>
      <c r="M175" s="3">
        <v>91440</v>
      </c>
      <c r="N175" s="3" t="s">
        <v>1152</v>
      </c>
      <c r="O175" t="s">
        <v>737</v>
      </c>
      <c r="P175" t="s">
        <v>738</v>
      </c>
      <c r="Q175" t="s">
        <v>736</v>
      </c>
      <c r="R175" t="s">
        <v>9</v>
      </c>
      <c r="S175" t="s">
        <v>10</v>
      </c>
      <c r="T175" t="s">
        <v>11</v>
      </c>
      <c r="U175" t="s">
        <v>11</v>
      </c>
      <c r="V175" t="s">
        <v>11</v>
      </c>
      <c r="W175" t="s">
        <v>13</v>
      </c>
      <c r="X175" t="s">
        <v>32</v>
      </c>
      <c r="Y175" t="s">
        <v>0</v>
      </c>
      <c r="Z175" t="s">
        <v>0</v>
      </c>
      <c r="AA175" t="s">
        <v>0</v>
      </c>
    </row>
    <row r="176" spans="1:27" ht="14" customHeight="1" x14ac:dyDescent="0.25">
      <c r="A176" s="2">
        <v>46204</v>
      </c>
      <c r="B176" t="s">
        <v>739</v>
      </c>
      <c r="C176" t="s">
        <v>740</v>
      </c>
      <c r="D176" t="s">
        <v>741</v>
      </c>
      <c r="E176" t="s">
        <v>741</v>
      </c>
      <c r="F176" t="s">
        <v>27</v>
      </c>
      <c r="G176" s="2">
        <v>46153</v>
      </c>
      <c r="H176" s="2">
        <v>46198</v>
      </c>
      <c r="I176" t="s">
        <v>149</v>
      </c>
      <c r="J176" t="s">
        <v>150</v>
      </c>
      <c r="K176" t="s">
        <v>7</v>
      </c>
      <c r="L176" t="s">
        <v>30</v>
      </c>
      <c r="M176" s="3">
        <v>91440</v>
      </c>
      <c r="N176" s="3" t="s">
        <v>1152</v>
      </c>
      <c r="O176" t="s">
        <v>742</v>
      </c>
      <c r="P176" t="s">
        <v>743</v>
      </c>
      <c r="Q176" t="s">
        <v>736</v>
      </c>
      <c r="R176" t="s">
        <v>9</v>
      </c>
      <c r="S176" t="s">
        <v>10</v>
      </c>
      <c r="T176" t="s">
        <v>11</v>
      </c>
      <c r="U176" t="s">
        <v>11</v>
      </c>
      <c r="V176" t="s">
        <v>11</v>
      </c>
      <c r="W176" t="s">
        <v>13</v>
      </c>
      <c r="X176" t="s">
        <v>32</v>
      </c>
      <c r="Y176" t="s">
        <v>0</v>
      </c>
      <c r="Z176" t="s">
        <v>0</v>
      </c>
      <c r="AA176" t="s">
        <v>0</v>
      </c>
    </row>
    <row r="177" spans="1:27" ht="14" customHeight="1" x14ac:dyDescent="0.25">
      <c r="A177" s="2">
        <v>46154</v>
      </c>
      <c r="B177" t="s">
        <v>744</v>
      </c>
      <c r="C177" t="s">
        <v>745</v>
      </c>
      <c r="D177" t="s">
        <v>746</v>
      </c>
      <c r="E177" t="s">
        <v>746</v>
      </c>
      <c r="F177" t="s">
        <v>180</v>
      </c>
      <c r="G177" s="2">
        <v>46112</v>
      </c>
      <c r="H177" s="2">
        <v>46112</v>
      </c>
      <c r="I177" t="s">
        <v>70</v>
      </c>
      <c r="J177" t="s">
        <v>71</v>
      </c>
      <c r="K177" t="s">
        <v>7</v>
      </c>
      <c r="L177" t="s">
        <v>8</v>
      </c>
      <c r="M177" s="3">
        <v>-70104</v>
      </c>
      <c r="N177" s="3" t="s">
        <v>1153</v>
      </c>
      <c r="O177" t="s">
        <v>747</v>
      </c>
      <c r="P177" t="s">
        <v>748</v>
      </c>
      <c r="Q177" t="s">
        <v>736</v>
      </c>
      <c r="R177" t="s">
        <v>9</v>
      </c>
      <c r="S177" t="s">
        <v>10</v>
      </c>
      <c r="T177" t="s">
        <v>11</v>
      </c>
      <c r="U177" t="s">
        <v>0</v>
      </c>
      <c r="V177" t="s">
        <v>11</v>
      </c>
      <c r="W177" t="s">
        <v>13</v>
      </c>
      <c r="X177" t="s">
        <v>32</v>
      </c>
      <c r="Y177" t="s">
        <v>749</v>
      </c>
      <c r="Z177" t="s">
        <v>0</v>
      </c>
      <c r="AA177" t="s">
        <v>0</v>
      </c>
    </row>
    <row r="178" spans="1:27" ht="14" customHeight="1" x14ac:dyDescent="0.25">
      <c r="A178" s="2">
        <v>46226</v>
      </c>
      <c r="B178" t="s">
        <v>744</v>
      </c>
      <c r="C178" t="s">
        <v>745</v>
      </c>
      <c r="D178" t="s">
        <v>750</v>
      </c>
      <c r="E178" t="s">
        <v>750</v>
      </c>
      <c r="F178" t="s">
        <v>180</v>
      </c>
      <c r="G178" s="2">
        <v>46142</v>
      </c>
      <c r="H178" s="2">
        <v>46142</v>
      </c>
      <c r="I178" t="s">
        <v>100</v>
      </c>
      <c r="J178" t="s">
        <v>101</v>
      </c>
      <c r="K178" t="s">
        <v>7</v>
      </c>
      <c r="L178" t="s">
        <v>8</v>
      </c>
      <c r="M178" s="3">
        <v>-35560</v>
      </c>
      <c r="N178" s="3" t="s">
        <v>1153</v>
      </c>
      <c r="O178" t="s">
        <v>751</v>
      </c>
      <c r="P178" t="s">
        <v>748</v>
      </c>
      <c r="Q178" t="s">
        <v>736</v>
      </c>
      <c r="R178" t="s">
        <v>9</v>
      </c>
      <c r="S178" t="s">
        <v>10</v>
      </c>
      <c r="T178" t="s">
        <v>11</v>
      </c>
      <c r="U178" t="s">
        <v>0</v>
      </c>
      <c r="V178" t="s">
        <v>11</v>
      </c>
      <c r="W178" t="s">
        <v>13</v>
      </c>
      <c r="X178" t="s">
        <v>32</v>
      </c>
      <c r="Y178" t="s">
        <v>752</v>
      </c>
      <c r="Z178" t="s">
        <v>0</v>
      </c>
      <c r="AA178" t="s">
        <v>0</v>
      </c>
    </row>
    <row r="179" spans="1:27" ht="14" customHeight="1" x14ac:dyDescent="0.25">
      <c r="A179" s="2">
        <v>46226</v>
      </c>
      <c r="B179" t="s">
        <v>744</v>
      </c>
      <c r="C179" t="s">
        <v>745</v>
      </c>
      <c r="D179" t="s">
        <v>753</v>
      </c>
      <c r="E179" t="s">
        <v>753</v>
      </c>
      <c r="F179" t="s">
        <v>180</v>
      </c>
      <c r="G179" s="2">
        <v>46173</v>
      </c>
      <c r="H179" s="2">
        <v>46173</v>
      </c>
      <c r="I179" t="s">
        <v>5</v>
      </c>
      <c r="J179" t="s">
        <v>6</v>
      </c>
      <c r="K179" t="s">
        <v>7</v>
      </c>
      <c r="L179" t="s">
        <v>8</v>
      </c>
      <c r="M179" s="3">
        <v>-4064</v>
      </c>
      <c r="N179" s="3" t="s">
        <v>1153</v>
      </c>
      <c r="O179" t="s">
        <v>754</v>
      </c>
      <c r="P179" t="s">
        <v>748</v>
      </c>
      <c r="Q179" t="s">
        <v>736</v>
      </c>
      <c r="R179" t="s">
        <v>9</v>
      </c>
      <c r="S179" t="s">
        <v>10</v>
      </c>
      <c r="T179" t="s">
        <v>11</v>
      </c>
      <c r="U179" t="s">
        <v>0</v>
      </c>
      <c r="V179" t="s">
        <v>11</v>
      </c>
      <c r="W179" t="s">
        <v>13</v>
      </c>
      <c r="X179" t="s">
        <v>32</v>
      </c>
      <c r="Y179" t="s">
        <v>755</v>
      </c>
      <c r="Z179" t="s">
        <v>0</v>
      </c>
      <c r="AA179" t="s">
        <v>0</v>
      </c>
    </row>
    <row r="180" spans="1:27" ht="14" customHeight="1" x14ac:dyDescent="0.25">
      <c r="A180" s="2">
        <v>46226</v>
      </c>
      <c r="B180" t="s">
        <v>744</v>
      </c>
      <c r="C180" t="s">
        <v>745</v>
      </c>
      <c r="D180" t="s">
        <v>756</v>
      </c>
      <c r="E180" t="s">
        <v>756</v>
      </c>
      <c r="F180" t="s">
        <v>180</v>
      </c>
      <c r="G180" s="2">
        <v>46203</v>
      </c>
      <c r="H180" s="2">
        <v>46203</v>
      </c>
      <c r="I180" t="s">
        <v>149</v>
      </c>
      <c r="J180" t="s">
        <v>150</v>
      </c>
      <c r="K180" t="s">
        <v>7</v>
      </c>
      <c r="L180" t="s">
        <v>8</v>
      </c>
      <c r="M180" s="3">
        <v>-20320</v>
      </c>
      <c r="N180" s="3" t="s">
        <v>1153</v>
      </c>
      <c r="O180" t="s">
        <v>757</v>
      </c>
      <c r="P180" t="s">
        <v>748</v>
      </c>
      <c r="Q180" t="s">
        <v>736</v>
      </c>
      <c r="R180" t="s">
        <v>9</v>
      </c>
      <c r="S180" t="s">
        <v>10</v>
      </c>
      <c r="T180" t="s">
        <v>11</v>
      </c>
      <c r="U180" t="s">
        <v>0</v>
      </c>
      <c r="V180" t="s">
        <v>11</v>
      </c>
      <c r="W180" t="s">
        <v>13</v>
      </c>
      <c r="X180" t="s">
        <v>32</v>
      </c>
      <c r="Y180" t="s">
        <v>758</v>
      </c>
      <c r="Z180" t="s">
        <v>0</v>
      </c>
      <c r="AA180" t="s">
        <v>0</v>
      </c>
    </row>
    <row r="181" spans="1:27" ht="14" customHeight="1" x14ac:dyDescent="0.25">
      <c r="A181" s="2">
        <v>46150</v>
      </c>
      <c r="B181" t="s">
        <v>759</v>
      </c>
      <c r="C181" t="s">
        <v>760</v>
      </c>
      <c r="D181" t="s">
        <v>761</v>
      </c>
      <c r="E181" t="s">
        <v>761</v>
      </c>
      <c r="F181" t="s">
        <v>27</v>
      </c>
      <c r="G181" s="2">
        <v>46128</v>
      </c>
      <c r="H181" s="2">
        <v>46149</v>
      </c>
      <c r="I181" t="s">
        <v>5</v>
      </c>
      <c r="J181" t="s">
        <v>6</v>
      </c>
      <c r="K181" t="s">
        <v>7</v>
      </c>
      <c r="L181" t="s">
        <v>30</v>
      </c>
      <c r="M181" s="3">
        <v>732000</v>
      </c>
      <c r="N181" s="3" t="s">
        <v>1152</v>
      </c>
      <c r="O181" t="s">
        <v>763</v>
      </c>
      <c r="P181" t="s">
        <v>764</v>
      </c>
      <c r="Q181" t="s">
        <v>762</v>
      </c>
      <c r="R181" t="s">
        <v>9</v>
      </c>
      <c r="S181" t="s">
        <v>10</v>
      </c>
      <c r="T181" t="s">
        <v>11</v>
      </c>
      <c r="U181" t="s">
        <v>11</v>
      </c>
      <c r="V181" t="s">
        <v>11</v>
      </c>
      <c r="W181" t="s">
        <v>13</v>
      </c>
      <c r="X181" t="s">
        <v>32</v>
      </c>
      <c r="Y181" t="s">
        <v>0</v>
      </c>
      <c r="Z181" t="s">
        <v>0</v>
      </c>
      <c r="AA181" t="s">
        <v>0</v>
      </c>
    </row>
    <row r="182" spans="1:27" ht="14" customHeight="1" x14ac:dyDescent="0.25">
      <c r="A182" s="2">
        <v>46204</v>
      </c>
      <c r="B182" t="s">
        <v>765</v>
      </c>
      <c r="C182" t="s">
        <v>740</v>
      </c>
      <c r="D182" t="s">
        <v>766</v>
      </c>
      <c r="E182" t="s">
        <v>766</v>
      </c>
      <c r="F182" t="s">
        <v>27</v>
      </c>
      <c r="G182" s="2">
        <v>46168</v>
      </c>
      <c r="H182" s="2">
        <v>46198</v>
      </c>
      <c r="I182" t="s">
        <v>149</v>
      </c>
      <c r="J182" t="s">
        <v>150</v>
      </c>
      <c r="K182" t="s">
        <v>7</v>
      </c>
      <c r="L182" t="s">
        <v>30</v>
      </c>
      <c r="M182" s="3">
        <v>91440</v>
      </c>
      <c r="N182" s="3" t="s">
        <v>1152</v>
      </c>
      <c r="O182" t="s">
        <v>737</v>
      </c>
      <c r="P182" t="s">
        <v>738</v>
      </c>
      <c r="Q182" t="s">
        <v>762</v>
      </c>
      <c r="R182" t="s">
        <v>9</v>
      </c>
      <c r="S182" t="s">
        <v>10</v>
      </c>
      <c r="T182" t="s">
        <v>11</v>
      </c>
      <c r="U182" t="s">
        <v>11</v>
      </c>
      <c r="V182" t="s">
        <v>11</v>
      </c>
      <c r="W182" t="s">
        <v>13</v>
      </c>
      <c r="X182" t="s">
        <v>32</v>
      </c>
      <c r="Y182" t="s">
        <v>0</v>
      </c>
      <c r="Z182" t="s">
        <v>0</v>
      </c>
      <c r="AA182" t="s">
        <v>0</v>
      </c>
    </row>
    <row r="183" spans="1:27" ht="14" customHeight="1" x14ac:dyDescent="0.25">
      <c r="A183" s="2">
        <v>46226</v>
      </c>
      <c r="B183" t="s">
        <v>767</v>
      </c>
      <c r="C183" t="s">
        <v>768</v>
      </c>
      <c r="D183" t="s">
        <v>769</v>
      </c>
      <c r="E183" t="s">
        <v>769</v>
      </c>
      <c r="F183" t="s">
        <v>180</v>
      </c>
      <c r="G183" s="2">
        <v>46203</v>
      </c>
      <c r="H183" s="2">
        <v>46203</v>
      </c>
      <c r="I183" t="s">
        <v>149</v>
      </c>
      <c r="J183" t="s">
        <v>150</v>
      </c>
      <c r="K183" t="s">
        <v>7</v>
      </c>
      <c r="L183" t="s">
        <v>8</v>
      </c>
      <c r="M183" s="3">
        <v>-88900</v>
      </c>
      <c r="N183" s="3" t="s">
        <v>1153</v>
      </c>
      <c r="O183" t="s">
        <v>757</v>
      </c>
      <c r="P183" t="s">
        <v>770</v>
      </c>
      <c r="Q183" t="s">
        <v>762</v>
      </c>
      <c r="R183" t="s">
        <v>9</v>
      </c>
      <c r="S183" t="s">
        <v>10</v>
      </c>
      <c r="T183" t="s">
        <v>11</v>
      </c>
      <c r="U183" t="s">
        <v>0</v>
      </c>
      <c r="V183" t="s">
        <v>11</v>
      </c>
      <c r="W183" t="s">
        <v>13</v>
      </c>
      <c r="X183" t="s">
        <v>32</v>
      </c>
      <c r="Y183" t="s">
        <v>771</v>
      </c>
      <c r="Z183" t="s">
        <v>0</v>
      </c>
      <c r="AA183" t="s">
        <v>0</v>
      </c>
    </row>
    <row r="184" spans="1:27" ht="14" customHeight="1" x14ac:dyDescent="0.25">
      <c r="A184" s="2">
        <v>46111</v>
      </c>
      <c r="B184" t="s">
        <v>772</v>
      </c>
      <c r="C184" t="s">
        <v>426</v>
      </c>
      <c r="D184" t="s">
        <v>773</v>
      </c>
      <c r="E184" t="s">
        <v>773</v>
      </c>
      <c r="F184" t="s">
        <v>27</v>
      </c>
      <c r="G184" s="2">
        <v>46092</v>
      </c>
      <c r="H184" s="2">
        <v>46107</v>
      </c>
      <c r="I184" t="s">
        <v>70</v>
      </c>
      <c r="J184" t="s">
        <v>71</v>
      </c>
      <c r="K184" t="s">
        <v>7</v>
      </c>
      <c r="L184" t="s">
        <v>30</v>
      </c>
      <c r="M184" s="3">
        <v>91440</v>
      </c>
      <c r="N184" s="3" t="s">
        <v>1152</v>
      </c>
      <c r="O184" t="s">
        <v>775</v>
      </c>
      <c r="P184" t="s">
        <v>776</v>
      </c>
      <c r="Q184" t="s">
        <v>774</v>
      </c>
      <c r="R184" t="s">
        <v>9</v>
      </c>
      <c r="S184" t="s">
        <v>10</v>
      </c>
      <c r="T184" t="s">
        <v>11</v>
      </c>
      <c r="U184" t="s">
        <v>11</v>
      </c>
      <c r="V184" t="s">
        <v>11</v>
      </c>
      <c r="W184" t="s">
        <v>13</v>
      </c>
      <c r="X184" t="s">
        <v>32</v>
      </c>
      <c r="Y184" t="s">
        <v>0</v>
      </c>
      <c r="Z184" t="s">
        <v>0</v>
      </c>
      <c r="AA184" t="s">
        <v>0</v>
      </c>
    </row>
    <row r="185" spans="1:27" ht="14" customHeight="1" x14ac:dyDescent="0.25">
      <c r="A185" s="2">
        <v>46226</v>
      </c>
      <c r="B185" t="s">
        <v>777</v>
      </c>
      <c r="C185" t="s">
        <v>778</v>
      </c>
      <c r="D185" t="s">
        <v>779</v>
      </c>
      <c r="E185" t="s">
        <v>779</v>
      </c>
      <c r="F185" t="s">
        <v>180</v>
      </c>
      <c r="G185" s="2">
        <v>46142</v>
      </c>
      <c r="H185" s="2">
        <v>46142</v>
      </c>
      <c r="I185" t="s">
        <v>100</v>
      </c>
      <c r="J185" t="s">
        <v>101</v>
      </c>
      <c r="K185" t="s">
        <v>7</v>
      </c>
      <c r="L185" t="s">
        <v>8</v>
      </c>
      <c r="M185" s="3">
        <v>-7112</v>
      </c>
      <c r="N185" s="3" t="s">
        <v>1153</v>
      </c>
      <c r="O185" t="s">
        <v>780</v>
      </c>
      <c r="P185" t="s">
        <v>781</v>
      </c>
      <c r="Q185" t="s">
        <v>774</v>
      </c>
      <c r="R185" t="s">
        <v>9</v>
      </c>
      <c r="S185" t="s">
        <v>10</v>
      </c>
      <c r="T185" t="s">
        <v>11</v>
      </c>
      <c r="U185" t="s">
        <v>0</v>
      </c>
      <c r="V185" t="s">
        <v>11</v>
      </c>
      <c r="W185" t="s">
        <v>13</v>
      </c>
      <c r="X185" t="s">
        <v>32</v>
      </c>
      <c r="Y185" t="s">
        <v>782</v>
      </c>
      <c r="Z185" t="s">
        <v>0</v>
      </c>
      <c r="AA185" t="s">
        <v>0</v>
      </c>
    </row>
    <row r="186" spans="1:27" ht="14" customHeight="1" x14ac:dyDescent="0.25">
      <c r="A186" s="2">
        <v>46226</v>
      </c>
      <c r="B186" t="s">
        <v>777</v>
      </c>
      <c r="C186" t="s">
        <v>778</v>
      </c>
      <c r="D186" t="s">
        <v>783</v>
      </c>
      <c r="E186" t="s">
        <v>783</v>
      </c>
      <c r="F186" t="s">
        <v>180</v>
      </c>
      <c r="G186" s="2">
        <v>46173</v>
      </c>
      <c r="H186" s="2">
        <v>46173</v>
      </c>
      <c r="I186" t="s">
        <v>5</v>
      </c>
      <c r="J186" t="s">
        <v>6</v>
      </c>
      <c r="K186" t="s">
        <v>7</v>
      </c>
      <c r="L186" t="s">
        <v>8</v>
      </c>
      <c r="M186" s="3">
        <v>-12192</v>
      </c>
      <c r="N186" s="3" t="s">
        <v>1153</v>
      </c>
      <c r="O186" t="s">
        <v>784</v>
      </c>
      <c r="P186" t="s">
        <v>781</v>
      </c>
      <c r="Q186" t="s">
        <v>774</v>
      </c>
      <c r="R186" t="s">
        <v>9</v>
      </c>
      <c r="S186" t="s">
        <v>10</v>
      </c>
      <c r="T186" t="s">
        <v>11</v>
      </c>
      <c r="U186" t="s">
        <v>0</v>
      </c>
      <c r="V186" t="s">
        <v>11</v>
      </c>
      <c r="W186" t="s">
        <v>13</v>
      </c>
      <c r="X186" t="s">
        <v>32</v>
      </c>
      <c r="Y186" t="s">
        <v>785</v>
      </c>
      <c r="Z186" t="s">
        <v>0</v>
      </c>
      <c r="AA186" t="s">
        <v>0</v>
      </c>
    </row>
    <row r="187" spans="1:27" ht="14" customHeight="1" x14ac:dyDescent="0.25">
      <c r="A187" s="2">
        <v>46226</v>
      </c>
      <c r="B187" t="s">
        <v>777</v>
      </c>
      <c r="C187" t="s">
        <v>778</v>
      </c>
      <c r="D187" t="s">
        <v>786</v>
      </c>
      <c r="E187" t="s">
        <v>786</v>
      </c>
      <c r="F187" t="s">
        <v>180</v>
      </c>
      <c r="G187" s="2">
        <v>46203</v>
      </c>
      <c r="H187" s="2">
        <v>46203</v>
      </c>
      <c r="I187" t="s">
        <v>149</v>
      </c>
      <c r="J187" t="s">
        <v>150</v>
      </c>
      <c r="K187" t="s">
        <v>7</v>
      </c>
      <c r="L187" t="s">
        <v>8</v>
      </c>
      <c r="M187" s="3">
        <v>-38608</v>
      </c>
      <c r="N187" s="3" t="s">
        <v>1153</v>
      </c>
      <c r="O187" t="s">
        <v>787</v>
      </c>
      <c r="P187" t="s">
        <v>781</v>
      </c>
      <c r="Q187" t="s">
        <v>774</v>
      </c>
      <c r="R187" t="s">
        <v>9</v>
      </c>
      <c r="S187" t="s">
        <v>10</v>
      </c>
      <c r="T187" t="s">
        <v>11</v>
      </c>
      <c r="U187" t="s">
        <v>0</v>
      </c>
      <c r="V187" t="s">
        <v>11</v>
      </c>
      <c r="W187" t="s">
        <v>13</v>
      </c>
      <c r="X187" t="s">
        <v>32</v>
      </c>
      <c r="Y187" t="s">
        <v>788</v>
      </c>
      <c r="Z187" t="s">
        <v>0</v>
      </c>
      <c r="AA187" t="s">
        <v>0</v>
      </c>
    </row>
    <row r="188" spans="1:27" ht="14" customHeight="1" x14ac:dyDescent="0.25">
      <c r="A188" s="2">
        <v>46077</v>
      </c>
      <c r="B188" t="s">
        <v>789</v>
      </c>
      <c r="C188" t="s">
        <v>25</v>
      </c>
      <c r="D188" t="s">
        <v>790</v>
      </c>
      <c r="E188" t="s">
        <v>790</v>
      </c>
      <c r="F188" t="s">
        <v>27</v>
      </c>
      <c r="G188" s="2">
        <v>46034</v>
      </c>
      <c r="H188" s="2">
        <v>46053</v>
      </c>
      <c r="I188" t="s">
        <v>28</v>
      </c>
      <c r="J188" t="s">
        <v>29</v>
      </c>
      <c r="K188" t="s">
        <v>7</v>
      </c>
      <c r="L188" t="s">
        <v>30</v>
      </c>
      <c r="M188" s="3">
        <v>91440</v>
      </c>
      <c r="N188" s="3" t="s">
        <v>1152</v>
      </c>
      <c r="O188" t="s">
        <v>792</v>
      </c>
      <c r="P188" t="s">
        <v>738</v>
      </c>
      <c r="Q188" t="s">
        <v>791</v>
      </c>
      <c r="R188" t="s">
        <v>9</v>
      </c>
      <c r="S188" t="s">
        <v>10</v>
      </c>
      <c r="T188" t="s">
        <v>11</v>
      </c>
      <c r="U188" t="s">
        <v>11</v>
      </c>
      <c r="V188" t="s">
        <v>11</v>
      </c>
      <c r="W188" t="s">
        <v>13</v>
      </c>
      <c r="X188" t="s">
        <v>32</v>
      </c>
      <c r="Y188" t="s">
        <v>0</v>
      </c>
      <c r="Z188" t="s">
        <v>0</v>
      </c>
      <c r="AA188" t="s">
        <v>0</v>
      </c>
    </row>
    <row r="189" spans="1:27" ht="14" customHeight="1" x14ac:dyDescent="0.25">
      <c r="A189" s="2">
        <v>46127</v>
      </c>
      <c r="B189" t="s">
        <v>793</v>
      </c>
      <c r="C189" t="s">
        <v>109</v>
      </c>
      <c r="D189" t="s">
        <v>794</v>
      </c>
      <c r="E189" t="s">
        <v>794</v>
      </c>
      <c r="F189" t="s">
        <v>27</v>
      </c>
      <c r="G189" s="2">
        <v>46098</v>
      </c>
      <c r="H189" s="2">
        <v>46126</v>
      </c>
      <c r="I189" t="s">
        <v>100</v>
      </c>
      <c r="J189" t="s">
        <v>101</v>
      </c>
      <c r="K189" t="s">
        <v>7</v>
      </c>
      <c r="L189" t="s">
        <v>30</v>
      </c>
      <c r="M189" s="3">
        <v>142597.98000000001</v>
      </c>
      <c r="N189" s="3" t="s">
        <v>1152</v>
      </c>
      <c r="O189" t="s">
        <v>795</v>
      </c>
      <c r="P189" t="s">
        <v>796</v>
      </c>
      <c r="Q189" t="s">
        <v>791</v>
      </c>
      <c r="R189" t="s">
        <v>9</v>
      </c>
      <c r="S189" t="s">
        <v>10</v>
      </c>
      <c r="T189" t="s">
        <v>11</v>
      </c>
      <c r="U189" t="s">
        <v>11</v>
      </c>
      <c r="V189" t="s">
        <v>11</v>
      </c>
      <c r="W189" t="s">
        <v>13</v>
      </c>
      <c r="X189" t="s">
        <v>32</v>
      </c>
      <c r="Y189" t="s">
        <v>0</v>
      </c>
      <c r="Z189" t="s">
        <v>0</v>
      </c>
      <c r="AA189" t="s">
        <v>0</v>
      </c>
    </row>
    <row r="190" spans="1:27" ht="14" customHeight="1" x14ac:dyDescent="0.25">
      <c r="A190" s="2">
        <v>46164</v>
      </c>
      <c r="B190" t="s">
        <v>797</v>
      </c>
      <c r="C190" t="s">
        <v>450</v>
      </c>
      <c r="D190" t="s">
        <v>798</v>
      </c>
      <c r="E190" t="s">
        <v>798</v>
      </c>
      <c r="F190" t="s">
        <v>27</v>
      </c>
      <c r="G190" s="2">
        <v>46135</v>
      </c>
      <c r="H190" s="2">
        <v>46164</v>
      </c>
      <c r="I190" t="s">
        <v>5</v>
      </c>
      <c r="J190" t="s">
        <v>6</v>
      </c>
      <c r="K190" t="s">
        <v>7</v>
      </c>
      <c r="L190" t="s">
        <v>30</v>
      </c>
      <c r="M190" s="3">
        <v>153500</v>
      </c>
      <c r="N190" s="3" t="s">
        <v>1152</v>
      </c>
      <c r="O190" t="s">
        <v>799</v>
      </c>
      <c r="P190" t="s">
        <v>800</v>
      </c>
      <c r="Q190" t="s">
        <v>791</v>
      </c>
      <c r="R190" t="s">
        <v>9</v>
      </c>
      <c r="S190" t="s">
        <v>10</v>
      </c>
      <c r="T190" t="s">
        <v>11</v>
      </c>
      <c r="U190" t="s">
        <v>11</v>
      </c>
      <c r="V190" t="s">
        <v>11</v>
      </c>
      <c r="W190" t="s">
        <v>13</v>
      </c>
      <c r="X190" t="s">
        <v>32</v>
      </c>
      <c r="Y190" t="s">
        <v>0</v>
      </c>
      <c r="Z190" t="s">
        <v>0</v>
      </c>
      <c r="AA190" t="s">
        <v>0</v>
      </c>
    </row>
    <row r="191" spans="1:27" ht="14" customHeight="1" x14ac:dyDescent="0.25">
      <c r="A191" s="2">
        <v>46197</v>
      </c>
      <c r="B191" t="s">
        <v>801</v>
      </c>
      <c r="C191" t="s">
        <v>802</v>
      </c>
      <c r="D191" t="s">
        <v>803</v>
      </c>
      <c r="E191" t="s">
        <v>803</v>
      </c>
      <c r="F191" t="s">
        <v>27</v>
      </c>
      <c r="G191" s="2">
        <v>46163</v>
      </c>
      <c r="H191" s="2">
        <v>46191</v>
      </c>
      <c r="I191" t="s">
        <v>149</v>
      </c>
      <c r="J191" t="s">
        <v>150</v>
      </c>
      <c r="K191" t="s">
        <v>7</v>
      </c>
      <c r="L191" t="s">
        <v>30</v>
      </c>
      <c r="M191" s="3">
        <v>40216</v>
      </c>
      <c r="N191" s="3" t="s">
        <v>1152</v>
      </c>
      <c r="O191" t="s">
        <v>804</v>
      </c>
      <c r="P191" t="s">
        <v>805</v>
      </c>
      <c r="Q191" t="s">
        <v>791</v>
      </c>
      <c r="R191" t="s">
        <v>9</v>
      </c>
      <c r="S191" t="s">
        <v>10</v>
      </c>
      <c r="T191" t="s">
        <v>11</v>
      </c>
      <c r="U191" t="s">
        <v>11</v>
      </c>
      <c r="V191" t="s">
        <v>11</v>
      </c>
      <c r="W191" t="s">
        <v>13</v>
      </c>
      <c r="X191" t="s">
        <v>32</v>
      </c>
      <c r="Y191" t="s">
        <v>0</v>
      </c>
      <c r="Z191" t="s">
        <v>0</v>
      </c>
      <c r="AA191" t="s">
        <v>0</v>
      </c>
    </row>
    <row r="192" spans="1:27" ht="14" customHeight="1" x14ac:dyDescent="0.25">
      <c r="A192" s="2">
        <v>46127</v>
      </c>
      <c r="B192" t="s">
        <v>794</v>
      </c>
      <c r="C192" t="s">
        <v>806</v>
      </c>
      <c r="D192" t="s">
        <v>807</v>
      </c>
      <c r="E192" t="s">
        <v>807</v>
      </c>
      <c r="F192" t="s">
        <v>180</v>
      </c>
      <c r="G192" s="2">
        <v>46121</v>
      </c>
      <c r="H192" s="2">
        <v>46126</v>
      </c>
      <c r="I192" t="s">
        <v>100</v>
      </c>
      <c r="J192" t="s">
        <v>101</v>
      </c>
      <c r="K192" t="s">
        <v>7</v>
      </c>
      <c r="L192" t="s">
        <v>8</v>
      </c>
      <c r="M192" s="3">
        <v>-142597.98000000001</v>
      </c>
      <c r="N192" s="3" t="s">
        <v>1153</v>
      </c>
      <c r="O192" t="s">
        <v>808</v>
      </c>
      <c r="P192" t="s">
        <v>809</v>
      </c>
      <c r="Q192" t="s">
        <v>791</v>
      </c>
      <c r="R192" t="s">
        <v>9</v>
      </c>
      <c r="S192" t="s">
        <v>10</v>
      </c>
      <c r="T192" t="s">
        <v>11</v>
      </c>
      <c r="U192" t="s">
        <v>0</v>
      </c>
      <c r="V192" t="s">
        <v>11</v>
      </c>
      <c r="W192" t="s">
        <v>13</v>
      </c>
      <c r="X192" t="s">
        <v>32</v>
      </c>
      <c r="Y192" t="s">
        <v>810</v>
      </c>
      <c r="Z192" t="s">
        <v>0</v>
      </c>
      <c r="AA192" t="s">
        <v>0</v>
      </c>
    </row>
    <row r="193" spans="1:27" ht="14" customHeight="1" x14ac:dyDescent="0.25">
      <c r="A193" s="2">
        <v>46154</v>
      </c>
      <c r="B193" t="s">
        <v>811</v>
      </c>
      <c r="C193" t="s">
        <v>812</v>
      </c>
      <c r="D193" t="s">
        <v>813</v>
      </c>
      <c r="E193" t="s">
        <v>813</v>
      </c>
      <c r="F193" t="s">
        <v>180</v>
      </c>
      <c r="G193" s="2">
        <v>46112</v>
      </c>
      <c r="H193" s="2">
        <v>46112</v>
      </c>
      <c r="I193" t="s">
        <v>70</v>
      </c>
      <c r="J193" t="s">
        <v>71</v>
      </c>
      <c r="K193" t="s">
        <v>7</v>
      </c>
      <c r="L193" t="s">
        <v>8</v>
      </c>
      <c r="M193" s="3">
        <v>-5388</v>
      </c>
      <c r="N193" s="3" t="s">
        <v>1153</v>
      </c>
      <c r="O193" t="s">
        <v>747</v>
      </c>
      <c r="P193" t="s">
        <v>809</v>
      </c>
      <c r="Q193" t="s">
        <v>791</v>
      </c>
      <c r="R193" t="s">
        <v>9</v>
      </c>
      <c r="S193" t="s">
        <v>10</v>
      </c>
      <c r="T193" t="s">
        <v>11</v>
      </c>
      <c r="U193" t="s">
        <v>0</v>
      </c>
      <c r="V193" t="s">
        <v>11</v>
      </c>
      <c r="W193" t="s">
        <v>13</v>
      </c>
      <c r="X193" t="s">
        <v>32</v>
      </c>
      <c r="Y193" t="s">
        <v>814</v>
      </c>
      <c r="Z193" t="s">
        <v>0</v>
      </c>
      <c r="AA193" t="s">
        <v>0</v>
      </c>
    </row>
    <row r="194" spans="1:27" ht="14" customHeight="1" x14ac:dyDescent="0.25">
      <c r="A194" s="2">
        <v>46197</v>
      </c>
      <c r="B194" t="s">
        <v>803</v>
      </c>
      <c r="C194" t="s">
        <v>815</v>
      </c>
      <c r="D194" t="s">
        <v>816</v>
      </c>
      <c r="E194" t="s">
        <v>816</v>
      </c>
      <c r="F194" t="s">
        <v>180</v>
      </c>
      <c r="G194" s="2">
        <v>46188</v>
      </c>
      <c r="H194" s="2">
        <v>46191</v>
      </c>
      <c r="I194" t="s">
        <v>149</v>
      </c>
      <c r="J194" t="s">
        <v>150</v>
      </c>
      <c r="K194" t="s">
        <v>7</v>
      </c>
      <c r="L194" t="s">
        <v>8</v>
      </c>
      <c r="M194" s="3">
        <v>-40216</v>
      </c>
      <c r="N194" s="3" t="s">
        <v>1153</v>
      </c>
      <c r="O194" t="s">
        <v>817</v>
      </c>
      <c r="P194" t="s">
        <v>809</v>
      </c>
      <c r="Q194" t="s">
        <v>791</v>
      </c>
      <c r="R194" t="s">
        <v>9</v>
      </c>
      <c r="S194" t="s">
        <v>10</v>
      </c>
      <c r="T194" t="s">
        <v>11</v>
      </c>
      <c r="U194" t="s">
        <v>0</v>
      </c>
      <c r="V194" t="s">
        <v>11</v>
      </c>
      <c r="W194" t="s">
        <v>13</v>
      </c>
      <c r="X194" t="s">
        <v>32</v>
      </c>
      <c r="Y194" t="s">
        <v>818</v>
      </c>
      <c r="Z194" t="s">
        <v>0</v>
      </c>
      <c r="AA194" t="s">
        <v>0</v>
      </c>
    </row>
    <row r="195" spans="1:27" ht="14" customHeight="1" x14ac:dyDescent="0.25">
      <c r="A195" s="2">
        <v>46226</v>
      </c>
      <c r="B195" t="s">
        <v>811</v>
      </c>
      <c r="C195" t="s">
        <v>812</v>
      </c>
      <c r="D195" t="s">
        <v>819</v>
      </c>
      <c r="E195" t="s">
        <v>819</v>
      </c>
      <c r="F195" t="s">
        <v>180</v>
      </c>
      <c r="G195" s="2">
        <v>46142</v>
      </c>
      <c r="H195" s="2">
        <v>46142</v>
      </c>
      <c r="I195" t="s">
        <v>100</v>
      </c>
      <c r="J195" t="s">
        <v>101</v>
      </c>
      <c r="K195" t="s">
        <v>7</v>
      </c>
      <c r="L195" t="s">
        <v>8</v>
      </c>
      <c r="M195" s="3">
        <v>-11392</v>
      </c>
      <c r="N195" s="3" t="s">
        <v>1153</v>
      </c>
      <c r="O195" t="s">
        <v>751</v>
      </c>
      <c r="P195" t="s">
        <v>809</v>
      </c>
      <c r="Q195" t="s">
        <v>791</v>
      </c>
      <c r="R195" t="s">
        <v>9</v>
      </c>
      <c r="S195" t="s">
        <v>10</v>
      </c>
      <c r="T195" t="s">
        <v>11</v>
      </c>
      <c r="U195" t="s">
        <v>0</v>
      </c>
      <c r="V195" t="s">
        <v>11</v>
      </c>
      <c r="W195" t="s">
        <v>13</v>
      </c>
      <c r="X195" t="s">
        <v>32</v>
      </c>
      <c r="Y195" t="s">
        <v>820</v>
      </c>
      <c r="Z195" t="s">
        <v>0</v>
      </c>
      <c r="AA195" t="s">
        <v>0</v>
      </c>
    </row>
    <row r="196" spans="1:27" ht="14" customHeight="1" x14ac:dyDescent="0.25">
      <c r="A196" s="2">
        <v>46226</v>
      </c>
      <c r="B196" t="s">
        <v>811</v>
      </c>
      <c r="C196" t="s">
        <v>812</v>
      </c>
      <c r="D196" t="s">
        <v>821</v>
      </c>
      <c r="E196" t="s">
        <v>821</v>
      </c>
      <c r="F196" t="s">
        <v>180</v>
      </c>
      <c r="G196" s="2">
        <v>46173</v>
      </c>
      <c r="H196" s="2">
        <v>46173</v>
      </c>
      <c r="I196" t="s">
        <v>5</v>
      </c>
      <c r="J196" t="s">
        <v>6</v>
      </c>
      <c r="K196" t="s">
        <v>7</v>
      </c>
      <c r="L196" t="s">
        <v>8</v>
      </c>
      <c r="M196" s="3">
        <v>-12192</v>
      </c>
      <c r="N196" s="3" t="s">
        <v>1153</v>
      </c>
      <c r="O196" t="s">
        <v>754</v>
      </c>
      <c r="P196" t="s">
        <v>809</v>
      </c>
      <c r="Q196" t="s">
        <v>791</v>
      </c>
      <c r="R196" t="s">
        <v>9</v>
      </c>
      <c r="S196" t="s">
        <v>10</v>
      </c>
      <c r="T196" t="s">
        <v>11</v>
      </c>
      <c r="U196" t="s">
        <v>0</v>
      </c>
      <c r="V196" t="s">
        <v>11</v>
      </c>
      <c r="W196" t="s">
        <v>13</v>
      </c>
      <c r="X196" t="s">
        <v>32</v>
      </c>
      <c r="Y196" t="s">
        <v>822</v>
      </c>
      <c r="Z196" t="s">
        <v>0</v>
      </c>
      <c r="AA196" t="s">
        <v>0</v>
      </c>
    </row>
    <row r="197" spans="1:27" ht="14" customHeight="1" x14ac:dyDescent="0.25">
      <c r="A197" s="2">
        <v>46226</v>
      </c>
      <c r="B197" t="s">
        <v>823</v>
      </c>
      <c r="C197" t="s">
        <v>824</v>
      </c>
      <c r="D197" t="s">
        <v>825</v>
      </c>
      <c r="E197" t="s">
        <v>825</v>
      </c>
      <c r="F197" t="s">
        <v>180</v>
      </c>
      <c r="G197" s="2">
        <v>46173</v>
      </c>
      <c r="H197" s="2">
        <v>46173</v>
      </c>
      <c r="I197" t="s">
        <v>5</v>
      </c>
      <c r="J197" t="s">
        <v>6</v>
      </c>
      <c r="K197" t="s">
        <v>7</v>
      </c>
      <c r="L197" t="s">
        <v>8</v>
      </c>
      <c r="M197" s="3">
        <v>-95430.85</v>
      </c>
      <c r="N197" s="3" t="s">
        <v>1153</v>
      </c>
      <c r="O197" t="s">
        <v>826</v>
      </c>
      <c r="P197" t="s">
        <v>809</v>
      </c>
      <c r="Q197" t="s">
        <v>791</v>
      </c>
      <c r="R197" t="s">
        <v>9</v>
      </c>
      <c r="S197" t="s">
        <v>10</v>
      </c>
      <c r="T197" t="s">
        <v>11</v>
      </c>
      <c r="U197" t="s">
        <v>0</v>
      </c>
      <c r="V197" t="s">
        <v>11</v>
      </c>
      <c r="W197" t="s">
        <v>13</v>
      </c>
      <c r="X197" t="s">
        <v>32</v>
      </c>
      <c r="Y197" t="s">
        <v>827</v>
      </c>
      <c r="Z197" t="s">
        <v>0</v>
      </c>
      <c r="AA197" t="s">
        <v>0</v>
      </c>
    </row>
    <row r="198" spans="1:27" ht="14" customHeight="1" x14ac:dyDescent="0.25">
      <c r="A198" s="2">
        <v>46226</v>
      </c>
      <c r="B198" t="s">
        <v>811</v>
      </c>
      <c r="C198" t="s">
        <v>812</v>
      </c>
      <c r="D198" t="s">
        <v>828</v>
      </c>
      <c r="E198" t="s">
        <v>828</v>
      </c>
      <c r="F198" t="s">
        <v>180</v>
      </c>
      <c r="G198" s="2">
        <v>46203</v>
      </c>
      <c r="H198" s="2">
        <v>46203</v>
      </c>
      <c r="I198" t="s">
        <v>149</v>
      </c>
      <c r="J198" t="s">
        <v>150</v>
      </c>
      <c r="K198" t="s">
        <v>7</v>
      </c>
      <c r="L198" t="s">
        <v>8</v>
      </c>
      <c r="M198" s="3">
        <v>-12700</v>
      </c>
      <c r="N198" s="3" t="s">
        <v>1153</v>
      </c>
      <c r="O198" t="s">
        <v>757</v>
      </c>
      <c r="P198" t="s">
        <v>809</v>
      </c>
      <c r="Q198" t="s">
        <v>791</v>
      </c>
      <c r="R198" t="s">
        <v>9</v>
      </c>
      <c r="S198" t="s">
        <v>10</v>
      </c>
      <c r="T198" t="s">
        <v>11</v>
      </c>
      <c r="U198" t="s">
        <v>0</v>
      </c>
      <c r="V198" t="s">
        <v>11</v>
      </c>
      <c r="W198" t="s">
        <v>13</v>
      </c>
      <c r="X198" t="s">
        <v>32</v>
      </c>
      <c r="Y198" t="s">
        <v>829</v>
      </c>
      <c r="Z198" t="s">
        <v>0</v>
      </c>
      <c r="AA198" t="s">
        <v>0</v>
      </c>
    </row>
    <row r="199" spans="1:27" ht="14" customHeight="1" x14ac:dyDescent="0.25">
      <c r="A199" s="2">
        <v>46198</v>
      </c>
      <c r="B199" t="s">
        <v>830</v>
      </c>
      <c r="C199" t="s">
        <v>393</v>
      </c>
      <c r="D199" t="s">
        <v>831</v>
      </c>
      <c r="E199" t="s">
        <v>831</v>
      </c>
      <c r="F199" t="s">
        <v>4</v>
      </c>
      <c r="G199" s="2">
        <v>46080</v>
      </c>
      <c r="H199" s="2">
        <v>46080</v>
      </c>
      <c r="I199" t="s">
        <v>190</v>
      </c>
      <c r="J199" t="s">
        <v>191</v>
      </c>
      <c r="K199" t="s">
        <v>7</v>
      </c>
      <c r="L199" t="s">
        <v>8</v>
      </c>
      <c r="M199" s="3">
        <v>-641.09</v>
      </c>
      <c r="N199" s="3" t="s">
        <v>1150</v>
      </c>
      <c r="O199" t="s">
        <v>833</v>
      </c>
      <c r="P199" t="s">
        <v>834</v>
      </c>
      <c r="Q199" t="s">
        <v>832</v>
      </c>
      <c r="R199" t="s">
        <v>9</v>
      </c>
      <c r="S199" t="s">
        <v>10</v>
      </c>
      <c r="T199" t="s">
        <v>11</v>
      </c>
      <c r="U199" t="s">
        <v>0</v>
      </c>
      <c r="V199" t="s">
        <v>11</v>
      </c>
      <c r="W199" t="s">
        <v>13</v>
      </c>
      <c r="X199" t="s">
        <v>16</v>
      </c>
      <c r="Y199" t="s">
        <v>835</v>
      </c>
      <c r="Z199" t="s">
        <v>0</v>
      </c>
      <c r="AA199" t="s">
        <v>0</v>
      </c>
    </row>
    <row r="200" spans="1:27" ht="14" customHeight="1" x14ac:dyDescent="0.25">
      <c r="A200" s="2">
        <v>46122</v>
      </c>
      <c r="B200" t="s">
        <v>836</v>
      </c>
      <c r="C200" t="s">
        <v>837</v>
      </c>
      <c r="D200" t="s">
        <v>838</v>
      </c>
      <c r="E200" t="s">
        <v>838</v>
      </c>
      <c r="F200" t="s">
        <v>27</v>
      </c>
      <c r="G200" s="2">
        <v>46036</v>
      </c>
      <c r="H200" s="2">
        <v>46121</v>
      </c>
      <c r="I200" t="s">
        <v>100</v>
      </c>
      <c r="J200" t="s">
        <v>101</v>
      </c>
      <c r="K200" t="s">
        <v>7</v>
      </c>
      <c r="L200" t="s">
        <v>30</v>
      </c>
      <c r="M200" s="3">
        <v>91440</v>
      </c>
      <c r="N200" s="3" t="s">
        <v>1152</v>
      </c>
      <c r="O200" t="s">
        <v>839</v>
      </c>
      <c r="P200" t="s">
        <v>840</v>
      </c>
      <c r="Q200" t="s">
        <v>832</v>
      </c>
      <c r="R200" t="s">
        <v>9</v>
      </c>
      <c r="S200" t="s">
        <v>10</v>
      </c>
      <c r="T200" t="s">
        <v>11</v>
      </c>
      <c r="U200" t="s">
        <v>11</v>
      </c>
      <c r="V200" t="s">
        <v>11</v>
      </c>
      <c r="W200" t="s">
        <v>13</v>
      </c>
      <c r="X200" t="s">
        <v>32</v>
      </c>
      <c r="Y200" t="s">
        <v>0</v>
      </c>
      <c r="Z200" t="s">
        <v>0</v>
      </c>
      <c r="AA200" t="s">
        <v>0</v>
      </c>
    </row>
    <row r="201" spans="1:27" ht="14" customHeight="1" x14ac:dyDescent="0.25">
      <c r="A201" s="2">
        <v>46226</v>
      </c>
      <c r="B201" t="s">
        <v>841</v>
      </c>
      <c r="C201" t="s">
        <v>842</v>
      </c>
      <c r="D201" t="s">
        <v>843</v>
      </c>
      <c r="E201" t="s">
        <v>843</v>
      </c>
      <c r="F201" t="s">
        <v>180</v>
      </c>
      <c r="G201" s="2">
        <v>46173</v>
      </c>
      <c r="H201" s="2">
        <v>46173</v>
      </c>
      <c r="I201" t="s">
        <v>5</v>
      </c>
      <c r="J201" t="s">
        <v>6</v>
      </c>
      <c r="K201" t="s">
        <v>7</v>
      </c>
      <c r="L201" t="s">
        <v>8</v>
      </c>
      <c r="M201" s="3">
        <v>-35560</v>
      </c>
      <c r="N201" s="3" t="s">
        <v>1153</v>
      </c>
      <c r="O201" t="s">
        <v>844</v>
      </c>
      <c r="P201" t="s">
        <v>845</v>
      </c>
      <c r="Q201" t="s">
        <v>832</v>
      </c>
      <c r="R201" t="s">
        <v>9</v>
      </c>
      <c r="S201" t="s">
        <v>10</v>
      </c>
      <c r="T201" t="s">
        <v>11</v>
      </c>
      <c r="U201" t="s">
        <v>0</v>
      </c>
      <c r="V201" t="s">
        <v>11</v>
      </c>
      <c r="W201" t="s">
        <v>13</v>
      </c>
      <c r="X201" t="s">
        <v>32</v>
      </c>
      <c r="Y201" t="s">
        <v>846</v>
      </c>
      <c r="Z201" t="s">
        <v>0</v>
      </c>
      <c r="AA201" t="s">
        <v>0</v>
      </c>
    </row>
    <row r="202" spans="1:27" ht="14" customHeight="1" x14ac:dyDescent="0.25">
      <c r="A202" s="2">
        <v>46226</v>
      </c>
      <c r="B202" t="s">
        <v>841</v>
      </c>
      <c r="C202" t="s">
        <v>842</v>
      </c>
      <c r="D202" t="s">
        <v>847</v>
      </c>
      <c r="E202" t="s">
        <v>847</v>
      </c>
      <c r="F202" t="s">
        <v>180</v>
      </c>
      <c r="G202" s="2">
        <v>46203</v>
      </c>
      <c r="H202" s="2">
        <v>46203</v>
      </c>
      <c r="I202" t="s">
        <v>149</v>
      </c>
      <c r="J202" t="s">
        <v>150</v>
      </c>
      <c r="K202" t="s">
        <v>7</v>
      </c>
      <c r="L202" t="s">
        <v>8</v>
      </c>
      <c r="M202" s="3">
        <v>-35560</v>
      </c>
      <c r="N202" s="3" t="s">
        <v>1153</v>
      </c>
      <c r="O202" t="s">
        <v>848</v>
      </c>
      <c r="P202" t="s">
        <v>845</v>
      </c>
      <c r="Q202" t="s">
        <v>832</v>
      </c>
      <c r="R202" t="s">
        <v>9</v>
      </c>
      <c r="S202" t="s">
        <v>10</v>
      </c>
      <c r="T202" t="s">
        <v>11</v>
      </c>
      <c r="U202" t="s">
        <v>0</v>
      </c>
      <c r="V202" t="s">
        <v>11</v>
      </c>
      <c r="W202" t="s">
        <v>13</v>
      </c>
      <c r="X202" t="s">
        <v>32</v>
      </c>
      <c r="Y202" t="s">
        <v>849</v>
      </c>
      <c r="Z202" t="s">
        <v>0</v>
      </c>
      <c r="AA202" t="s">
        <v>0</v>
      </c>
    </row>
    <row r="203" spans="1:27" ht="14" customHeight="1" x14ac:dyDescent="0.25">
      <c r="A203" s="2">
        <v>46098</v>
      </c>
      <c r="B203" t="s">
        <v>850</v>
      </c>
      <c r="C203" t="s">
        <v>68</v>
      </c>
      <c r="D203" t="s">
        <v>851</v>
      </c>
      <c r="E203" t="s">
        <v>851</v>
      </c>
      <c r="F203" t="s">
        <v>27</v>
      </c>
      <c r="G203" s="2">
        <v>46078</v>
      </c>
      <c r="H203" s="2">
        <v>46094</v>
      </c>
      <c r="I203" t="s">
        <v>70</v>
      </c>
      <c r="J203" t="s">
        <v>71</v>
      </c>
      <c r="K203" t="s">
        <v>7</v>
      </c>
      <c r="L203" t="s">
        <v>30</v>
      </c>
      <c r="M203" s="3">
        <v>76200</v>
      </c>
      <c r="N203" s="3" t="s">
        <v>1152</v>
      </c>
      <c r="O203" t="s">
        <v>853</v>
      </c>
      <c r="P203" t="s">
        <v>840</v>
      </c>
      <c r="Q203" t="s">
        <v>852</v>
      </c>
      <c r="R203" t="s">
        <v>9</v>
      </c>
      <c r="S203" t="s">
        <v>10</v>
      </c>
      <c r="T203" t="s">
        <v>11</v>
      </c>
      <c r="U203" t="s">
        <v>11</v>
      </c>
      <c r="V203" t="s">
        <v>11</v>
      </c>
      <c r="W203" t="s">
        <v>13</v>
      </c>
      <c r="X203" t="s">
        <v>32</v>
      </c>
      <c r="Y203" t="s">
        <v>0</v>
      </c>
      <c r="Z203" t="s">
        <v>0</v>
      </c>
      <c r="AA203" t="s">
        <v>0</v>
      </c>
    </row>
    <row r="204" spans="1:27" ht="14" customHeight="1" x14ac:dyDescent="0.25">
      <c r="A204" s="2">
        <v>46118</v>
      </c>
      <c r="B204" t="s">
        <v>854</v>
      </c>
      <c r="C204" t="s">
        <v>855</v>
      </c>
      <c r="D204" t="s">
        <v>856</v>
      </c>
      <c r="E204" t="s">
        <v>856</v>
      </c>
      <c r="F204" t="s">
        <v>27</v>
      </c>
      <c r="G204" s="2">
        <v>46079</v>
      </c>
      <c r="H204" s="2">
        <v>46108</v>
      </c>
      <c r="I204" t="s">
        <v>70</v>
      </c>
      <c r="J204" t="s">
        <v>71</v>
      </c>
      <c r="K204" t="s">
        <v>7</v>
      </c>
      <c r="L204" t="s">
        <v>30</v>
      </c>
      <c r="M204" s="3">
        <v>48640</v>
      </c>
      <c r="N204" s="3" t="s">
        <v>1152</v>
      </c>
      <c r="O204" t="s">
        <v>857</v>
      </c>
      <c r="P204" t="s">
        <v>858</v>
      </c>
      <c r="Q204" t="s">
        <v>852</v>
      </c>
      <c r="R204" t="s">
        <v>9</v>
      </c>
      <c r="S204" t="s">
        <v>10</v>
      </c>
      <c r="T204" t="s">
        <v>35</v>
      </c>
      <c r="U204" t="s">
        <v>35</v>
      </c>
      <c r="V204" t="s">
        <v>35</v>
      </c>
      <c r="W204" t="s">
        <v>13</v>
      </c>
      <c r="X204" t="s">
        <v>32</v>
      </c>
      <c r="Y204" t="s">
        <v>0</v>
      </c>
      <c r="Z204" t="s">
        <v>0</v>
      </c>
      <c r="AA204" t="s">
        <v>0</v>
      </c>
    </row>
    <row r="205" spans="1:27" ht="14" customHeight="1" x14ac:dyDescent="0.25">
      <c r="A205" s="2">
        <v>46154</v>
      </c>
      <c r="B205" t="s">
        <v>859</v>
      </c>
      <c r="C205" t="s">
        <v>860</v>
      </c>
      <c r="D205" t="s">
        <v>861</v>
      </c>
      <c r="E205" t="s">
        <v>861</v>
      </c>
      <c r="F205" t="s">
        <v>180</v>
      </c>
      <c r="G205" s="2">
        <v>46112</v>
      </c>
      <c r="H205" s="2">
        <v>46112</v>
      </c>
      <c r="I205" t="s">
        <v>70</v>
      </c>
      <c r="J205" t="s">
        <v>71</v>
      </c>
      <c r="K205" t="s">
        <v>7</v>
      </c>
      <c r="L205" t="s">
        <v>8</v>
      </c>
      <c r="M205" s="3">
        <v>-2032</v>
      </c>
      <c r="N205" s="3" t="s">
        <v>1153</v>
      </c>
      <c r="O205" t="s">
        <v>862</v>
      </c>
      <c r="P205" t="s">
        <v>863</v>
      </c>
      <c r="Q205" t="s">
        <v>852</v>
      </c>
      <c r="R205" t="s">
        <v>9</v>
      </c>
      <c r="S205" t="s">
        <v>10</v>
      </c>
      <c r="T205" t="s">
        <v>11</v>
      </c>
      <c r="U205" t="s">
        <v>0</v>
      </c>
      <c r="V205" t="s">
        <v>11</v>
      </c>
      <c r="W205" t="s">
        <v>13</v>
      </c>
      <c r="X205" t="s">
        <v>32</v>
      </c>
      <c r="Y205" t="s">
        <v>864</v>
      </c>
      <c r="Z205" t="s">
        <v>0</v>
      </c>
      <c r="AA205" t="s">
        <v>0</v>
      </c>
    </row>
    <row r="206" spans="1:27" ht="14" customHeight="1" x14ac:dyDescent="0.25">
      <c r="A206" s="2">
        <v>46154</v>
      </c>
      <c r="B206" t="s">
        <v>859</v>
      </c>
      <c r="C206" t="s">
        <v>860</v>
      </c>
      <c r="D206" t="s">
        <v>865</v>
      </c>
      <c r="E206" t="s">
        <v>865</v>
      </c>
      <c r="F206" t="s">
        <v>180</v>
      </c>
      <c r="G206" s="2">
        <v>46112</v>
      </c>
      <c r="H206" s="2">
        <v>46112</v>
      </c>
      <c r="I206" t="s">
        <v>70</v>
      </c>
      <c r="J206" t="s">
        <v>71</v>
      </c>
      <c r="K206" t="s">
        <v>7</v>
      </c>
      <c r="L206" t="s">
        <v>8</v>
      </c>
      <c r="M206" s="3">
        <v>-2032</v>
      </c>
      <c r="N206" s="3" t="s">
        <v>1153</v>
      </c>
      <c r="O206" t="s">
        <v>747</v>
      </c>
      <c r="P206" t="s">
        <v>863</v>
      </c>
      <c r="Q206" t="s">
        <v>852</v>
      </c>
      <c r="R206" t="s">
        <v>9</v>
      </c>
      <c r="S206" t="s">
        <v>10</v>
      </c>
      <c r="T206" t="s">
        <v>11</v>
      </c>
      <c r="U206" t="s">
        <v>0</v>
      </c>
      <c r="V206" t="s">
        <v>11</v>
      </c>
      <c r="W206" t="s">
        <v>13</v>
      </c>
      <c r="X206" t="s">
        <v>32</v>
      </c>
      <c r="Y206" t="s">
        <v>866</v>
      </c>
      <c r="Z206" t="s">
        <v>0</v>
      </c>
      <c r="AA206" t="s">
        <v>0</v>
      </c>
    </row>
    <row r="207" spans="1:27" ht="14" customHeight="1" x14ac:dyDescent="0.25">
      <c r="A207" s="2">
        <v>46154</v>
      </c>
      <c r="B207" t="s">
        <v>867</v>
      </c>
      <c r="C207" t="s">
        <v>868</v>
      </c>
      <c r="D207" t="s">
        <v>869</v>
      </c>
      <c r="E207" t="s">
        <v>869</v>
      </c>
      <c r="F207" t="s">
        <v>180</v>
      </c>
      <c r="G207" s="2">
        <v>46112</v>
      </c>
      <c r="H207" s="2">
        <v>46112</v>
      </c>
      <c r="I207" t="s">
        <v>70</v>
      </c>
      <c r="J207" t="s">
        <v>71</v>
      </c>
      <c r="K207" t="s">
        <v>7</v>
      </c>
      <c r="L207" t="s">
        <v>8</v>
      </c>
      <c r="M207" s="3">
        <v>-48640</v>
      </c>
      <c r="N207" s="3" t="s">
        <v>1153</v>
      </c>
      <c r="O207" t="s">
        <v>870</v>
      </c>
      <c r="P207" t="s">
        <v>863</v>
      </c>
      <c r="Q207" t="s">
        <v>852</v>
      </c>
      <c r="R207" t="s">
        <v>9</v>
      </c>
      <c r="S207" t="s">
        <v>10</v>
      </c>
      <c r="T207" t="s">
        <v>35</v>
      </c>
      <c r="U207" t="s">
        <v>0</v>
      </c>
      <c r="V207" t="s">
        <v>35</v>
      </c>
      <c r="W207" t="s">
        <v>13</v>
      </c>
      <c r="X207" t="s">
        <v>32</v>
      </c>
      <c r="Y207" t="s">
        <v>871</v>
      </c>
      <c r="Z207" t="s">
        <v>0</v>
      </c>
      <c r="AA207" t="s">
        <v>0</v>
      </c>
    </row>
    <row r="208" spans="1:27" ht="14" customHeight="1" x14ac:dyDescent="0.25">
      <c r="A208" s="2">
        <v>46226</v>
      </c>
      <c r="B208" t="s">
        <v>859</v>
      </c>
      <c r="C208" t="s">
        <v>860</v>
      </c>
      <c r="D208" t="s">
        <v>872</v>
      </c>
      <c r="E208" t="s">
        <v>872</v>
      </c>
      <c r="F208" t="s">
        <v>180</v>
      </c>
      <c r="G208" s="2">
        <v>46142</v>
      </c>
      <c r="H208" s="2">
        <v>46142</v>
      </c>
      <c r="I208" t="s">
        <v>100</v>
      </c>
      <c r="J208" t="s">
        <v>101</v>
      </c>
      <c r="K208" t="s">
        <v>7</v>
      </c>
      <c r="L208" t="s">
        <v>8</v>
      </c>
      <c r="M208" s="3">
        <v>-2032</v>
      </c>
      <c r="N208" s="3" t="s">
        <v>1153</v>
      </c>
      <c r="O208" t="s">
        <v>751</v>
      </c>
      <c r="P208" t="s">
        <v>863</v>
      </c>
      <c r="Q208" t="s">
        <v>852</v>
      </c>
      <c r="R208" t="s">
        <v>9</v>
      </c>
      <c r="S208" t="s">
        <v>10</v>
      </c>
      <c r="T208" t="s">
        <v>11</v>
      </c>
      <c r="U208" t="s">
        <v>0</v>
      </c>
      <c r="V208" t="s">
        <v>11</v>
      </c>
      <c r="W208" t="s">
        <v>13</v>
      </c>
      <c r="X208" t="s">
        <v>32</v>
      </c>
      <c r="Y208" t="s">
        <v>873</v>
      </c>
      <c r="Z208" t="s">
        <v>0</v>
      </c>
      <c r="AA208" t="s">
        <v>0</v>
      </c>
    </row>
    <row r="209" spans="1:27" ht="14" customHeight="1" x14ac:dyDescent="0.25">
      <c r="A209" s="2">
        <v>46052</v>
      </c>
      <c r="B209" t="s">
        <v>874</v>
      </c>
      <c r="C209" t="s">
        <v>566</v>
      </c>
      <c r="D209" t="s">
        <v>875</v>
      </c>
      <c r="E209" t="s">
        <v>875</v>
      </c>
      <c r="F209" t="s">
        <v>27</v>
      </c>
      <c r="G209" s="2">
        <v>46031</v>
      </c>
      <c r="H209" s="2">
        <v>46052</v>
      </c>
      <c r="I209" t="s">
        <v>28</v>
      </c>
      <c r="J209" t="s">
        <v>29</v>
      </c>
      <c r="K209" t="s">
        <v>7</v>
      </c>
      <c r="L209" t="s">
        <v>30</v>
      </c>
      <c r="M209" s="3">
        <v>465000</v>
      </c>
      <c r="N209" s="3" t="s">
        <v>1152</v>
      </c>
      <c r="O209" t="s">
        <v>877</v>
      </c>
      <c r="P209" t="s">
        <v>878</v>
      </c>
      <c r="Q209" t="s">
        <v>876</v>
      </c>
      <c r="R209" t="s">
        <v>9</v>
      </c>
      <c r="S209" t="s">
        <v>10</v>
      </c>
      <c r="T209" t="s">
        <v>11</v>
      </c>
      <c r="U209" t="s">
        <v>11</v>
      </c>
      <c r="V209" t="s">
        <v>11</v>
      </c>
      <c r="W209" t="s">
        <v>13</v>
      </c>
      <c r="X209" t="s">
        <v>32</v>
      </c>
      <c r="Y209" t="s">
        <v>0</v>
      </c>
      <c r="Z209" t="s">
        <v>0</v>
      </c>
      <c r="AA209" t="s">
        <v>0</v>
      </c>
    </row>
    <row r="210" spans="1:27" ht="14" customHeight="1" x14ac:dyDescent="0.25">
      <c r="A210" s="2">
        <v>46065</v>
      </c>
      <c r="B210" t="s">
        <v>879</v>
      </c>
      <c r="C210" t="s">
        <v>25</v>
      </c>
      <c r="D210" t="s">
        <v>880</v>
      </c>
      <c r="E210" t="s">
        <v>880</v>
      </c>
      <c r="F210" t="s">
        <v>27</v>
      </c>
      <c r="G210" s="2">
        <v>46042</v>
      </c>
      <c r="H210" s="2">
        <v>46053</v>
      </c>
      <c r="I210" t="s">
        <v>28</v>
      </c>
      <c r="J210" t="s">
        <v>29</v>
      </c>
      <c r="K210" t="s">
        <v>7</v>
      </c>
      <c r="L210" t="s">
        <v>30</v>
      </c>
      <c r="M210" s="3">
        <v>200000</v>
      </c>
      <c r="N210" s="3" t="s">
        <v>1152</v>
      </c>
      <c r="O210" t="s">
        <v>881</v>
      </c>
      <c r="P210" t="s">
        <v>882</v>
      </c>
      <c r="Q210" t="s">
        <v>876</v>
      </c>
      <c r="R210" t="s">
        <v>9</v>
      </c>
      <c r="S210" t="s">
        <v>10</v>
      </c>
      <c r="T210" t="s">
        <v>395</v>
      </c>
      <c r="U210" t="s">
        <v>395</v>
      </c>
      <c r="V210" t="s">
        <v>395</v>
      </c>
      <c r="W210" t="s">
        <v>13</v>
      </c>
      <c r="X210" t="s">
        <v>32</v>
      </c>
      <c r="Y210" t="s">
        <v>0</v>
      </c>
      <c r="Z210" t="s">
        <v>0</v>
      </c>
      <c r="AA210" t="s">
        <v>0</v>
      </c>
    </row>
    <row r="211" spans="1:27" ht="14" customHeight="1" x14ac:dyDescent="0.25">
      <c r="A211" s="2">
        <v>46097</v>
      </c>
      <c r="B211" t="s">
        <v>883</v>
      </c>
      <c r="C211" t="s">
        <v>405</v>
      </c>
      <c r="D211" t="s">
        <v>884</v>
      </c>
      <c r="E211" t="s">
        <v>884</v>
      </c>
      <c r="F211" t="s">
        <v>27</v>
      </c>
      <c r="G211" s="2">
        <v>46073</v>
      </c>
      <c r="H211" s="2">
        <v>46090</v>
      </c>
      <c r="I211" t="s">
        <v>70</v>
      </c>
      <c r="J211" t="s">
        <v>71</v>
      </c>
      <c r="K211" t="s">
        <v>7</v>
      </c>
      <c r="L211" t="s">
        <v>30</v>
      </c>
      <c r="M211" s="3">
        <v>200000</v>
      </c>
      <c r="N211" s="3" t="s">
        <v>1152</v>
      </c>
      <c r="O211" t="s">
        <v>885</v>
      </c>
      <c r="P211" t="s">
        <v>886</v>
      </c>
      <c r="Q211" t="s">
        <v>876</v>
      </c>
      <c r="R211" t="s">
        <v>9</v>
      </c>
      <c r="S211" t="s">
        <v>10</v>
      </c>
      <c r="T211" t="s">
        <v>395</v>
      </c>
      <c r="U211" t="s">
        <v>395</v>
      </c>
      <c r="V211" t="s">
        <v>395</v>
      </c>
      <c r="W211" t="s">
        <v>13</v>
      </c>
      <c r="X211" t="s">
        <v>32</v>
      </c>
      <c r="Y211" t="s">
        <v>0</v>
      </c>
      <c r="Z211" t="s">
        <v>0</v>
      </c>
      <c r="AA211" t="s">
        <v>0</v>
      </c>
    </row>
    <row r="212" spans="1:27" ht="14" customHeight="1" x14ac:dyDescent="0.25">
      <c r="A212" s="2">
        <v>46098</v>
      </c>
      <c r="B212" t="s">
        <v>887</v>
      </c>
      <c r="C212" t="s">
        <v>68</v>
      </c>
      <c r="D212" t="s">
        <v>888</v>
      </c>
      <c r="E212" t="s">
        <v>888</v>
      </c>
      <c r="F212" t="s">
        <v>27</v>
      </c>
      <c r="G212" s="2">
        <v>46085</v>
      </c>
      <c r="H212" s="2">
        <v>46094</v>
      </c>
      <c r="I212" t="s">
        <v>70</v>
      </c>
      <c r="J212" t="s">
        <v>71</v>
      </c>
      <c r="K212" t="s">
        <v>7</v>
      </c>
      <c r="L212" t="s">
        <v>30</v>
      </c>
      <c r="M212" s="3">
        <v>385000</v>
      </c>
      <c r="N212" s="3" t="s">
        <v>1152</v>
      </c>
      <c r="O212" t="s">
        <v>889</v>
      </c>
      <c r="P212" t="s">
        <v>890</v>
      </c>
      <c r="Q212" t="s">
        <v>876</v>
      </c>
      <c r="R212" t="s">
        <v>9</v>
      </c>
      <c r="S212" t="s">
        <v>10</v>
      </c>
      <c r="T212" t="s">
        <v>43</v>
      </c>
      <c r="U212" t="s">
        <v>43</v>
      </c>
      <c r="V212" t="s">
        <v>43</v>
      </c>
      <c r="W212" t="s">
        <v>13</v>
      </c>
      <c r="X212" t="s">
        <v>32</v>
      </c>
      <c r="Y212" t="s">
        <v>0</v>
      </c>
      <c r="Z212" t="s">
        <v>0</v>
      </c>
      <c r="AA212" t="s">
        <v>0</v>
      </c>
    </row>
    <row r="213" spans="1:27" ht="14" customHeight="1" x14ac:dyDescent="0.25">
      <c r="A213" s="2">
        <v>46098</v>
      </c>
      <c r="B213" t="s">
        <v>891</v>
      </c>
      <c r="C213" t="s">
        <v>68</v>
      </c>
      <c r="D213" t="s">
        <v>892</v>
      </c>
      <c r="E213" t="s">
        <v>892</v>
      </c>
      <c r="F213" t="s">
        <v>27</v>
      </c>
      <c r="G213" s="2">
        <v>46085</v>
      </c>
      <c r="H213" s="2">
        <v>46094</v>
      </c>
      <c r="I213" t="s">
        <v>70</v>
      </c>
      <c r="J213" t="s">
        <v>71</v>
      </c>
      <c r="K213" t="s">
        <v>7</v>
      </c>
      <c r="L213" t="s">
        <v>30</v>
      </c>
      <c r="M213" s="3">
        <v>395000</v>
      </c>
      <c r="N213" s="3" t="s">
        <v>1152</v>
      </c>
      <c r="O213" t="s">
        <v>893</v>
      </c>
      <c r="P213" t="s">
        <v>894</v>
      </c>
      <c r="Q213" t="s">
        <v>876</v>
      </c>
      <c r="R213" t="s">
        <v>9</v>
      </c>
      <c r="S213" t="s">
        <v>10</v>
      </c>
      <c r="T213" t="s">
        <v>43</v>
      </c>
      <c r="U213" t="s">
        <v>43</v>
      </c>
      <c r="V213" t="s">
        <v>43</v>
      </c>
      <c r="W213" t="s">
        <v>13</v>
      </c>
      <c r="X213" t="s">
        <v>32</v>
      </c>
      <c r="Y213" t="s">
        <v>0</v>
      </c>
      <c r="Z213" t="s">
        <v>0</v>
      </c>
      <c r="AA213" t="s">
        <v>0</v>
      </c>
    </row>
    <row r="214" spans="1:27" ht="14" customHeight="1" x14ac:dyDescent="0.25">
      <c r="A214" s="2">
        <v>46098</v>
      </c>
      <c r="B214" t="s">
        <v>895</v>
      </c>
      <c r="C214" t="s">
        <v>68</v>
      </c>
      <c r="D214" t="s">
        <v>896</v>
      </c>
      <c r="E214" t="s">
        <v>896</v>
      </c>
      <c r="F214" t="s">
        <v>27</v>
      </c>
      <c r="G214" s="2">
        <v>46076</v>
      </c>
      <c r="H214" s="2">
        <v>46094</v>
      </c>
      <c r="I214" t="s">
        <v>70</v>
      </c>
      <c r="J214" t="s">
        <v>71</v>
      </c>
      <c r="K214" t="s">
        <v>7</v>
      </c>
      <c r="L214" t="s">
        <v>30</v>
      </c>
      <c r="M214" s="3">
        <v>169000</v>
      </c>
      <c r="N214" s="3" t="s">
        <v>1152</v>
      </c>
      <c r="O214" t="s">
        <v>897</v>
      </c>
      <c r="P214" t="s">
        <v>898</v>
      </c>
      <c r="Q214" t="s">
        <v>876</v>
      </c>
      <c r="R214" t="s">
        <v>9</v>
      </c>
      <c r="S214" t="s">
        <v>10</v>
      </c>
      <c r="T214" t="s">
        <v>43</v>
      </c>
      <c r="U214" t="s">
        <v>43</v>
      </c>
      <c r="V214" t="s">
        <v>43</v>
      </c>
      <c r="W214" t="s">
        <v>13</v>
      </c>
      <c r="X214" t="s">
        <v>32</v>
      </c>
      <c r="Y214" t="s">
        <v>0</v>
      </c>
      <c r="Z214" t="s">
        <v>0</v>
      </c>
      <c r="AA214" t="s">
        <v>0</v>
      </c>
    </row>
    <row r="215" spans="1:27" ht="14" customHeight="1" x14ac:dyDescent="0.25">
      <c r="A215" s="2">
        <v>46107</v>
      </c>
      <c r="B215" t="s">
        <v>899</v>
      </c>
      <c r="C215" t="s">
        <v>83</v>
      </c>
      <c r="D215" t="s">
        <v>900</v>
      </c>
      <c r="E215" t="s">
        <v>900</v>
      </c>
      <c r="F215" t="s">
        <v>27</v>
      </c>
      <c r="G215" s="2">
        <v>46085</v>
      </c>
      <c r="H215" s="2">
        <v>46098</v>
      </c>
      <c r="I215" t="s">
        <v>70</v>
      </c>
      <c r="J215" t="s">
        <v>71</v>
      </c>
      <c r="K215" t="s">
        <v>7</v>
      </c>
      <c r="L215" t="s">
        <v>30</v>
      </c>
      <c r="M215" s="3">
        <v>250000</v>
      </c>
      <c r="N215" s="3" t="s">
        <v>1152</v>
      </c>
      <c r="O215" t="s">
        <v>901</v>
      </c>
      <c r="P215" t="s">
        <v>902</v>
      </c>
      <c r="Q215" t="s">
        <v>876</v>
      </c>
      <c r="R215" t="s">
        <v>9</v>
      </c>
      <c r="S215" t="s">
        <v>10</v>
      </c>
      <c r="T215" t="s">
        <v>43</v>
      </c>
      <c r="U215" t="s">
        <v>43</v>
      </c>
      <c r="V215" t="s">
        <v>43</v>
      </c>
      <c r="W215" t="s">
        <v>13</v>
      </c>
      <c r="X215" t="s">
        <v>32</v>
      </c>
      <c r="Y215" t="s">
        <v>0</v>
      </c>
      <c r="Z215" t="s">
        <v>0</v>
      </c>
      <c r="AA215" t="s">
        <v>0</v>
      </c>
    </row>
    <row r="216" spans="1:27" ht="14" customHeight="1" x14ac:dyDescent="0.25">
      <c r="A216" s="2">
        <v>46107</v>
      </c>
      <c r="B216" t="s">
        <v>903</v>
      </c>
      <c r="C216" t="s">
        <v>83</v>
      </c>
      <c r="D216" t="s">
        <v>904</v>
      </c>
      <c r="E216" t="s">
        <v>904</v>
      </c>
      <c r="F216" t="s">
        <v>27</v>
      </c>
      <c r="G216" s="2">
        <v>46078</v>
      </c>
      <c r="H216" s="2">
        <v>46098</v>
      </c>
      <c r="I216" t="s">
        <v>70</v>
      </c>
      <c r="J216" t="s">
        <v>71</v>
      </c>
      <c r="K216" t="s">
        <v>7</v>
      </c>
      <c r="L216" t="s">
        <v>30</v>
      </c>
      <c r="M216" s="3">
        <v>145500</v>
      </c>
      <c r="N216" s="3" t="s">
        <v>1152</v>
      </c>
      <c r="O216" t="s">
        <v>905</v>
      </c>
      <c r="P216" t="s">
        <v>906</v>
      </c>
      <c r="Q216" t="s">
        <v>876</v>
      </c>
      <c r="R216" t="s">
        <v>9</v>
      </c>
      <c r="S216" t="s">
        <v>10</v>
      </c>
      <c r="T216" t="s">
        <v>43</v>
      </c>
      <c r="U216" t="s">
        <v>43</v>
      </c>
      <c r="V216" t="s">
        <v>43</v>
      </c>
      <c r="W216" t="s">
        <v>13</v>
      </c>
      <c r="X216" t="s">
        <v>32</v>
      </c>
      <c r="Y216" t="s">
        <v>0</v>
      </c>
      <c r="Z216" t="s">
        <v>0</v>
      </c>
      <c r="AA216" t="s">
        <v>0</v>
      </c>
    </row>
    <row r="217" spans="1:27" ht="14" customHeight="1" x14ac:dyDescent="0.25">
      <c r="A217" s="2">
        <v>46118</v>
      </c>
      <c r="B217" t="s">
        <v>907</v>
      </c>
      <c r="C217" t="s">
        <v>98</v>
      </c>
      <c r="D217" t="s">
        <v>908</v>
      </c>
      <c r="E217" t="s">
        <v>908</v>
      </c>
      <c r="F217" t="s">
        <v>27</v>
      </c>
      <c r="G217" s="2">
        <v>46080</v>
      </c>
      <c r="H217" s="2">
        <v>46118</v>
      </c>
      <c r="I217" t="s">
        <v>100</v>
      </c>
      <c r="J217" t="s">
        <v>101</v>
      </c>
      <c r="K217" t="s">
        <v>7</v>
      </c>
      <c r="L217" t="s">
        <v>30</v>
      </c>
      <c r="M217" s="3">
        <v>275000</v>
      </c>
      <c r="N217" s="3" t="s">
        <v>1152</v>
      </c>
      <c r="O217" t="s">
        <v>909</v>
      </c>
      <c r="P217" t="s">
        <v>910</v>
      </c>
      <c r="Q217" t="s">
        <v>876</v>
      </c>
      <c r="R217" t="s">
        <v>9</v>
      </c>
      <c r="S217" t="s">
        <v>10</v>
      </c>
      <c r="T217" t="s">
        <v>43</v>
      </c>
      <c r="U217" t="s">
        <v>43</v>
      </c>
      <c r="V217" t="s">
        <v>43</v>
      </c>
      <c r="W217" t="s">
        <v>13</v>
      </c>
      <c r="X217" t="s">
        <v>32</v>
      </c>
      <c r="Y217" t="s">
        <v>0</v>
      </c>
      <c r="Z217" t="s">
        <v>0</v>
      </c>
      <c r="AA217" t="s">
        <v>0</v>
      </c>
    </row>
    <row r="218" spans="1:27" ht="14" customHeight="1" x14ac:dyDescent="0.25">
      <c r="A218" s="2">
        <v>46129</v>
      </c>
      <c r="B218" t="s">
        <v>911</v>
      </c>
      <c r="C218" t="s">
        <v>912</v>
      </c>
      <c r="D218" t="s">
        <v>913</v>
      </c>
      <c r="E218" t="s">
        <v>913</v>
      </c>
      <c r="F218" t="s">
        <v>27</v>
      </c>
      <c r="G218" s="2">
        <v>46091</v>
      </c>
      <c r="H218" s="2">
        <v>46128</v>
      </c>
      <c r="I218" t="s">
        <v>100</v>
      </c>
      <c r="J218" t="s">
        <v>101</v>
      </c>
      <c r="K218" t="s">
        <v>7</v>
      </c>
      <c r="L218" t="s">
        <v>30</v>
      </c>
      <c r="M218" s="3">
        <v>500000</v>
      </c>
      <c r="N218" s="3" t="s">
        <v>1152</v>
      </c>
      <c r="O218" t="s">
        <v>914</v>
      </c>
      <c r="P218" t="s">
        <v>915</v>
      </c>
      <c r="Q218" t="s">
        <v>876</v>
      </c>
      <c r="R218" t="s">
        <v>9</v>
      </c>
      <c r="S218" t="s">
        <v>10</v>
      </c>
      <c r="T218" t="s">
        <v>43</v>
      </c>
      <c r="U218" t="s">
        <v>43</v>
      </c>
      <c r="V218" t="s">
        <v>43</v>
      </c>
      <c r="W218" t="s">
        <v>13</v>
      </c>
      <c r="X218" t="s">
        <v>32</v>
      </c>
      <c r="Y218" t="s">
        <v>0</v>
      </c>
      <c r="Z218" t="s">
        <v>0</v>
      </c>
      <c r="AA218" t="s">
        <v>0</v>
      </c>
    </row>
    <row r="219" spans="1:27" ht="14" customHeight="1" x14ac:dyDescent="0.25">
      <c r="A219" s="2">
        <v>46129</v>
      </c>
      <c r="B219" t="s">
        <v>916</v>
      </c>
      <c r="C219" t="s">
        <v>912</v>
      </c>
      <c r="D219" t="s">
        <v>917</v>
      </c>
      <c r="E219" t="s">
        <v>917</v>
      </c>
      <c r="F219" t="s">
        <v>27</v>
      </c>
      <c r="G219" s="2">
        <v>46091</v>
      </c>
      <c r="H219" s="2">
        <v>46128</v>
      </c>
      <c r="I219" t="s">
        <v>100</v>
      </c>
      <c r="J219" t="s">
        <v>101</v>
      </c>
      <c r="K219" t="s">
        <v>7</v>
      </c>
      <c r="L219" t="s">
        <v>30</v>
      </c>
      <c r="M219" s="3">
        <v>500000</v>
      </c>
      <c r="N219" s="3" t="s">
        <v>1152</v>
      </c>
      <c r="O219" t="s">
        <v>918</v>
      </c>
      <c r="P219" t="s">
        <v>919</v>
      </c>
      <c r="Q219" t="s">
        <v>876</v>
      </c>
      <c r="R219" t="s">
        <v>9</v>
      </c>
      <c r="S219" t="s">
        <v>10</v>
      </c>
      <c r="T219" t="s">
        <v>43</v>
      </c>
      <c r="U219" t="s">
        <v>43</v>
      </c>
      <c r="V219" t="s">
        <v>43</v>
      </c>
      <c r="W219" t="s">
        <v>13</v>
      </c>
      <c r="X219" t="s">
        <v>32</v>
      </c>
      <c r="Y219" t="s">
        <v>0</v>
      </c>
      <c r="Z219" t="s">
        <v>0</v>
      </c>
      <c r="AA219" t="s">
        <v>0</v>
      </c>
    </row>
    <row r="220" spans="1:27" ht="14" customHeight="1" x14ac:dyDescent="0.25">
      <c r="A220" s="2">
        <v>46146</v>
      </c>
      <c r="B220" t="s">
        <v>920</v>
      </c>
      <c r="C220" t="s">
        <v>119</v>
      </c>
      <c r="D220" t="s">
        <v>921</v>
      </c>
      <c r="E220" t="s">
        <v>921</v>
      </c>
      <c r="F220" t="s">
        <v>27</v>
      </c>
      <c r="G220" s="2">
        <v>46115</v>
      </c>
      <c r="H220" s="2">
        <v>46142</v>
      </c>
      <c r="I220" t="s">
        <v>100</v>
      </c>
      <c r="J220" t="s">
        <v>101</v>
      </c>
      <c r="K220" t="s">
        <v>7</v>
      </c>
      <c r="L220" t="s">
        <v>30</v>
      </c>
      <c r="M220" s="3">
        <v>450000</v>
      </c>
      <c r="N220" s="3" t="s">
        <v>1152</v>
      </c>
      <c r="O220" t="s">
        <v>922</v>
      </c>
      <c r="P220" t="s">
        <v>923</v>
      </c>
      <c r="Q220" t="s">
        <v>876</v>
      </c>
      <c r="R220" t="s">
        <v>9</v>
      </c>
      <c r="S220" t="s">
        <v>10</v>
      </c>
      <c r="T220" t="s">
        <v>43</v>
      </c>
      <c r="U220" t="s">
        <v>43</v>
      </c>
      <c r="V220" t="s">
        <v>43</v>
      </c>
      <c r="W220" t="s">
        <v>13</v>
      </c>
      <c r="X220" t="s">
        <v>32</v>
      </c>
      <c r="Y220" t="s">
        <v>0</v>
      </c>
      <c r="Z220" t="s">
        <v>0</v>
      </c>
      <c r="AA220" t="s">
        <v>0</v>
      </c>
    </row>
    <row r="221" spans="1:27" ht="14" customHeight="1" x14ac:dyDescent="0.25">
      <c r="A221" s="2">
        <v>46163</v>
      </c>
      <c r="B221" t="s">
        <v>924</v>
      </c>
      <c r="C221" t="s">
        <v>138</v>
      </c>
      <c r="D221" t="s">
        <v>925</v>
      </c>
      <c r="E221" t="s">
        <v>925</v>
      </c>
      <c r="F221" t="s">
        <v>27</v>
      </c>
      <c r="G221" s="2">
        <v>46141</v>
      </c>
      <c r="H221" s="2">
        <v>46161</v>
      </c>
      <c r="I221" t="s">
        <v>5</v>
      </c>
      <c r="J221" t="s">
        <v>6</v>
      </c>
      <c r="K221" t="s">
        <v>7</v>
      </c>
      <c r="L221" t="s">
        <v>30</v>
      </c>
      <c r="M221" s="3">
        <v>100000</v>
      </c>
      <c r="N221" s="3" t="s">
        <v>1152</v>
      </c>
      <c r="O221" t="s">
        <v>926</v>
      </c>
      <c r="P221" t="s">
        <v>927</v>
      </c>
      <c r="Q221" t="s">
        <v>876</v>
      </c>
      <c r="R221" t="s">
        <v>9</v>
      </c>
      <c r="S221" t="s">
        <v>10</v>
      </c>
      <c r="T221" t="s">
        <v>43</v>
      </c>
      <c r="U221" t="s">
        <v>43</v>
      </c>
      <c r="V221" t="s">
        <v>43</v>
      </c>
      <c r="W221" t="s">
        <v>13</v>
      </c>
      <c r="X221" t="s">
        <v>32</v>
      </c>
      <c r="Y221" t="s">
        <v>0</v>
      </c>
      <c r="Z221" t="s">
        <v>0</v>
      </c>
      <c r="AA221" t="s">
        <v>0</v>
      </c>
    </row>
    <row r="222" spans="1:27" ht="14" customHeight="1" x14ac:dyDescent="0.25">
      <c r="A222" s="2">
        <v>46181</v>
      </c>
      <c r="B222" t="s">
        <v>928</v>
      </c>
      <c r="C222" t="s">
        <v>147</v>
      </c>
      <c r="D222" t="s">
        <v>929</v>
      </c>
      <c r="E222" t="s">
        <v>929</v>
      </c>
      <c r="F222" t="s">
        <v>27</v>
      </c>
      <c r="G222" s="2">
        <v>46094</v>
      </c>
      <c r="H222" s="2">
        <v>46177</v>
      </c>
      <c r="I222" t="s">
        <v>149</v>
      </c>
      <c r="J222" t="s">
        <v>150</v>
      </c>
      <c r="K222" t="s">
        <v>7</v>
      </c>
      <c r="L222" t="s">
        <v>30</v>
      </c>
      <c r="M222" s="3">
        <v>200000</v>
      </c>
      <c r="N222" s="3" t="s">
        <v>1152</v>
      </c>
      <c r="O222" t="s">
        <v>930</v>
      </c>
      <c r="P222" t="s">
        <v>931</v>
      </c>
      <c r="Q222" t="s">
        <v>876</v>
      </c>
      <c r="R222" t="s">
        <v>9</v>
      </c>
      <c r="S222" t="s">
        <v>10</v>
      </c>
      <c r="T222" t="s">
        <v>395</v>
      </c>
      <c r="U222" t="s">
        <v>395</v>
      </c>
      <c r="V222" t="s">
        <v>395</v>
      </c>
      <c r="W222" t="s">
        <v>13</v>
      </c>
      <c r="X222" t="s">
        <v>32</v>
      </c>
      <c r="Y222" t="s">
        <v>0</v>
      </c>
      <c r="Z222" t="s">
        <v>0</v>
      </c>
      <c r="AA222" t="s">
        <v>0</v>
      </c>
    </row>
    <row r="223" spans="1:27" ht="14" customHeight="1" x14ac:dyDescent="0.25">
      <c r="A223" s="2">
        <v>46189</v>
      </c>
      <c r="B223" t="s">
        <v>932</v>
      </c>
      <c r="C223" t="s">
        <v>154</v>
      </c>
      <c r="D223" t="s">
        <v>933</v>
      </c>
      <c r="E223" t="s">
        <v>933</v>
      </c>
      <c r="F223" t="s">
        <v>27</v>
      </c>
      <c r="G223" s="2">
        <v>46149</v>
      </c>
      <c r="H223" s="2">
        <v>46182</v>
      </c>
      <c r="I223" t="s">
        <v>149</v>
      </c>
      <c r="J223" t="s">
        <v>150</v>
      </c>
      <c r="K223" t="s">
        <v>7</v>
      </c>
      <c r="L223" t="s">
        <v>30</v>
      </c>
      <c r="M223" s="3">
        <v>50000</v>
      </c>
      <c r="N223" s="3" t="s">
        <v>1152</v>
      </c>
      <c r="O223" t="s">
        <v>934</v>
      </c>
      <c r="P223" t="s">
        <v>935</v>
      </c>
      <c r="Q223" t="s">
        <v>876</v>
      </c>
      <c r="R223" t="s">
        <v>9</v>
      </c>
      <c r="S223" t="s">
        <v>10</v>
      </c>
      <c r="T223" t="s">
        <v>395</v>
      </c>
      <c r="U223" t="s">
        <v>395</v>
      </c>
      <c r="V223" t="s">
        <v>395</v>
      </c>
      <c r="W223" t="s">
        <v>13</v>
      </c>
      <c r="X223" t="s">
        <v>32</v>
      </c>
      <c r="Y223" t="s">
        <v>0</v>
      </c>
      <c r="Z223" t="s">
        <v>0</v>
      </c>
      <c r="AA223" t="s">
        <v>0</v>
      </c>
    </row>
    <row r="224" spans="1:27" ht="14" customHeight="1" x14ac:dyDescent="0.25">
      <c r="A224" s="2">
        <v>46189</v>
      </c>
      <c r="B224" t="s">
        <v>936</v>
      </c>
      <c r="C224" t="s">
        <v>154</v>
      </c>
      <c r="D224" t="s">
        <v>937</v>
      </c>
      <c r="E224" t="s">
        <v>937</v>
      </c>
      <c r="F224" t="s">
        <v>27</v>
      </c>
      <c r="G224" s="2">
        <v>46085</v>
      </c>
      <c r="H224" s="2">
        <v>46182</v>
      </c>
      <c r="I224" t="s">
        <v>149</v>
      </c>
      <c r="J224" t="s">
        <v>150</v>
      </c>
      <c r="K224" t="s">
        <v>7</v>
      </c>
      <c r="L224" t="s">
        <v>30</v>
      </c>
      <c r="M224" s="3">
        <v>182400</v>
      </c>
      <c r="N224" s="3" t="s">
        <v>1152</v>
      </c>
      <c r="O224" t="s">
        <v>938</v>
      </c>
      <c r="P224" t="s">
        <v>939</v>
      </c>
      <c r="Q224" t="s">
        <v>876</v>
      </c>
      <c r="R224" t="s">
        <v>9</v>
      </c>
      <c r="S224" t="s">
        <v>10</v>
      </c>
      <c r="T224" t="s">
        <v>395</v>
      </c>
      <c r="U224" t="s">
        <v>395</v>
      </c>
      <c r="V224" t="s">
        <v>395</v>
      </c>
      <c r="W224" t="s">
        <v>13</v>
      </c>
      <c r="X224" t="s">
        <v>32</v>
      </c>
      <c r="Y224" t="s">
        <v>0</v>
      </c>
      <c r="Z224" t="s">
        <v>0</v>
      </c>
      <c r="AA224" t="s">
        <v>0</v>
      </c>
    </row>
    <row r="225" spans="1:27" ht="14" customHeight="1" x14ac:dyDescent="0.25">
      <c r="A225" s="2">
        <v>46189</v>
      </c>
      <c r="B225" t="s">
        <v>940</v>
      </c>
      <c r="C225" t="s">
        <v>154</v>
      </c>
      <c r="D225" t="s">
        <v>941</v>
      </c>
      <c r="E225" t="s">
        <v>941</v>
      </c>
      <c r="F225" t="s">
        <v>27</v>
      </c>
      <c r="G225" s="2">
        <v>46141</v>
      </c>
      <c r="H225" s="2">
        <v>46182</v>
      </c>
      <c r="I225" t="s">
        <v>149</v>
      </c>
      <c r="J225" t="s">
        <v>150</v>
      </c>
      <c r="K225" t="s">
        <v>7</v>
      </c>
      <c r="L225" t="s">
        <v>30</v>
      </c>
      <c r="M225" s="3">
        <v>25000</v>
      </c>
      <c r="N225" s="3" t="s">
        <v>1152</v>
      </c>
      <c r="O225" t="s">
        <v>942</v>
      </c>
      <c r="P225" t="s">
        <v>943</v>
      </c>
      <c r="Q225" t="s">
        <v>876</v>
      </c>
      <c r="R225" t="s">
        <v>9</v>
      </c>
      <c r="S225" t="s">
        <v>10</v>
      </c>
      <c r="T225" t="s">
        <v>395</v>
      </c>
      <c r="U225" t="s">
        <v>395</v>
      </c>
      <c r="V225" t="s">
        <v>395</v>
      </c>
      <c r="W225" t="s">
        <v>13</v>
      </c>
      <c r="X225" t="s">
        <v>32</v>
      </c>
      <c r="Y225" t="s">
        <v>0</v>
      </c>
      <c r="Z225" t="s">
        <v>0</v>
      </c>
      <c r="AA225" t="s">
        <v>0</v>
      </c>
    </row>
    <row r="226" spans="1:27" ht="14" customHeight="1" x14ac:dyDescent="0.25">
      <c r="A226" s="2">
        <v>46154</v>
      </c>
      <c r="B226" t="s">
        <v>944</v>
      </c>
      <c r="C226" t="s">
        <v>945</v>
      </c>
      <c r="D226" t="s">
        <v>946</v>
      </c>
      <c r="E226" t="s">
        <v>946</v>
      </c>
      <c r="F226" t="s">
        <v>180</v>
      </c>
      <c r="G226" s="2">
        <v>46053</v>
      </c>
      <c r="H226" s="2">
        <v>46053</v>
      </c>
      <c r="I226" t="s">
        <v>28</v>
      </c>
      <c r="J226" t="s">
        <v>29</v>
      </c>
      <c r="K226" t="s">
        <v>7</v>
      </c>
      <c r="L226" t="s">
        <v>8</v>
      </c>
      <c r="M226" s="3">
        <v>-27600</v>
      </c>
      <c r="N226" s="3" t="s">
        <v>1153</v>
      </c>
      <c r="O226" t="s">
        <v>947</v>
      </c>
      <c r="P226" t="s">
        <v>948</v>
      </c>
      <c r="Q226" t="s">
        <v>876</v>
      </c>
      <c r="R226" t="s">
        <v>9</v>
      </c>
      <c r="S226" t="s">
        <v>10</v>
      </c>
      <c r="T226" t="s">
        <v>11</v>
      </c>
      <c r="U226" t="s">
        <v>0</v>
      </c>
      <c r="V226" t="s">
        <v>11</v>
      </c>
      <c r="W226" t="s">
        <v>13</v>
      </c>
      <c r="X226" t="s">
        <v>32</v>
      </c>
      <c r="Y226" t="s">
        <v>949</v>
      </c>
      <c r="Z226" t="s">
        <v>0</v>
      </c>
      <c r="AA226" t="s">
        <v>0</v>
      </c>
    </row>
    <row r="227" spans="1:27" ht="14" customHeight="1" x14ac:dyDescent="0.25">
      <c r="A227" s="2">
        <v>46154</v>
      </c>
      <c r="B227" t="s">
        <v>944</v>
      </c>
      <c r="C227" t="s">
        <v>945</v>
      </c>
      <c r="D227" t="s">
        <v>950</v>
      </c>
      <c r="E227" t="s">
        <v>950</v>
      </c>
      <c r="F227" t="s">
        <v>180</v>
      </c>
      <c r="G227" s="2">
        <v>46081</v>
      </c>
      <c r="H227" s="2">
        <v>46081</v>
      </c>
      <c r="I227" t="s">
        <v>190</v>
      </c>
      <c r="J227" t="s">
        <v>191</v>
      </c>
      <c r="K227" t="s">
        <v>7</v>
      </c>
      <c r="L227" t="s">
        <v>8</v>
      </c>
      <c r="M227" s="3">
        <v>-77100</v>
      </c>
      <c r="N227" s="3" t="s">
        <v>1153</v>
      </c>
      <c r="O227" t="s">
        <v>951</v>
      </c>
      <c r="P227" t="s">
        <v>948</v>
      </c>
      <c r="Q227" t="s">
        <v>876</v>
      </c>
      <c r="R227" t="s">
        <v>9</v>
      </c>
      <c r="S227" t="s">
        <v>10</v>
      </c>
      <c r="T227" t="s">
        <v>11</v>
      </c>
      <c r="U227" t="s">
        <v>0</v>
      </c>
      <c r="V227" t="s">
        <v>11</v>
      </c>
      <c r="W227" t="s">
        <v>13</v>
      </c>
      <c r="X227" t="s">
        <v>32</v>
      </c>
      <c r="Y227" t="s">
        <v>952</v>
      </c>
      <c r="Z227" t="s">
        <v>0</v>
      </c>
      <c r="AA227" t="s">
        <v>0</v>
      </c>
    </row>
    <row r="228" spans="1:27" ht="14" customHeight="1" x14ac:dyDescent="0.25">
      <c r="A228" s="2">
        <v>46154</v>
      </c>
      <c r="B228" t="s">
        <v>944</v>
      </c>
      <c r="C228" t="s">
        <v>945</v>
      </c>
      <c r="D228" t="s">
        <v>953</v>
      </c>
      <c r="E228" t="s">
        <v>953</v>
      </c>
      <c r="F228" t="s">
        <v>180</v>
      </c>
      <c r="G228" s="2">
        <v>46112</v>
      </c>
      <c r="H228" s="2">
        <v>46112</v>
      </c>
      <c r="I228" t="s">
        <v>70</v>
      </c>
      <c r="J228" t="s">
        <v>71</v>
      </c>
      <c r="K228" t="s">
        <v>7</v>
      </c>
      <c r="L228" t="s">
        <v>8</v>
      </c>
      <c r="M228" s="3">
        <v>-70500</v>
      </c>
      <c r="N228" s="3" t="s">
        <v>1153</v>
      </c>
      <c r="O228" t="s">
        <v>954</v>
      </c>
      <c r="P228" t="s">
        <v>948</v>
      </c>
      <c r="Q228" t="s">
        <v>876</v>
      </c>
      <c r="R228" t="s">
        <v>9</v>
      </c>
      <c r="S228" t="s">
        <v>10</v>
      </c>
      <c r="T228" t="s">
        <v>11</v>
      </c>
      <c r="U228" t="s">
        <v>0</v>
      </c>
      <c r="V228" t="s">
        <v>11</v>
      </c>
      <c r="W228" t="s">
        <v>13</v>
      </c>
      <c r="X228" t="s">
        <v>32</v>
      </c>
      <c r="Y228" t="s">
        <v>955</v>
      </c>
      <c r="Z228" t="s">
        <v>0</v>
      </c>
      <c r="AA228" t="s">
        <v>0</v>
      </c>
    </row>
    <row r="229" spans="1:27" ht="14" customHeight="1" x14ac:dyDescent="0.25">
      <c r="A229" s="2">
        <v>46154</v>
      </c>
      <c r="B229" t="s">
        <v>956</v>
      </c>
      <c r="C229" t="s">
        <v>957</v>
      </c>
      <c r="D229" t="s">
        <v>958</v>
      </c>
      <c r="E229" t="s">
        <v>958</v>
      </c>
      <c r="F229" t="s">
        <v>180</v>
      </c>
      <c r="G229" s="2">
        <v>46053</v>
      </c>
      <c r="H229" s="2">
        <v>46053</v>
      </c>
      <c r="I229" t="s">
        <v>28</v>
      </c>
      <c r="J229" t="s">
        <v>29</v>
      </c>
      <c r="K229" t="s">
        <v>7</v>
      </c>
      <c r="L229" t="s">
        <v>8</v>
      </c>
      <c r="M229" s="3">
        <v>-97258.66</v>
      </c>
      <c r="N229" s="3" t="s">
        <v>1153</v>
      </c>
      <c r="O229" t="s">
        <v>959</v>
      </c>
      <c r="P229" t="s">
        <v>948</v>
      </c>
      <c r="Q229" t="s">
        <v>876</v>
      </c>
      <c r="R229" t="s">
        <v>9</v>
      </c>
      <c r="S229" t="s">
        <v>10</v>
      </c>
      <c r="T229" t="s">
        <v>395</v>
      </c>
      <c r="U229" t="s">
        <v>0</v>
      </c>
      <c r="V229" t="s">
        <v>395</v>
      </c>
      <c r="W229" t="s">
        <v>13</v>
      </c>
      <c r="X229" t="s">
        <v>32</v>
      </c>
      <c r="Y229" t="s">
        <v>960</v>
      </c>
      <c r="Z229" t="s">
        <v>0</v>
      </c>
      <c r="AA229" t="s">
        <v>0</v>
      </c>
    </row>
    <row r="230" spans="1:27" ht="14" customHeight="1" x14ac:dyDescent="0.25">
      <c r="A230" s="2">
        <v>46154</v>
      </c>
      <c r="B230" t="s">
        <v>956</v>
      </c>
      <c r="C230" t="s">
        <v>957</v>
      </c>
      <c r="D230" t="s">
        <v>961</v>
      </c>
      <c r="E230" t="s">
        <v>961</v>
      </c>
      <c r="F230" t="s">
        <v>180</v>
      </c>
      <c r="G230" s="2">
        <v>46081</v>
      </c>
      <c r="H230" s="2">
        <v>46081</v>
      </c>
      <c r="I230" t="s">
        <v>190</v>
      </c>
      <c r="J230" t="s">
        <v>191</v>
      </c>
      <c r="K230" t="s">
        <v>7</v>
      </c>
      <c r="L230" t="s">
        <v>8</v>
      </c>
      <c r="M230" s="3">
        <v>-34699.68</v>
      </c>
      <c r="N230" s="3" t="s">
        <v>1153</v>
      </c>
      <c r="O230" t="s">
        <v>962</v>
      </c>
      <c r="P230" t="s">
        <v>948</v>
      </c>
      <c r="Q230" t="s">
        <v>876</v>
      </c>
      <c r="R230" t="s">
        <v>9</v>
      </c>
      <c r="S230" t="s">
        <v>10</v>
      </c>
      <c r="T230" t="s">
        <v>395</v>
      </c>
      <c r="U230" t="s">
        <v>0</v>
      </c>
      <c r="V230" t="s">
        <v>395</v>
      </c>
      <c r="W230" t="s">
        <v>13</v>
      </c>
      <c r="X230" t="s">
        <v>32</v>
      </c>
      <c r="Y230" t="s">
        <v>963</v>
      </c>
      <c r="Z230" t="s">
        <v>0</v>
      </c>
      <c r="AA230" t="s">
        <v>0</v>
      </c>
    </row>
    <row r="231" spans="1:27" ht="14" customHeight="1" x14ac:dyDescent="0.25">
      <c r="A231" s="2">
        <v>46154</v>
      </c>
      <c r="B231" t="s">
        <v>956</v>
      </c>
      <c r="C231" t="s">
        <v>957</v>
      </c>
      <c r="D231" t="s">
        <v>964</v>
      </c>
      <c r="E231" t="s">
        <v>964</v>
      </c>
      <c r="F231" t="s">
        <v>180</v>
      </c>
      <c r="G231" s="2">
        <v>46112</v>
      </c>
      <c r="H231" s="2">
        <v>46112</v>
      </c>
      <c r="I231" t="s">
        <v>70</v>
      </c>
      <c r="J231" t="s">
        <v>71</v>
      </c>
      <c r="K231" t="s">
        <v>7</v>
      </c>
      <c r="L231" t="s">
        <v>8</v>
      </c>
      <c r="M231" s="3">
        <v>-65950.080000000002</v>
      </c>
      <c r="N231" s="3" t="s">
        <v>1153</v>
      </c>
      <c r="O231" t="s">
        <v>965</v>
      </c>
      <c r="P231" t="s">
        <v>948</v>
      </c>
      <c r="Q231" t="s">
        <v>876</v>
      </c>
      <c r="R231" t="s">
        <v>9</v>
      </c>
      <c r="S231" t="s">
        <v>10</v>
      </c>
      <c r="T231" t="s">
        <v>395</v>
      </c>
      <c r="U231" t="s">
        <v>0</v>
      </c>
      <c r="V231" t="s">
        <v>395</v>
      </c>
      <c r="W231" t="s">
        <v>13</v>
      </c>
      <c r="X231" t="s">
        <v>32</v>
      </c>
      <c r="Y231" t="s">
        <v>966</v>
      </c>
      <c r="Z231" t="s">
        <v>0</v>
      </c>
      <c r="AA231" t="s">
        <v>0</v>
      </c>
    </row>
    <row r="232" spans="1:27" ht="14" customHeight="1" x14ac:dyDescent="0.25">
      <c r="A232" s="2">
        <v>46154</v>
      </c>
      <c r="B232" t="s">
        <v>967</v>
      </c>
      <c r="C232" t="s">
        <v>968</v>
      </c>
      <c r="D232" t="s">
        <v>969</v>
      </c>
      <c r="E232" t="s">
        <v>969</v>
      </c>
      <c r="F232" t="s">
        <v>180</v>
      </c>
      <c r="G232" s="2">
        <v>46112</v>
      </c>
      <c r="H232" s="2">
        <v>46112</v>
      </c>
      <c r="I232" t="s">
        <v>70</v>
      </c>
      <c r="J232" t="s">
        <v>71</v>
      </c>
      <c r="K232" t="s">
        <v>7</v>
      </c>
      <c r="L232" t="s">
        <v>8</v>
      </c>
      <c r="M232" s="3">
        <v>-148113.60000000001</v>
      </c>
      <c r="N232" s="3" t="s">
        <v>1153</v>
      </c>
      <c r="O232" t="s">
        <v>970</v>
      </c>
      <c r="P232" t="s">
        <v>948</v>
      </c>
      <c r="Q232" t="s">
        <v>876</v>
      </c>
      <c r="R232" t="s">
        <v>9</v>
      </c>
      <c r="S232" t="s">
        <v>10</v>
      </c>
      <c r="T232" t="s">
        <v>395</v>
      </c>
      <c r="U232" t="s">
        <v>0</v>
      </c>
      <c r="V232" t="s">
        <v>395</v>
      </c>
      <c r="W232" t="s">
        <v>13</v>
      </c>
      <c r="X232" t="s">
        <v>32</v>
      </c>
      <c r="Y232" t="s">
        <v>971</v>
      </c>
      <c r="Z232" t="s">
        <v>0</v>
      </c>
      <c r="AA232" t="s">
        <v>0</v>
      </c>
    </row>
    <row r="233" spans="1:27" ht="14" customHeight="1" x14ac:dyDescent="0.25">
      <c r="A233" s="2">
        <v>46154</v>
      </c>
      <c r="B233" t="s">
        <v>972</v>
      </c>
      <c r="C233" t="s">
        <v>973</v>
      </c>
      <c r="D233" t="s">
        <v>974</v>
      </c>
      <c r="E233" t="s">
        <v>974</v>
      </c>
      <c r="F233" t="s">
        <v>180</v>
      </c>
      <c r="G233" s="2">
        <v>46112</v>
      </c>
      <c r="H233" s="2">
        <v>46112</v>
      </c>
      <c r="I233" t="s">
        <v>70</v>
      </c>
      <c r="J233" t="s">
        <v>71</v>
      </c>
      <c r="K233" t="s">
        <v>7</v>
      </c>
      <c r="L233" t="s">
        <v>8</v>
      </c>
      <c r="M233" s="3">
        <v>-13748.4</v>
      </c>
      <c r="N233" s="3" t="s">
        <v>1153</v>
      </c>
      <c r="O233" t="s">
        <v>975</v>
      </c>
      <c r="P233" t="s">
        <v>948</v>
      </c>
      <c r="Q233" t="s">
        <v>876</v>
      </c>
      <c r="R233" t="s">
        <v>9</v>
      </c>
      <c r="S233" t="s">
        <v>10</v>
      </c>
      <c r="T233" t="s">
        <v>43</v>
      </c>
      <c r="U233" t="s">
        <v>0</v>
      </c>
      <c r="V233" t="s">
        <v>43</v>
      </c>
      <c r="W233" t="s">
        <v>13</v>
      </c>
      <c r="X233" t="s">
        <v>32</v>
      </c>
      <c r="Y233" t="s">
        <v>976</v>
      </c>
      <c r="Z233" t="s">
        <v>0</v>
      </c>
      <c r="AA233" t="s">
        <v>0</v>
      </c>
    </row>
    <row r="234" spans="1:27" ht="14" customHeight="1" x14ac:dyDescent="0.25">
      <c r="A234" s="2">
        <v>46154</v>
      </c>
      <c r="B234" t="s">
        <v>977</v>
      </c>
      <c r="C234" t="s">
        <v>978</v>
      </c>
      <c r="D234" t="s">
        <v>979</v>
      </c>
      <c r="E234" t="s">
        <v>979</v>
      </c>
      <c r="F234" t="s">
        <v>180</v>
      </c>
      <c r="G234" s="2">
        <v>46112</v>
      </c>
      <c r="H234" s="2">
        <v>46112</v>
      </c>
      <c r="I234" t="s">
        <v>70</v>
      </c>
      <c r="J234" t="s">
        <v>71</v>
      </c>
      <c r="K234" t="s">
        <v>7</v>
      </c>
      <c r="L234" t="s">
        <v>8</v>
      </c>
      <c r="M234" s="3">
        <v>-20103.439999999999</v>
      </c>
      <c r="N234" s="3" t="s">
        <v>1153</v>
      </c>
      <c r="O234" t="s">
        <v>980</v>
      </c>
      <c r="P234" t="s">
        <v>948</v>
      </c>
      <c r="Q234" t="s">
        <v>876</v>
      </c>
      <c r="R234" t="s">
        <v>9</v>
      </c>
      <c r="S234" t="s">
        <v>10</v>
      </c>
      <c r="T234" t="s">
        <v>43</v>
      </c>
      <c r="U234" t="s">
        <v>0</v>
      </c>
      <c r="V234" t="s">
        <v>43</v>
      </c>
      <c r="W234" t="s">
        <v>13</v>
      </c>
      <c r="X234" t="s">
        <v>32</v>
      </c>
      <c r="Y234" t="s">
        <v>981</v>
      </c>
      <c r="Z234" t="s">
        <v>0</v>
      </c>
      <c r="AA234" t="s">
        <v>0</v>
      </c>
    </row>
    <row r="235" spans="1:27" ht="14" customHeight="1" x14ac:dyDescent="0.25">
      <c r="A235" s="2">
        <v>46154</v>
      </c>
      <c r="B235" t="s">
        <v>982</v>
      </c>
      <c r="C235" t="s">
        <v>983</v>
      </c>
      <c r="D235" t="s">
        <v>984</v>
      </c>
      <c r="E235" t="s">
        <v>984</v>
      </c>
      <c r="F235" t="s">
        <v>180</v>
      </c>
      <c r="G235" s="2">
        <v>46112</v>
      </c>
      <c r="H235" s="2">
        <v>46112</v>
      </c>
      <c r="I235" t="s">
        <v>70</v>
      </c>
      <c r="J235" t="s">
        <v>71</v>
      </c>
      <c r="K235" t="s">
        <v>7</v>
      </c>
      <c r="L235" t="s">
        <v>8</v>
      </c>
      <c r="M235" s="3">
        <v>-106776.61</v>
      </c>
      <c r="N235" s="3" t="s">
        <v>1153</v>
      </c>
      <c r="O235" t="s">
        <v>985</v>
      </c>
      <c r="P235" t="s">
        <v>948</v>
      </c>
      <c r="Q235" t="s">
        <v>876</v>
      </c>
      <c r="R235" t="s">
        <v>9</v>
      </c>
      <c r="S235" t="s">
        <v>10</v>
      </c>
      <c r="T235" t="s">
        <v>43</v>
      </c>
      <c r="U235" t="s">
        <v>0</v>
      </c>
      <c r="V235" t="s">
        <v>43</v>
      </c>
      <c r="W235" t="s">
        <v>13</v>
      </c>
      <c r="X235" t="s">
        <v>32</v>
      </c>
      <c r="Y235" t="s">
        <v>986</v>
      </c>
      <c r="Z235" t="s">
        <v>0</v>
      </c>
      <c r="AA235" t="s">
        <v>0</v>
      </c>
    </row>
    <row r="236" spans="1:27" ht="14" customHeight="1" x14ac:dyDescent="0.25">
      <c r="A236" s="2">
        <v>46154</v>
      </c>
      <c r="B236" t="s">
        <v>987</v>
      </c>
      <c r="C236" t="s">
        <v>988</v>
      </c>
      <c r="D236" t="s">
        <v>989</v>
      </c>
      <c r="E236" t="s">
        <v>989</v>
      </c>
      <c r="F236" t="s">
        <v>180</v>
      </c>
      <c r="G236" s="2">
        <v>46112</v>
      </c>
      <c r="H236" s="2">
        <v>46112</v>
      </c>
      <c r="I236" t="s">
        <v>70</v>
      </c>
      <c r="J236" t="s">
        <v>71</v>
      </c>
      <c r="K236" t="s">
        <v>7</v>
      </c>
      <c r="L236" t="s">
        <v>8</v>
      </c>
      <c r="M236" s="3">
        <v>-8899.2000000000007</v>
      </c>
      <c r="N236" s="3" t="s">
        <v>1153</v>
      </c>
      <c r="O236" t="s">
        <v>990</v>
      </c>
      <c r="P236" t="s">
        <v>948</v>
      </c>
      <c r="Q236" t="s">
        <v>876</v>
      </c>
      <c r="R236" t="s">
        <v>9</v>
      </c>
      <c r="S236" t="s">
        <v>10</v>
      </c>
      <c r="T236" t="s">
        <v>43</v>
      </c>
      <c r="U236" t="s">
        <v>0</v>
      </c>
      <c r="V236" t="s">
        <v>43</v>
      </c>
      <c r="W236" t="s">
        <v>13</v>
      </c>
      <c r="X236" t="s">
        <v>32</v>
      </c>
      <c r="Y236" t="s">
        <v>991</v>
      </c>
      <c r="Z236" t="s">
        <v>0</v>
      </c>
      <c r="AA236" t="s">
        <v>0</v>
      </c>
    </row>
    <row r="237" spans="1:27" ht="14" customHeight="1" x14ac:dyDescent="0.25">
      <c r="A237" s="2">
        <v>46154</v>
      </c>
      <c r="B237" t="s">
        <v>992</v>
      </c>
      <c r="C237" t="s">
        <v>993</v>
      </c>
      <c r="D237" t="s">
        <v>994</v>
      </c>
      <c r="E237" t="s">
        <v>994</v>
      </c>
      <c r="F237" t="s">
        <v>180</v>
      </c>
      <c r="G237" s="2">
        <v>46112</v>
      </c>
      <c r="H237" s="2">
        <v>46112</v>
      </c>
      <c r="I237" t="s">
        <v>70</v>
      </c>
      <c r="J237" t="s">
        <v>71</v>
      </c>
      <c r="K237" t="s">
        <v>7</v>
      </c>
      <c r="L237" t="s">
        <v>8</v>
      </c>
      <c r="M237" s="3">
        <v>-101900</v>
      </c>
      <c r="N237" s="3" t="s">
        <v>1153</v>
      </c>
      <c r="O237" t="s">
        <v>995</v>
      </c>
      <c r="P237" t="s">
        <v>948</v>
      </c>
      <c r="Q237" t="s">
        <v>876</v>
      </c>
      <c r="R237" t="s">
        <v>9</v>
      </c>
      <c r="S237" t="s">
        <v>10</v>
      </c>
      <c r="T237" t="s">
        <v>43</v>
      </c>
      <c r="U237" t="s">
        <v>0</v>
      </c>
      <c r="V237" t="s">
        <v>43</v>
      </c>
      <c r="W237" t="s">
        <v>13</v>
      </c>
      <c r="X237" t="s">
        <v>32</v>
      </c>
      <c r="Y237" t="s">
        <v>996</v>
      </c>
      <c r="Z237" t="s">
        <v>0</v>
      </c>
      <c r="AA237" t="s">
        <v>0</v>
      </c>
    </row>
    <row r="238" spans="1:27" ht="14" customHeight="1" x14ac:dyDescent="0.25">
      <c r="A238" s="2">
        <v>46226</v>
      </c>
      <c r="B238" t="s">
        <v>944</v>
      </c>
      <c r="C238" t="s">
        <v>945</v>
      </c>
      <c r="D238" t="s">
        <v>997</v>
      </c>
      <c r="E238" t="s">
        <v>997</v>
      </c>
      <c r="F238" t="s">
        <v>180</v>
      </c>
      <c r="G238" s="2">
        <v>46142</v>
      </c>
      <c r="H238" s="2">
        <v>46142</v>
      </c>
      <c r="I238" t="s">
        <v>100</v>
      </c>
      <c r="J238" t="s">
        <v>101</v>
      </c>
      <c r="K238" t="s">
        <v>7</v>
      </c>
      <c r="L238" t="s">
        <v>8</v>
      </c>
      <c r="M238" s="3">
        <v>-42800</v>
      </c>
      <c r="N238" s="3" t="s">
        <v>1153</v>
      </c>
      <c r="O238" t="s">
        <v>998</v>
      </c>
      <c r="P238" t="s">
        <v>948</v>
      </c>
      <c r="Q238" t="s">
        <v>876</v>
      </c>
      <c r="R238" t="s">
        <v>9</v>
      </c>
      <c r="S238" t="s">
        <v>10</v>
      </c>
      <c r="T238" t="s">
        <v>11</v>
      </c>
      <c r="U238" t="s">
        <v>0</v>
      </c>
      <c r="V238" t="s">
        <v>11</v>
      </c>
      <c r="W238" t="s">
        <v>13</v>
      </c>
      <c r="X238" t="s">
        <v>32</v>
      </c>
      <c r="Y238" t="s">
        <v>999</v>
      </c>
      <c r="Z238" t="s">
        <v>0</v>
      </c>
      <c r="AA238" t="s">
        <v>0</v>
      </c>
    </row>
    <row r="239" spans="1:27" ht="14" customHeight="1" x14ac:dyDescent="0.25">
      <c r="A239" s="2">
        <v>46226</v>
      </c>
      <c r="B239" t="s">
        <v>956</v>
      </c>
      <c r="C239" t="s">
        <v>957</v>
      </c>
      <c r="D239" t="s">
        <v>1000</v>
      </c>
      <c r="E239" t="s">
        <v>1000</v>
      </c>
      <c r="F239" t="s">
        <v>180</v>
      </c>
      <c r="G239" s="2">
        <v>46142</v>
      </c>
      <c r="H239" s="2">
        <v>46142</v>
      </c>
      <c r="I239" t="s">
        <v>100</v>
      </c>
      <c r="J239" t="s">
        <v>101</v>
      </c>
      <c r="K239" t="s">
        <v>7</v>
      </c>
      <c r="L239" t="s">
        <v>8</v>
      </c>
      <c r="M239" s="3">
        <v>-43763.06</v>
      </c>
      <c r="N239" s="3" t="s">
        <v>1153</v>
      </c>
      <c r="O239" t="s">
        <v>1001</v>
      </c>
      <c r="P239" t="s">
        <v>948</v>
      </c>
      <c r="Q239" t="s">
        <v>876</v>
      </c>
      <c r="R239" t="s">
        <v>9</v>
      </c>
      <c r="S239" t="s">
        <v>10</v>
      </c>
      <c r="T239" t="s">
        <v>395</v>
      </c>
      <c r="U239" t="s">
        <v>0</v>
      </c>
      <c r="V239" t="s">
        <v>395</v>
      </c>
      <c r="W239" t="s">
        <v>13</v>
      </c>
      <c r="X239" t="s">
        <v>32</v>
      </c>
      <c r="Y239" t="s">
        <v>1002</v>
      </c>
      <c r="Z239" t="s">
        <v>0</v>
      </c>
      <c r="AA239" t="s">
        <v>0</v>
      </c>
    </row>
    <row r="240" spans="1:27" ht="14" customHeight="1" x14ac:dyDescent="0.25">
      <c r="A240" s="2">
        <v>46226</v>
      </c>
      <c r="B240" t="s">
        <v>967</v>
      </c>
      <c r="C240" t="s">
        <v>968</v>
      </c>
      <c r="D240" t="s">
        <v>1003</v>
      </c>
      <c r="E240" t="s">
        <v>1003</v>
      </c>
      <c r="F240" t="s">
        <v>180</v>
      </c>
      <c r="G240" s="2">
        <v>46142</v>
      </c>
      <c r="H240" s="2">
        <v>46142</v>
      </c>
      <c r="I240" t="s">
        <v>100</v>
      </c>
      <c r="J240" t="s">
        <v>101</v>
      </c>
      <c r="K240" t="s">
        <v>7</v>
      </c>
      <c r="L240" t="s">
        <v>8</v>
      </c>
      <c r="M240" s="3">
        <v>-273.05</v>
      </c>
      <c r="N240" s="3" t="s">
        <v>1153</v>
      </c>
      <c r="O240" t="s">
        <v>1004</v>
      </c>
      <c r="P240" t="s">
        <v>948</v>
      </c>
      <c r="Q240" t="s">
        <v>876</v>
      </c>
      <c r="R240" t="s">
        <v>9</v>
      </c>
      <c r="S240" t="s">
        <v>10</v>
      </c>
      <c r="T240" t="s">
        <v>395</v>
      </c>
      <c r="U240" t="s">
        <v>0</v>
      </c>
      <c r="V240" t="s">
        <v>395</v>
      </c>
      <c r="W240" t="s">
        <v>13</v>
      </c>
      <c r="X240" t="s">
        <v>32</v>
      </c>
      <c r="Y240" t="s">
        <v>1005</v>
      </c>
      <c r="Z240" t="s">
        <v>0</v>
      </c>
      <c r="AA240" t="s">
        <v>0</v>
      </c>
    </row>
    <row r="241" spans="1:27" ht="14" customHeight="1" x14ac:dyDescent="0.25">
      <c r="A241" s="2">
        <v>46226</v>
      </c>
      <c r="B241" t="s">
        <v>972</v>
      </c>
      <c r="C241" t="s">
        <v>973</v>
      </c>
      <c r="D241" t="s">
        <v>1006</v>
      </c>
      <c r="E241" t="s">
        <v>1006</v>
      </c>
      <c r="F241" t="s">
        <v>180</v>
      </c>
      <c r="G241" s="2">
        <v>46142</v>
      </c>
      <c r="H241" s="2">
        <v>46142</v>
      </c>
      <c r="I241" t="s">
        <v>100</v>
      </c>
      <c r="J241" t="s">
        <v>101</v>
      </c>
      <c r="K241" t="s">
        <v>7</v>
      </c>
      <c r="L241" t="s">
        <v>8</v>
      </c>
      <c r="M241" s="3">
        <v>-13748.4</v>
      </c>
      <c r="N241" s="3" t="s">
        <v>1153</v>
      </c>
      <c r="O241" t="s">
        <v>1007</v>
      </c>
      <c r="P241" t="s">
        <v>948</v>
      </c>
      <c r="Q241" t="s">
        <v>876</v>
      </c>
      <c r="R241" t="s">
        <v>9</v>
      </c>
      <c r="S241" t="s">
        <v>10</v>
      </c>
      <c r="T241" t="s">
        <v>43</v>
      </c>
      <c r="U241" t="s">
        <v>0</v>
      </c>
      <c r="V241" t="s">
        <v>43</v>
      </c>
      <c r="W241" t="s">
        <v>13</v>
      </c>
      <c r="X241" t="s">
        <v>32</v>
      </c>
      <c r="Y241" t="s">
        <v>1008</v>
      </c>
      <c r="Z241" t="s">
        <v>0</v>
      </c>
      <c r="AA241" t="s">
        <v>0</v>
      </c>
    </row>
    <row r="242" spans="1:27" ht="14" customHeight="1" x14ac:dyDescent="0.25">
      <c r="A242" s="2">
        <v>46226</v>
      </c>
      <c r="B242" t="s">
        <v>977</v>
      </c>
      <c r="C242" t="s">
        <v>978</v>
      </c>
      <c r="D242" t="s">
        <v>1009</v>
      </c>
      <c r="E242" t="s">
        <v>1009</v>
      </c>
      <c r="F242" t="s">
        <v>180</v>
      </c>
      <c r="G242" s="2">
        <v>46142</v>
      </c>
      <c r="H242" s="2">
        <v>46142</v>
      </c>
      <c r="I242" t="s">
        <v>100</v>
      </c>
      <c r="J242" t="s">
        <v>101</v>
      </c>
      <c r="K242" t="s">
        <v>7</v>
      </c>
      <c r="L242" t="s">
        <v>8</v>
      </c>
      <c r="M242" s="3">
        <v>-260103.44</v>
      </c>
      <c r="N242" s="3" t="s">
        <v>1153</v>
      </c>
      <c r="O242" t="s">
        <v>1010</v>
      </c>
      <c r="P242" t="s">
        <v>948</v>
      </c>
      <c r="Q242" t="s">
        <v>876</v>
      </c>
      <c r="R242" t="s">
        <v>9</v>
      </c>
      <c r="S242" t="s">
        <v>10</v>
      </c>
      <c r="T242" t="s">
        <v>43</v>
      </c>
      <c r="U242" t="s">
        <v>0</v>
      </c>
      <c r="V242" t="s">
        <v>43</v>
      </c>
      <c r="W242" t="s">
        <v>13</v>
      </c>
      <c r="X242" t="s">
        <v>32</v>
      </c>
      <c r="Y242" t="s">
        <v>1011</v>
      </c>
      <c r="Z242" t="s">
        <v>0</v>
      </c>
      <c r="AA242" t="s">
        <v>0</v>
      </c>
    </row>
    <row r="243" spans="1:27" ht="14" customHeight="1" x14ac:dyDescent="0.25">
      <c r="A243" s="2">
        <v>46226</v>
      </c>
      <c r="B243" t="s">
        <v>987</v>
      </c>
      <c r="C243" t="s">
        <v>988</v>
      </c>
      <c r="D243" t="s">
        <v>1012</v>
      </c>
      <c r="E243" t="s">
        <v>1012</v>
      </c>
      <c r="F243" t="s">
        <v>180</v>
      </c>
      <c r="G243" s="2">
        <v>46142</v>
      </c>
      <c r="H243" s="2">
        <v>46142</v>
      </c>
      <c r="I243" t="s">
        <v>100</v>
      </c>
      <c r="J243" t="s">
        <v>101</v>
      </c>
      <c r="K243" t="s">
        <v>7</v>
      </c>
      <c r="L243" t="s">
        <v>8</v>
      </c>
      <c r="M243" s="3">
        <v>-8899.2000000000007</v>
      </c>
      <c r="N243" s="3" t="s">
        <v>1153</v>
      </c>
      <c r="O243" t="s">
        <v>1013</v>
      </c>
      <c r="P243" t="s">
        <v>948</v>
      </c>
      <c r="Q243" t="s">
        <v>876</v>
      </c>
      <c r="R243" t="s">
        <v>9</v>
      </c>
      <c r="S243" t="s">
        <v>10</v>
      </c>
      <c r="T243" t="s">
        <v>43</v>
      </c>
      <c r="U243" t="s">
        <v>0</v>
      </c>
      <c r="V243" t="s">
        <v>43</v>
      </c>
      <c r="W243" t="s">
        <v>13</v>
      </c>
      <c r="X243" t="s">
        <v>32</v>
      </c>
      <c r="Y243" t="s">
        <v>1014</v>
      </c>
      <c r="Z243" t="s">
        <v>0</v>
      </c>
      <c r="AA243" t="s">
        <v>0</v>
      </c>
    </row>
    <row r="244" spans="1:27" ht="14" customHeight="1" x14ac:dyDescent="0.25">
      <c r="A244" s="2">
        <v>46226</v>
      </c>
      <c r="B244" t="s">
        <v>992</v>
      </c>
      <c r="C244" t="s">
        <v>993</v>
      </c>
      <c r="D244" t="s">
        <v>1015</v>
      </c>
      <c r="E244" t="s">
        <v>1015</v>
      </c>
      <c r="F244" t="s">
        <v>180</v>
      </c>
      <c r="G244" s="2">
        <v>46142</v>
      </c>
      <c r="H244" s="2">
        <v>46142</v>
      </c>
      <c r="I244" t="s">
        <v>100</v>
      </c>
      <c r="J244" t="s">
        <v>101</v>
      </c>
      <c r="K244" t="s">
        <v>7</v>
      </c>
      <c r="L244" t="s">
        <v>8</v>
      </c>
      <c r="M244" s="3">
        <v>-16714.45</v>
      </c>
      <c r="N244" s="3" t="s">
        <v>1153</v>
      </c>
      <c r="O244" t="s">
        <v>1016</v>
      </c>
      <c r="P244" t="s">
        <v>948</v>
      </c>
      <c r="Q244" t="s">
        <v>876</v>
      </c>
      <c r="R244" t="s">
        <v>9</v>
      </c>
      <c r="S244" t="s">
        <v>10</v>
      </c>
      <c r="T244" t="s">
        <v>43</v>
      </c>
      <c r="U244" t="s">
        <v>0</v>
      </c>
      <c r="V244" t="s">
        <v>43</v>
      </c>
      <c r="W244" t="s">
        <v>13</v>
      </c>
      <c r="X244" t="s">
        <v>32</v>
      </c>
      <c r="Y244" t="s">
        <v>1017</v>
      </c>
      <c r="Z244" t="s">
        <v>0</v>
      </c>
      <c r="AA244" t="s">
        <v>0</v>
      </c>
    </row>
    <row r="245" spans="1:27" ht="14" customHeight="1" x14ac:dyDescent="0.25">
      <c r="A245" s="2">
        <v>46226</v>
      </c>
      <c r="B245" t="s">
        <v>1018</v>
      </c>
      <c r="C245" t="s">
        <v>1019</v>
      </c>
      <c r="D245" t="s">
        <v>1020</v>
      </c>
      <c r="E245" t="s">
        <v>1020</v>
      </c>
      <c r="F245" t="s">
        <v>180</v>
      </c>
      <c r="G245" s="2">
        <v>46142</v>
      </c>
      <c r="H245" s="2">
        <v>46142</v>
      </c>
      <c r="I245" t="s">
        <v>100</v>
      </c>
      <c r="J245" t="s">
        <v>101</v>
      </c>
      <c r="K245" t="s">
        <v>7</v>
      </c>
      <c r="L245" t="s">
        <v>8</v>
      </c>
      <c r="M245" s="3">
        <v>-50904</v>
      </c>
      <c r="N245" s="3" t="s">
        <v>1153</v>
      </c>
      <c r="O245" t="s">
        <v>1021</v>
      </c>
      <c r="P245" t="s">
        <v>948</v>
      </c>
      <c r="Q245" t="s">
        <v>876</v>
      </c>
      <c r="R245" t="s">
        <v>9</v>
      </c>
      <c r="S245" t="s">
        <v>10</v>
      </c>
      <c r="T245" t="s">
        <v>43</v>
      </c>
      <c r="U245" t="s">
        <v>0</v>
      </c>
      <c r="V245" t="s">
        <v>43</v>
      </c>
      <c r="W245" t="s">
        <v>13</v>
      </c>
      <c r="X245" t="s">
        <v>32</v>
      </c>
      <c r="Y245" t="s">
        <v>1022</v>
      </c>
      <c r="Z245" t="s">
        <v>0</v>
      </c>
      <c r="AA245" t="s">
        <v>0</v>
      </c>
    </row>
    <row r="246" spans="1:27" ht="14" customHeight="1" x14ac:dyDescent="0.25">
      <c r="A246" s="2">
        <v>46226</v>
      </c>
      <c r="B246" t="s">
        <v>1023</v>
      </c>
      <c r="C246" t="s">
        <v>1024</v>
      </c>
      <c r="D246" t="s">
        <v>1025</v>
      </c>
      <c r="E246" t="s">
        <v>1025</v>
      </c>
      <c r="F246" t="s">
        <v>180</v>
      </c>
      <c r="G246" s="2">
        <v>46142</v>
      </c>
      <c r="H246" s="2">
        <v>46142</v>
      </c>
      <c r="I246" t="s">
        <v>100</v>
      </c>
      <c r="J246" t="s">
        <v>101</v>
      </c>
      <c r="K246" t="s">
        <v>7</v>
      </c>
      <c r="L246" t="s">
        <v>8</v>
      </c>
      <c r="M246" s="3">
        <v>-128000</v>
      </c>
      <c r="N246" s="3" t="s">
        <v>1153</v>
      </c>
      <c r="O246" t="s">
        <v>1026</v>
      </c>
      <c r="P246" t="s">
        <v>948</v>
      </c>
      <c r="Q246" t="s">
        <v>876</v>
      </c>
      <c r="R246" t="s">
        <v>9</v>
      </c>
      <c r="S246" t="s">
        <v>10</v>
      </c>
      <c r="T246" t="s">
        <v>43</v>
      </c>
      <c r="U246" t="s">
        <v>0</v>
      </c>
      <c r="V246" t="s">
        <v>43</v>
      </c>
      <c r="W246" t="s">
        <v>13</v>
      </c>
      <c r="X246" t="s">
        <v>32</v>
      </c>
      <c r="Y246" t="s">
        <v>1027</v>
      </c>
      <c r="Z246" t="s">
        <v>0</v>
      </c>
      <c r="AA246" t="s">
        <v>0</v>
      </c>
    </row>
    <row r="247" spans="1:27" ht="14" customHeight="1" x14ac:dyDescent="0.25">
      <c r="A247" s="2">
        <v>46226</v>
      </c>
      <c r="B247" t="s">
        <v>1028</v>
      </c>
      <c r="C247" t="s">
        <v>1029</v>
      </c>
      <c r="D247" t="s">
        <v>1030</v>
      </c>
      <c r="E247" t="s">
        <v>1030</v>
      </c>
      <c r="F247" t="s">
        <v>180</v>
      </c>
      <c r="G247" s="2">
        <v>46142</v>
      </c>
      <c r="H247" s="2">
        <v>46142</v>
      </c>
      <c r="I247" t="s">
        <v>100</v>
      </c>
      <c r="J247" t="s">
        <v>101</v>
      </c>
      <c r="K247" t="s">
        <v>7</v>
      </c>
      <c r="L247" t="s">
        <v>8</v>
      </c>
      <c r="M247" s="3">
        <v>-272500</v>
      </c>
      <c r="N247" s="3" t="s">
        <v>1153</v>
      </c>
      <c r="O247" t="s">
        <v>1031</v>
      </c>
      <c r="P247" t="s">
        <v>948</v>
      </c>
      <c r="Q247" t="s">
        <v>876</v>
      </c>
      <c r="R247" t="s">
        <v>9</v>
      </c>
      <c r="S247" t="s">
        <v>10</v>
      </c>
      <c r="T247" t="s">
        <v>43</v>
      </c>
      <c r="U247" t="s">
        <v>0</v>
      </c>
      <c r="V247" t="s">
        <v>43</v>
      </c>
      <c r="W247" t="s">
        <v>13</v>
      </c>
      <c r="X247" t="s">
        <v>32</v>
      </c>
      <c r="Y247" t="s">
        <v>1032</v>
      </c>
      <c r="Z247" t="s">
        <v>0</v>
      </c>
      <c r="AA247" t="s">
        <v>0</v>
      </c>
    </row>
    <row r="248" spans="1:27" ht="14" customHeight="1" x14ac:dyDescent="0.25">
      <c r="A248" s="2">
        <v>46226</v>
      </c>
      <c r="B248" t="s">
        <v>1033</v>
      </c>
      <c r="C248" t="s">
        <v>1034</v>
      </c>
      <c r="D248" t="s">
        <v>1035</v>
      </c>
      <c r="E248" t="s">
        <v>1035</v>
      </c>
      <c r="F248" t="s">
        <v>180</v>
      </c>
      <c r="G248" s="2">
        <v>46142</v>
      </c>
      <c r="H248" s="2">
        <v>46142</v>
      </c>
      <c r="I248" t="s">
        <v>100</v>
      </c>
      <c r="J248" t="s">
        <v>101</v>
      </c>
      <c r="K248" t="s">
        <v>7</v>
      </c>
      <c r="L248" t="s">
        <v>8</v>
      </c>
      <c r="M248" s="3">
        <v>-16006</v>
      </c>
      <c r="N248" s="3" t="s">
        <v>1153</v>
      </c>
      <c r="O248" t="s">
        <v>1036</v>
      </c>
      <c r="P248" t="s">
        <v>948</v>
      </c>
      <c r="Q248" t="s">
        <v>876</v>
      </c>
      <c r="R248" t="s">
        <v>9</v>
      </c>
      <c r="S248" t="s">
        <v>10</v>
      </c>
      <c r="T248" t="s">
        <v>43</v>
      </c>
      <c r="U248" t="s">
        <v>0</v>
      </c>
      <c r="V248" t="s">
        <v>43</v>
      </c>
      <c r="W248" t="s">
        <v>13</v>
      </c>
      <c r="X248" t="s">
        <v>32</v>
      </c>
      <c r="Y248" t="s">
        <v>1037</v>
      </c>
      <c r="Z248" t="s">
        <v>0</v>
      </c>
      <c r="AA248" t="s">
        <v>0</v>
      </c>
    </row>
    <row r="249" spans="1:27" ht="14" customHeight="1" x14ac:dyDescent="0.25">
      <c r="A249" s="2">
        <v>46226</v>
      </c>
      <c r="B249" t="s">
        <v>967</v>
      </c>
      <c r="C249" t="s">
        <v>968</v>
      </c>
      <c r="D249" t="s">
        <v>1038</v>
      </c>
      <c r="E249" t="s">
        <v>1038</v>
      </c>
      <c r="F249" t="s">
        <v>180</v>
      </c>
      <c r="G249" s="2">
        <v>46173</v>
      </c>
      <c r="H249" s="2">
        <v>46173</v>
      </c>
      <c r="I249" t="s">
        <v>5</v>
      </c>
      <c r="J249" t="s">
        <v>6</v>
      </c>
      <c r="K249" t="s">
        <v>7</v>
      </c>
      <c r="L249" t="s">
        <v>8</v>
      </c>
      <c r="M249" s="3">
        <v>-48233.06</v>
      </c>
      <c r="N249" s="3" t="s">
        <v>1153</v>
      </c>
      <c r="O249" t="s">
        <v>1039</v>
      </c>
      <c r="P249" t="s">
        <v>1040</v>
      </c>
      <c r="Q249" t="s">
        <v>876</v>
      </c>
      <c r="R249" t="s">
        <v>9</v>
      </c>
      <c r="S249" t="s">
        <v>10</v>
      </c>
      <c r="T249" t="s">
        <v>395</v>
      </c>
      <c r="U249" t="s">
        <v>0</v>
      </c>
      <c r="V249" t="s">
        <v>395</v>
      </c>
      <c r="W249" t="s">
        <v>13</v>
      </c>
      <c r="X249" t="s">
        <v>32</v>
      </c>
      <c r="Y249" t="s">
        <v>1041</v>
      </c>
      <c r="Z249" t="s">
        <v>0</v>
      </c>
      <c r="AA249" t="s">
        <v>0</v>
      </c>
    </row>
    <row r="250" spans="1:27" ht="14" customHeight="1" x14ac:dyDescent="0.25">
      <c r="A250" s="2">
        <v>46226</v>
      </c>
      <c r="B250" t="s">
        <v>944</v>
      </c>
      <c r="C250" t="s">
        <v>945</v>
      </c>
      <c r="D250" t="s">
        <v>1042</v>
      </c>
      <c r="E250" t="s">
        <v>1042</v>
      </c>
      <c r="F250" t="s">
        <v>180</v>
      </c>
      <c r="G250" s="2">
        <v>46173</v>
      </c>
      <c r="H250" s="2">
        <v>46173</v>
      </c>
      <c r="I250" t="s">
        <v>5</v>
      </c>
      <c r="J250" t="s">
        <v>6</v>
      </c>
      <c r="K250" t="s">
        <v>7</v>
      </c>
      <c r="L250" t="s">
        <v>8</v>
      </c>
      <c r="M250" s="3">
        <v>-114500</v>
      </c>
      <c r="N250" s="3" t="s">
        <v>1153</v>
      </c>
      <c r="O250" t="s">
        <v>1043</v>
      </c>
      <c r="P250" t="s">
        <v>1040</v>
      </c>
      <c r="Q250" t="s">
        <v>876</v>
      </c>
      <c r="R250" t="s">
        <v>9</v>
      </c>
      <c r="S250" t="s">
        <v>10</v>
      </c>
      <c r="T250" t="s">
        <v>11</v>
      </c>
      <c r="U250" t="s">
        <v>0</v>
      </c>
      <c r="V250" t="s">
        <v>11</v>
      </c>
      <c r="W250" t="s">
        <v>13</v>
      </c>
      <c r="X250" t="s">
        <v>32</v>
      </c>
      <c r="Y250" t="s">
        <v>1044</v>
      </c>
      <c r="Z250" t="s">
        <v>0</v>
      </c>
      <c r="AA250" t="s">
        <v>0</v>
      </c>
    </row>
    <row r="251" spans="1:27" ht="14" customHeight="1" x14ac:dyDescent="0.25">
      <c r="A251" s="2">
        <v>46226</v>
      </c>
      <c r="B251" t="s">
        <v>972</v>
      </c>
      <c r="C251" t="s">
        <v>973</v>
      </c>
      <c r="D251" t="s">
        <v>1045</v>
      </c>
      <c r="E251" t="s">
        <v>1045</v>
      </c>
      <c r="F251" t="s">
        <v>180</v>
      </c>
      <c r="G251" s="2">
        <v>46173</v>
      </c>
      <c r="H251" s="2">
        <v>46173</v>
      </c>
      <c r="I251" t="s">
        <v>5</v>
      </c>
      <c r="J251" t="s">
        <v>6</v>
      </c>
      <c r="K251" t="s">
        <v>7</v>
      </c>
      <c r="L251" t="s">
        <v>8</v>
      </c>
      <c r="M251" s="3">
        <v>-43748.4</v>
      </c>
      <c r="N251" s="3" t="s">
        <v>1153</v>
      </c>
      <c r="O251" t="s">
        <v>1046</v>
      </c>
      <c r="P251" t="s">
        <v>1040</v>
      </c>
      <c r="Q251" t="s">
        <v>876</v>
      </c>
      <c r="R251" t="s">
        <v>9</v>
      </c>
      <c r="S251" t="s">
        <v>10</v>
      </c>
      <c r="T251" t="s">
        <v>43</v>
      </c>
      <c r="U251" t="s">
        <v>0</v>
      </c>
      <c r="V251" t="s">
        <v>43</v>
      </c>
      <c r="W251" t="s">
        <v>13</v>
      </c>
      <c r="X251" t="s">
        <v>32</v>
      </c>
      <c r="Y251" t="s">
        <v>1047</v>
      </c>
      <c r="Z251" t="s">
        <v>0</v>
      </c>
      <c r="AA251" t="s">
        <v>0</v>
      </c>
    </row>
    <row r="252" spans="1:27" ht="14" customHeight="1" x14ac:dyDescent="0.25">
      <c r="A252" s="2">
        <v>46226</v>
      </c>
      <c r="B252" t="s">
        <v>977</v>
      </c>
      <c r="C252" t="s">
        <v>978</v>
      </c>
      <c r="D252" t="s">
        <v>1048</v>
      </c>
      <c r="E252" t="s">
        <v>1048</v>
      </c>
      <c r="F252" t="s">
        <v>180</v>
      </c>
      <c r="G252" s="2">
        <v>46173</v>
      </c>
      <c r="H252" s="2">
        <v>46173</v>
      </c>
      <c r="I252" t="s">
        <v>5</v>
      </c>
      <c r="J252" t="s">
        <v>6</v>
      </c>
      <c r="K252" t="s">
        <v>7</v>
      </c>
      <c r="L252" t="s">
        <v>8</v>
      </c>
      <c r="M252" s="3">
        <v>-20103.439999999999</v>
      </c>
      <c r="N252" s="3" t="s">
        <v>1153</v>
      </c>
      <c r="O252" t="s">
        <v>1049</v>
      </c>
      <c r="P252" t="s">
        <v>1040</v>
      </c>
      <c r="Q252" t="s">
        <v>876</v>
      </c>
      <c r="R252" t="s">
        <v>9</v>
      </c>
      <c r="S252" t="s">
        <v>10</v>
      </c>
      <c r="T252" t="s">
        <v>43</v>
      </c>
      <c r="U252" t="s">
        <v>0</v>
      </c>
      <c r="V252" t="s">
        <v>43</v>
      </c>
      <c r="W252" t="s">
        <v>13</v>
      </c>
      <c r="X252" t="s">
        <v>32</v>
      </c>
      <c r="Y252" t="s">
        <v>1050</v>
      </c>
      <c r="Z252" t="s">
        <v>0</v>
      </c>
      <c r="AA252" t="s">
        <v>0</v>
      </c>
    </row>
    <row r="253" spans="1:27" ht="14" customHeight="1" x14ac:dyDescent="0.25">
      <c r="A253" s="2">
        <v>46226</v>
      </c>
      <c r="B253" t="s">
        <v>982</v>
      </c>
      <c r="C253" t="s">
        <v>983</v>
      </c>
      <c r="D253" t="s">
        <v>1051</v>
      </c>
      <c r="E253" t="s">
        <v>1051</v>
      </c>
      <c r="F253" t="s">
        <v>180</v>
      </c>
      <c r="G253" s="2">
        <v>46173</v>
      </c>
      <c r="H253" s="2">
        <v>46173</v>
      </c>
      <c r="I253" t="s">
        <v>5</v>
      </c>
      <c r="J253" t="s">
        <v>6</v>
      </c>
      <c r="K253" t="s">
        <v>7</v>
      </c>
      <c r="L253" t="s">
        <v>8</v>
      </c>
      <c r="M253" s="3">
        <v>-39340</v>
      </c>
      <c r="N253" s="3" t="s">
        <v>1153</v>
      </c>
      <c r="O253" t="s">
        <v>1052</v>
      </c>
      <c r="P253" t="s">
        <v>1040</v>
      </c>
      <c r="Q253" t="s">
        <v>876</v>
      </c>
      <c r="R253" t="s">
        <v>9</v>
      </c>
      <c r="S253" t="s">
        <v>10</v>
      </c>
      <c r="T253" t="s">
        <v>43</v>
      </c>
      <c r="U253" t="s">
        <v>0</v>
      </c>
      <c r="V253" t="s">
        <v>43</v>
      </c>
      <c r="W253" t="s">
        <v>13</v>
      </c>
      <c r="X253" t="s">
        <v>32</v>
      </c>
      <c r="Y253" t="s">
        <v>1053</v>
      </c>
      <c r="Z253" t="s">
        <v>0</v>
      </c>
      <c r="AA253" t="s">
        <v>0</v>
      </c>
    </row>
    <row r="254" spans="1:27" ht="14" customHeight="1" x14ac:dyDescent="0.25">
      <c r="A254" s="2">
        <v>46226</v>
      </c>
      <c r="B254" t="s">
        <v>1018</v>
      </c>
      <c r="C254" t="s">
        <v>1019</v>
      </c>
      <c r="D254" t="s">
        <v>1054</v>
      </c>
      <c r="E254" t="s">
        <v>1054</v>
      </c>
      <c r="F254" t="s">
        <v>180</v>
      </c>
      <c r="G254" s="2">
        <v>46173</v>
      </c>
      <c r="H254" s="2">
        <v>46173</v>
      </c>
      <c r="I254" t="s">
        <v>5</v>
      </c>
      <c r="J254" t="s">
        <v>6</v>
      </c>
      <c r="K254" t="s">
        <v>7</v>
      </c>
      <c r="L254" t="s">
        <v>8</v>
      </c>
      <c r="M254" s="3">
        <v>-166770.79999999999</v>
      </c>
      <c r="N254" s="3" t="s">
        <v>1153</v>
      </c>
      <c r="O254" t="s">
        <v>1055</v>
      </c>
      <c r="P254" t="s">
        <v>1040</v>
      </c>
      <c r="Q254" t="s">
        <v>876</v>
      </c>
      <c r="R254" t="s">
        <v>9</v>
      </c>
      <c r="S254" t="s">
        <v>10</v>
      </c>
      <c r="T254" t="s">
        <v>43</v>
      </c>
      <c r="U254" t="s">
        <v>0</v>
      </c>
      <c r="V254" t="s">
        <v>43</v>
      </c>
      <c r="W254" t="s">
        <v>13</v>
      </c>
      <c r="X254" t="s">
        <v>32</v>
      </c>
      <c r="Y254" t="s">
        <v>1056</v>
      </c>
      <c r="Z254" t="s">
        <v>0</v>
      </c>
      <c r="AA254" t="s">
        <v>0</v>
      </c>
    </row>
    <row r="255" spans="1:27" ht="14" customHeight="1" x14ac:dyDescent="0.25">
      <c r="A255" s="2">
        <v>46226</v>
      </c>
      <c r="B255" t="s">
        <v>1023</v>
      </c>
      <c r="C255" t="s">
        <v>1024</v>
      </c>
      <c r="D255" t="s">
        <v>1057</v>
      </c>
      <c r="E255" t="s">
        <v>1057</v>
      </c>
      <c r="F255" t="s">
        <v>180</v>
      </c>
      <c r="G255" s="2">
        <v>46173</v>
      </c>
      <c r="H255" s="2">
        <v>46173</v>
      </c>
      <c r="I255" t="s">
        <v>5</v>
      </c>
      <c r="J255" t="s">
        <v>6</v>
      </c>
      <c r="K255" t="s">
        <v>7</v>
      </c>
      <c r="L255" t="s">
        <v>8</v>
      </c>
      <c r="M255" s="3">
        <v>-30000</v>
      </c>
      <c r="N255" s="3" t="s">
        <v>1153</v>
      </c>
      <c r="O255" t="s">
        <v>1058</v>
      </c>
      <c r="P255" t="s">
        <v>1040</v>
      </c>
      <c r="Q255" t="s">
        <v>876</v>
      </c>
      <c r="R255" t="s">
        <v>9</v>
      </c>
      <c r="S255" t="s">
        <v>10</v>
      </c>
      <c r="T255" t="s">
        <v>43</v>
      </c>
      <c r="U255" t="s">
        <v>0</v>
      </c>
      <c r="V255" t="s">
        <v>43</v>
      </c>
      <c r="W255" t="s">
        <v>13</v>
      </c>
      <c r="X255" t="s">
        <v>32</v>
      </c>
      <c r="Y255" t="s">
        <v>1059</v>
      </c>
      <c r="Z255" t="s">
        <v>0</v>
      </c>
      <c r="AA255" t="s">
        <v>0</v>
      </c>
    </row>
    <row r="256" spans="1:27" ht="14" customHeight="1" x14ac:dyDescent="0.25">
      <c r="A256" s="2">
        <v>46226</v>
      </c>
      <c r="B256" t="s">
        <v>1028</v>
      </c>
      <c r="C256" t="s">
        <v>1029</v>
      </c>
      <c r="D256" t="s">
        <v>1060</v>
      </c>
      <c r="E256" t="s">
        <v>1060</v>
      </c>
      <c r="F256" t="s">
        <v>180</v>
      </c>
      <c r="G256" s="2">
        <v>46173</v>
      </c>
      <c r="H256" s="2">
        <v>46173</v>
      </c>
      <c r="I256" t="s">
        <v>5</v>
      </c>
      <c r="J256" t="s">
        <v>6</v>
      </c>
      <c r="K256" t="s">
        <v>7</v>
      </c>
      <c r="L256" t="s">
        <v>8</v>
      </c>
      <c r="M256" s="3">
        <v>-30000</v>
      </c>
      <c r="N256" s="3" t="s">
        <v>1153</v>
      </c>
      <c r="O256" t="s">
        <v>1061</v>
      </c>
      <c r="P256" t="s">
        <v>1040</v>
      </c>
      <c r="Q256" t="s">
        <v>876</v>
      </c>
      <c r="R256" t="s">
        <v>9</v>
      </c>
      <c r="S256" t="s">
        <v>10</v>
      </c>
      <c r="T256" t="s">
        <v>43</v>
      </c>
      <c r="U256" t="s">
        <v>0</v>
      </c>
      <c r="V256" t="s">
        <v>43</v>
      </c>
      <c r="W256" t="s">
        <v>13</v>
      </c>
      <c r="X256" t="s">
        <v>32</v>
      </c>
      <c r="Y256" t="s">
        <v>1062</v>
      </c>
      <c r="Z256" t="s">
        <v>0</v>
      </c>
      <c r="AA256" t="s">
        <v>0</v>
      </c>
    </row>
    <row r="257" spans="1:27" ht="14" customHeight="1" x14ac:dyDescent="0.25">
      <c r="A257" s="2">
        <v>46226</v>
      </c>
      <c r="B257" t="s">
        <v>1033</v>
      </c>
      <c r="C257" t="s">
        <v>1034</v>
      </c>
      <c r="D257" t="s">
        <v>1063</v>
      </c>
      <c r="E257" t="s">
        <v>1063</v>
      </c>
      <c r="F257" t="s">
        <v>180</v>
      </c>
      <c r="G257" s="2">
        <v>46173</v>
      </c>
      <c r="H257" s="2">
        <v>46173</v>
      </c>
      <c r="I257" t="s">
        <v>5</v>
      </c>
      <c r="J257" t="s">
        <v>6</v>
      </c>
      <c r="K257" t="s">
        <v>7</v>
      </c>
      <c r="L257" t="s">
        <v>8</v>
      </c>
      <c r="M257" s="3">
        <v>-16006</v>
      </c>
      <c r="N257" s="3" t="s">
        <v>1153</v>
      </c>
      <c r="O257" t="s">
        <v>1064</v>
      </c>
      <c r="P257" t="s">
        <v>1040</v>
      </c>
      <c r="Q257" t="s">
        <v>876</v>
      </c>
      <c r="R257" t="s">
        <v>9</v>
      </c>
      <c r="S257" t="s">
        <v>10</v>
      </c>
      <c r="T257" t="s">
        <v>43</v>
      </c>
      <c r="U257" t="s">
        <v>0</v>
      </c>
      <c r="V257" t="s">
        <v>43</v>
      </c>
      <c r="W257" t="s">
        <v>13</v>
      </c>
      <c r="X257" t="s">
        <v>32</v>
      </c>
      <c r="Y257" t="s">
        <v>1065</v>
      </c>
      <c r="Z257" t="s">
        <v>0</v>
      </c>
      <c r="AA257" t="s">
        <v>0</v>
      </c>
    </row>
    <row r="258" spans="1:27" ht="14" customHeight="1" x14ac:dyDescent="0.25">
      <c r="A258" s="2">
        <v>46226</v>
      </c>
      <c r="B258" t="s">
        <v>1066</v>
      </c>
      <c r="C258" t="s">
        <v>1067</v>
      </c>
      <c r="D258" t="s">
        <v>1068</v>
      </c>
      <c r="E258" t="s">
        <v>1068</v>
      </c>
      <c r="F258" t="s">
        <v>180</v>
      </c>
      <c r="G258" s="2">
        <v>46173</v>
      </c>
      <c r="H258" s="2">
        <v>46173</v>
      </c>
      <c r="I258" t="s">
        <v>5</v>
      </c>
      <c r="J258" t="s">
        <v>6</v>
      </c>
      <c r="K258" t="s">
        <v>7</v>
      </c>
      <c r="L258" t="s">
        <v>8</v>
      </c>
      <c r="M258" s="3">
        <v>-16830</v>
      </c>
      <c r="N258" s="3" t="s">
        <v>1153</v>
      </c>
      <c r="O258" t="s">
        <v>1069</v>
      </c>
      <c r="P258" t="s">
        <v>1040</v>
      </c>
      <c r="Q258" t="s">
        <v>876</v>
      </c>
      <c r="R258" t="s">
        <v>9</v>
      </c>
      <c r="S258" t="s">
        <v>10</v>
      </c>
      <c r="T258" t="s">
        <v>43</v>
      </c>
      <c r="U258" t="s">
        <v>0</v>
      </c>
      <c r="V258" t="s">
        <v>43</v>
      </c>
      <c r="W258" t="s">
        <v>13</v>
      </c>
      <c r="X258" t="s">
        <v>32</v>
      </c>
      <c r="Y258" t="s">
        <v>1070</v>
      </c>
      <c r="Z258" t="s">
        <v>0</v>
      </c>
      <c r="AA258" t="s">
        <v>0</v>
      </c>
    </row>
    <row r="259" spans="1:27" ht="14" customHeight="1" x14ac:dyDescent="0.25">
      <c r="A259" s="2">
        <v>46226</v>
      </c>
      <c r="B259" t="s">
        <v>944</v>
      </c>
      <c r="C259" t="s">
        <v>206</v>
      </c>
      <c r="D259" t="s">
        <v>1071</v>
      </c>
      <c r="E259" t="s">
        <v>1071</v>
      </c>
      <c r="F259" t="s">
        <v>180</v>
      </c>
      <c r="G259" s="2">
        <v>46203</v>
      </c>
      <c r="H259" s="2">
        <v>46203</v>
      </c>
      <c r="I259" t="s">
        <v>149</v>
      </c>
      <c r="J259" t="s">
        <v>150</v>
      </c>
      <c r="K259" t="s">
        <v>7</v>
      </c>
      <c r="L259" t="s">
        <v>8</v>
      </c>
      <c r="M259" s="3">
        <v>-70000</v>
      </c>
      <c r="N259" s="3" t="s">
        <v>1153</v>
      </c>
      <c r="O259" t="s">
        <v>1072</v>
      </c>
      <c r="P259" t="s">
        <v>1040</v>
      </c>
      <c r="Q259" t="s">
        <v>876</v>
      </c>
      <c r="R259" t="s">
        <v>9</v>
      </c>
      <c r="S259" t="s">
        <v>10</v>
      </c>
      <c r="T259" t="s">
        <v>11</v>
      </c>
      <c r="U259" t="s">
        <v>0</v>
      </c>
      <c r="V259" t="s">
        <v>11</v>
      </c>
      <c r="W259" t="s">
        <v>13</v>
      </c>
      <c r="X259" t="s">
        <v>32</v>
      </c>
      <c r="Y259" t="s">
        <v>1073</v>
      </c>
      <c r="Z259" t="s">
        <v>0</v>
      </c>
      <c r="AA259" t="s">
        <v>0</v>
      </c>
    </row>
    <row r="260" spans="1:27" ht="14" customHeight="1" x14ac:dyDescent="0.25">
      <c r="A260" s="2">
        <v>46226</v>
      </c>
      <c r="B260" t="s">
        <v>972</v>
      </c>
      <c r="C260" t="s">
        <v>973</v>
      </c>
      <c r="D260" t="s">
        <v>1074</v>
      </c>
      <c r="E260" t="s">
        <v>1074</v>
      </c>
      <c r="F260" t="s">
        <v>180</v>
      </c>
      <c r="G260" s="2">
        <v>46203</v>
      </c>
      <c r="H260" s="2">
        <v>46203</v>
      </c>
      <c r="I260" t="s">
        <v>149</v>
      </c>
      <c r="J260" t="s">
        <v>150</v>
      </c>
      <c r="K260" t="s">
        <v>7</v>
      </c>
      <c r="L260" t="s">
        <v>8</v>
      </c>
      <c r="M260" s="3">
        <v>-13748.4</v>
      </c>
      <c r="N260" s="3" t="s">
        <v>1153</v>
      </c>
      <c r="O260" t="s">
        <v>1075</v>
      </c>
      <c r="P260" t="s">
        <v>1040</v>
      </c>
      <c r="Q260" t="s">
        <v>876</v>
      </c>
      <c r="R260" t="s">
        <v>9</v>
      </c>
      <c r="S260" t="s">
        <v>10</v>
      </c>
      <c r="T260" t="s">
        <v>43</v>
      </c>
      <c r="U260" t="s">
        <v>0</v>
      </c>
      <c r="V260" t="s">
        <v>43</v>
      </c>
      <c r="W260" t="s">
        <v>13</v>
      </c>
      <c r="X260" t="s">
        <v>32</v>
      </c>
      <c r="Y260" t="s">
        <v>1076</v>
      </c>
      <c r="Z260" t="s">
        <v>0</v>
      </c>
      <c r="AA260" t="s">
        <v>0</v>
      </c>
    </row>
    <row r="261" spans="1:27" ht="14" customHeight="1" x14ac:dyDescent="0.25">
      <c r="A261" s="2">
        <v>46226</v>
      </c>
      <c r="B261" t="s">
        <v>987</v>
      </c>
      <c r="C261" t="s">
        <v>229</v>
      </c>
      <c r="D261" t="s">
        <v>1077</v>
      </c>
      <c r="E261" t="s">
        <v>1077</v>
      </c>
      <c r="F261" t="s">
        <v>180</v>
      </c>
      <c r="G261" s="2">
        <v>46203</v>
      </c>
      <c r="H261" s="2">
        <v>46203</v>
      </c>
      <c r="I261" t="s">
        <v>149</v>
      </c>
      <c r="J261" t="s">
        <v>150</v>
      </c>
      <c r="K261" t="s">
        <v>7</v>
      </c>
      <c r="L261" t="s">
        <v>8</v>
      </c>
      <c r="M261" s="3">
        <v>-110298.4</v>
      </c>
      <c r="N261" s="3" t="s">
        <v>1153</v>
      </c>
      <c r="O261" t="s">
        <v>1078</v>
      </c>
      <c r="P261" t="s">
        <v>948</v>
      </c>
      <c r="Q261" t="s">
        <v>876</v>
      </c>
      <c r="R261" t="s">
        <v>9</v>
      </c>
      <c r="S261" t="s">
        <v>10</v>
      </c>
      <c r="T261" t="s">
        <v>43</v>
      </c>
      <c r="U261" t="s">
        <v>0</v>
      </c>
      <c r="V261" t="s">
        <v>43</v>
      </c>
      <c r="W261" t="s">
        <v>13</v>
      </c>
      <c r="X261" t="s">
        <v>32</v>
      </c>
      <c r="Y261" t="s">
        <v>1079</v>
      </c>
      <c r="Z261" t="s">
        <v>0</v>
      </c>
      <c r="AA261" t="s">
        <v>0</v>
      </c>
    </row>
    <row r="262" spans="1:27" ht="14" customHeight="1" x14ac:dyDescent="0.25">
      <c r="A262" s="2">
        <v>46226</v>
      </c>
      <c r="B262" t="s">
        <v>1023</v>
      </c>
      <c r="C262" t="s">
        <v>1024</v>
      </c>
      <c r="D262" t="s">
        <v>1080</v>
      </c>
      <c r="E262" t="s">
        <v>1080</v>
      </c>
      <c r="F262" t="s">
        <v>180</v>
      </c>
      <c r="G262" s="2">
        <v>46203</v>
      </c>
      <c r="H262" s="2">
        <v>46203</v>
      </c>
      <c r="I262" t="s">
        <v>149</v>
      </c>
      <c r="J262" t="s">
        <v>150</v>
      </c>
      <c r="K262" t="s">
        <v>7</v>
      </c>
      <c r="L262" t="s">
        <v>8</v>
      </c>
      <c r="M262" s="3">
        <v>-240000</v>
      </c>
      <c r="N262" s="3" t="s">
        <v>1153</v>
      </c>
      <c r="O262" t="s">
        <v>1081</v>
      </c>
      <c r="P262" t="s">
        <v>1040</v>
      </c>
      <c r="Q262" t="s">
        <v>876</v>
      </c>
      <c r="R262" t="s">
        <v>9</v>
      </c>
      <c r="S262" t="s">
        <v>10</v>
      </c>
      <c r="T262" t="s">
        <v>43</v>
      </c>
      <c r="U262" t="s">
        <v>0</v>
      </c>
      <c r="V262" t="s">
        <v>43</v>
      </c>
      <c r="W262" t="s">
        <v>13</v>
      </c>
      <c r="X262" t="s">
        <v>32</v>
      </c>
      <c r="Y262" t="s">
        <v>1082</v>
      </c>
      <c r="Z262" t="s">
        <v>0</v>
      </c>
      <c r="AA262" t="s">
        <v>0</v>
      </c>
    </row>
    <row r="263" spans="1:27" ht="14" customHeight="1" x14ac:dyDescent="0.25">
      <c r="A263" s="2">
        <v>46226</v>
      </c>
      <c r="B263" t="s">
        <v>1028</v>
      </c>
      <c r="C263" t="s">
        <v>1029</v>
      </c>
      <c r="D263" t="s">
        <v>1083</v>
      </c>
      <c r="E263" t="s">
        <v>1083</v>
      </c>
      <c r="F263" t="s">
        <v>180</v>
      </c>
      <c r="G263" s="2">
        <v>46203</v>
      </c>
      <c r="H263" s="2">
        <v>46203</v>
      </c>
      <c r="I263" t="s">
        <v>149</v>
      </c>
      <c r="J263" t="s">
        <v>150</v>
      </c>
      <c r="K263" t="s">
        <v>7</v>
      </c>
      <c r="L263" t="s">
        <v>8</v>
      </c>
      <c r="M263" s="3">
        <v>-29000</v>
      </c>
      <c r="N263" s="3" t="s">
        <v>1153</v>
      </c>
      <c r="O263" t="s">
        <v>1084</v>
      </c>
      <c r="P263" t="s">
        <v>1040</v>
      </c>
      <c r="Q263" t="s">
        <v>876</v>
      </c>
      <c r="R263" t="s">
        <v>9</v>
      </c>
      <c r="S263" t="s">
        <v>10</v>
      </c>
      <c r="T263" t="s">
        <v>43</v>
      </c>
      <c r="U263" t="s">
        <v>0</v>
      </c>
      <c r="V263" t="s">
        <v>43</v>
      </c>
      <c r="W263" t="s">
        <v>13</v>
      </c>
      <c r="X263" t="s">
        <v>32</v>
      </c>
      <c r="Y263" t="s">
        <v>1085</v>
      </c>
      <c r="Z263" t="s">
        <v>0</v>
      </c>
      <c r="AA263" t="s">
        <v>0</v>
      </c>
    </row>
    <row r="264" spans="1:27" ht="14" customHeight="1" x14ac:dyDescent="0.25">
      <c r="A264" s="2">
        <v>46226</v>
      </c>
      <c r="B264" t="s">
        <v>1033</v>
      </c>
      <c r="C264" t="s">
        <v>1034</v>
      </c>
      <c r="D264" t="s">
        <v>1086</v>
      </c>
      <c r="E264" t="s">
        <v>1086</v>
      </c>
      <c r="F264" t="s">
        <v>180</v>
      </c>
      <c r="G264" s="2">
        <v>46203</v>
      </c>
      <c r="H264" s="2">
        <v>46203</v>
      </c>
      <c r="I264" t="s">
        <v>149</v>
      </c>
      <c r="J264" t="s">
        <v>150</v>
      </c>
      <c r="K264" t="s">
        <v>7</v>
      </c>
      <c r="L264" t="s">
        <v>8</v>
      </c>
      <c r="M264" s="3">
        <v>-81006</v>
      </c>
      <c r="N264" s="3" t="s">
        <v>1153</v>
      </c>
      <c r="O264" t="s">
        <v>1087</v>
      </c>
      <c r="P264" t="s">
        <v>1040</v>
      </c>
      <c r="Q264" t="s">
        <v>876</v>
      </c>
      <c r="R264" t="s">
        <v>9</v>
      </c>
      <c r="S264" t="s">
        <v>10</v>
      </c>
      <c r="T264" t="s">
        <v>43</v>
      </c>
      <c r="U264" t="s">
        <v>0</v>
      </c>
      <c r="V264" t="s">
        <v>43</v>
      </c>
      <c r="W264" t="s">
        <v>13</v>
      </c>
      <c r="X264" t="s">
        <v>32</v>
      </c>
      <c r="Y264" t="s">
        <v>1088</v>
      </c>
      <c r="Z264" t="s">
        <v>0</v>
      </c>
      <c r="AA264" t="s">
        <v>0</v>
      </c>
    </row>
    <row r="265" spans="1:27" ht="14" customHeight="1" x14ac:dyDescent="0.25">
      <c r="A265" s="2">
        <v>46226</v>
      </c>
      <c r="B265" t="s">
        <v>1089</v>
      </c>
      <c r="C265" t="s">
        <v>1090</v>
      </c>
      <c r="D265" t="s">
        <v>1091</v>
      </c>
      <c r="E265" t="s">
        <v>1091</v>
      </c>
      <c r="F265" t="s">
        <v>180</v>
      </c>
      <c r="G265" s="2">
        <v>46203</v>
      </c>
      <c r="H265" s="2">
        <v>46203</v>
      </c>
      <c r="I265" t="s">
        <v>149</v>
      </c>
      <c r="J265" t="s">
        <v>150</v>
      </c>
      <c r="K265" t="s">
        <v>7</v>
      </c>
      <c r="L265" t="s">
        <v>8</v>
      </c>
      <c r="M265" s="3">
        <v>-200000</v>
      </c>
      <c r="N265" s="3" t="s">
        <v>1153</v>
      </c>
      <c r="O265" t="s">
        <v>1092</v>
      </c>
      <c r="P265" t="s">
        <v>1040</v>
      </c>
      <c r="Q265" t="s">
        <v>876</v>
      </c>
      <c r="R265" t="s">
        <v>9</v>
      </c>
      <c r="S265" t="s">
        <v>10</v>
      </c>
      <c r="T265" t="s">
        <v>395</v>
      </c>
      <c r="U265" t="s">
        <v>0</v>
      </c>
      <c r="V265" t="s">
        <v>395</v>
      </c>
      <c r="W265" t="s">
        <v>13</v>
      </c>
      <c r="X265" t="s">
        <v>32</v>
      </c>
      <c r="Y265" t="s">
        <v>1093</v>
      </c>
      <c r="Z265" t="s">
        <v>0</v>
      </c>
      <c r="AA265" t="s">
        <v>0</v>
      </c>
    </row>
    <row r="266" spans="1:27" ht="14" customHeight="1" x14ac:dyDescent="0.25">
      <c r="A266" s="2">
        <v>46226</v>
      </c>
      <c r="B266" t="s">
        <v>1094</v>
      </c>
      <c r="C266" t="s">
        <v>1095</v>
      </c>
      <c r="D266" t="s">
        <v>1096</v>
      </c>
      <c r="E266" t="s">
        <v>1096</v>
      </c>
      <c r="F266" t="s">
        <v>180</v>
      </c>
      <c r="G266" s="2">
        <v>46203</v>
      </c>
      <c r="H266" s="2">
        <v>46203</v>
      </c>
      <c r="I266" t="s">
        <v>149</v>
      </c>
      <c r="J266" t="s">
        <v>150</v>
      </c>
      <c r="K266" t="s">
        <v>7</v>
      </c>
      <c r="L266" t="s">
        <v>8</v>
      </c>
      <c r="M266" s="3">
        <v>-80680</v>
      </c>
      <c r="N266" s="3" t="s">
        <v>1153</v>
      </c>
      <c r="O266" t="s">
        <v>1097</v>
      </c>
      <c r="P266" t="s">
        <v>1040</v>
      </c>
      <c r="Q266" t="s">
        <v>876</v>
      </c>
      <c r="R266" t="s">
        <v>9</v>
      </c>
      <c r="S266" t="s">
        <v>10</v>
      </c>
      <c r="T266" t="s">
        <v>395</v>
      </c>
      <c r="U266" t="s">
        <v>0</v>
      </c>
      <c r="V266" t="s">
        <v>395</v>
      </c>
      <c r="W266" t="s">
        <v>13</v>
      </c>
      <c r="X266" t="s">
        <v>32</v>
      </c>
      <c r="Y266" t="s">
        <v>1098</v>
      </c>
      <c r="Z266" t="s">
        <v>0</v>
      </c>
      <c r="AA266" t="s">
        <v>0</v>
      </c>
    </row>
    <row r="267" spans="1:27" ht="14" customHeight="1" x14ac:dyDescent="0.25">
      <c r="A267" s="2">
        <v>46226</v>
      </c>
      <c r="B267" t="s">
        <v>1099</v>
      </c>
      <c r="C267" t="s">
        <v>1100</v>
      </c>
      <c r="D267" t="s">
        <v>1101</v>
      </c>
      <c r="E267" t="s">
        <v>1101</v>
      </c>
      <c r="F267" t="s">
        <v>180</v>
      </c>
      <c r="G267" s="2">
        <v>46203</v>
      </c>
      <c r="H267" s="2">
        <v>46203</v>
      </c>
      <c r="I267" t="s">
        <v>149</v>
      </c>
      <c r="J267" t="s">
        <v>150</v>
      </c>
      <c r="K267" t="s">
        <v>7</v>
      </c>
      <c r="L267" t="s">
        <v>8</v>
      </c>
      <c r="M267" s="3">
        <v>-11869.2</v>
      </c>
      <c r="N267" s="3" t="s">
        <v>1153</v>
      </c>
      <c r="O267" t="s">
        <v>1102</v>
      </c>
      <c r="P267" t="s">
        <v>1040</v>
      </c>
      <c r="Q267" t="s">
        <v>876</v>
      </c>
      <c r="R267" t="s">
        <v>9</v>
      </c>
      <c r="S267" t="s">
        <v>10</v>
      </c>
      <c r="T267" t="s">
        <v>395</v>
      </c>
      <c r="U267" t="s">
        <v>0</v>
      </c>
      <c r="V267" t="s">
        <v>395</v>
      </c>
      <c r="W267" t="s">
        <v>13</v>
      </c>
      <c r="X267" t="s">
        <v>32</v>
      </c>
      <c r="Y267" t="s">
        <v>1103</v>
      </c>
      <c r="Z267" t="s">
        <v>0</v>
      </c>
      <c r="AA267" t="s">
        <v>0</v>
      </c>
    </row>
    <row r="268" spans="1:27" ht="14" customHeight="1" x14ac:dyDescent="0.25">
      <c r="A268" s="2">
        <v>46122</v>
      </c>
      <c r="B268" t="s">
        <v>1104</v>
      </c>
      <c r="C268" t="s">
        <v>837</v>
      </c>
      <c r="D268" t="s">
        <v>1105</v>
      </c>
      <c r="E268" t="s">
        <v>1105</v>
      </c>
      <c r="F268" t="s">
        <v>27</v>
      </c>
      <c r="G268" s="2">
        <v>46094</v>
      </c>
      <c r="H268" s="2">
        <v>46121</v>
      </c>
      <c r="I268" t="s">
        <v>100</v>
      </c>
      <c r="J268" t="s">
        <v>101</v>
      </c>
      <c r="K268" t="s">
        <v>7</v>
      </c>
      <c r="L268" t="s">
        <v>30</v>
      </c>
      <c r="M268" s="3">
        <v>76200</v>
      </c>
      <c r="N268" s="3" t="s">
        <v>1152</v>
      </c>
      <c r="O268" t="s">
        <v>839</v>
      </c>
      <c r="P268" t="s">
        <v>840</v>
      </c>
      <c r="Q268" t="s">
        <v>1106</v>
      </c>
      <c r="R268" t="s">
        <v>9</v>
      </c>
      <c r="S268" t="s">
        <v>10</v>
      </c>
      <c r="T268" t="s">
        <v>11</v>
      </c>
      <c r="U268" t="s">
        <v>11</v>
      </c>
      <c r="V268" t="s">
        <v>11</v>
      </c>
      <c r="W268" t="s">
        <v>13</v>
      </c>
      <c r="X268" t="s">
        <v>32</v>
      </c>
      <c r="Y268" t="s">
        <v>0</v>
      </c>
      <c r="Z268" t="s">
        <v>0</v>
      </c>
      <c r="AA268" t="s">
        <v>0</v>
      </c>
    </row>
    <row r="269" spans="1:27" ht="14" customHeight="1" x14ac:dyDescent="0.25">
      <c r="A269" s="2">
        <v>46155</v>
      </c>
      <c r="B269" t="s">
        <v>1107</v>
      </c>
      <c r="C269" t="s">
        <v>124</v>
      </c>
      <c r="D269" t="s">
        <v>1108</v>
      </c>
      <c r="E269" t="s">
        <v>1108</v>
      </c>
      <c r="F269" t="s">
        <v>27</v>
      </c>
      <c r="G269" s="2">
        <v>46129</v>
      </c>
      <c r="H269" s="2">
        <v>46153</v>
      </c>
      <c r="I269" t="s">
        <v>5</v>
      </c>
      <c r="J269" t="s">
        <v>6</v>
      </c>
      <c r="K269" t="s">
        <v>7</v>
      </c>
      <c r="L269" t="s">
        <v>30</v>
      </c>
      <c r="M269" s="3">
        <v>48750</v>
      </c>
      <c r="N269" s="3" t="s">
        <v>1152</v>
      </c>
      <c r="O269" t="s">
        <v>1109</v>
      </c>
      <c r="P269" t="s">
        <v>1110</v>
      </c>
      <c r="Q269" t="s">
        <v>1106</v>
      </c>
      <c r="R269" t="s">
        <v>9</v>
      </c>
      <c r="S269" t="s">
        <v>10</v>
      </c>
      <c r="T269" t="s">
        <v>11</v>
      </c>
      <c r="U269" t="s">
        <v>11</v>
      </c>
      <c r="V269" t="s">
        <v>11</v>
      </c>
      <c r="W269" t="s">
        <v>13</v>
      </c>
      <c r="X269" t="s">
        <v>32</v>
      </c>
      <c r="Y269" t="s">
        <v>0</v>
      </c>
      <c r="Z269" t="s">
        <v>0</v>
      </c>
      <c r="AA269" t="s">
        <v>0</v>
      </c>
    </row>
    <row r="270" spans="1:27" ht="14" customHeight="1" x14ac:dyDescent="0.25">
      <c r="A270" s="2">
        <v>46226</v>
      </c>
      <c r="B270" t="s">
        <v>1111</v>
      </c>
      <c r="C270" t="s">
        <v>1112</v>
      </c>
      <c r="D270" t="s">
        <v>1113</v>
      </c>
      <c r="E270" t="s">
        <v>1113</v>
      </c>
      <c r="F270" t="s">
        <v>180</v>
      </c>
      <c r="G270" s="2">
        <v>46142</v>
      </c>
      <c r="H270" s="2">
        <v>46142</v>
      </c>
      <c r="I270" t="s">
        <v>100</v>
      </c>
      <c r="J270" t="s">
        <v>101</v>
      </c>
      <c r="K270" t="s">
        <v>7</v>
      </c>
      <c r="L270" t="s">
        <v>8</v>
      </c>
      <c r="M270" s="3">
        <v>-16872</v>
      </c>
      <c r="N270" s="3" t="s">
        <v>1153</v>
      </c>
      <c r="O270" t="s">
        <v>1114</v>
      </c>
      <c r="P270" t="s">
        <v>1115</v>
      </c>
      <c r="Q270" t="s">
        <v>1106</v>
      </c>
      <c r="R270" t="s">
        <v>9</v>
      </c>
      <c r="S270" t="s">
        <v>10</v>
      </c>
      <c r="T270" t="s">
        <v>11</v>
      </c>
      <c r="U270" t="s">
        <v>0</v>
      </c>
      <c r="V270" t="s">
        <v>11</v>
      </c>
      <c r="W270" t="s">
        <v>13</v>
      </c>
      <c r="X270" t="s">
        <v>32</v>
      </c>
      <c r="Y270" t="s">
        <v>1116</v>
      </c>
      <c r="Z270" t="s">
        <v>0</v>
      </c>
      <c r="AA270" t="s">
        <v>0</v>
      </c>
    </row>
    <row r="271" spans="1:27" ht="14" customHeight="1" x14ac:dyDescent="0.25">
      <c r="A271" s="2">
        <v>46226</v>
      </c>
      <c r="B271" t="s">
        <v>1111</v>
      </c>
      <c r="C271" t="s">
        <v>1112</v>
      </c>
      <c r="D271" t="s">
        <v>1117</v>
      </c>
      <c r="E271" t="s">
        <v>1117</v>
      </c>
      <c r="F271" t="s">
        <v>180</v>
      </c>
      <c r="G271" s="2">
        <v>46173</v>
      </c>
      <c r="H271" s="2">
        <v>46173</v>
      </c>
      <c r="I271" t="s">
        <v>5</v>
      </c>
      <c r="J271" t="s">
        <v>6</v>
      </c>
      <c r="K271" t="s">
        <v>7</v>
      </c>
      <c r="L271" t="s">
        <v>8</v>
      </c>
      <c r="M271" s="3">
        <v>-17272</v>
      </c>
      <c r="N271" s="3" t="s">
        <v>1153</v>
      </c>
      <c r="O271" t="s">
        <v>1118</v>
      </c>
      <c r="P271" t="s">
        <v>1115</v>
      </c>
      <c r="Q271" t="s">
        <v>1106</v>
      </c>
      <c r="R271" t="s">
        <v>9</v>
      </c>
      <c r="S271" t="s">
        <v>10</v>
      </c>
      <c r="T271" t="s">
        <v>11</v>
      </c>
      <c r="U271" t="s">
        <v>0</v>
      </c>
      <c r="V271" t="s">
        <v>11</v>
      </c>
      <c r="W271" t="s">
        <v>13</v>
      </c>
      <c r="X271" t="s">
        <v>32</v>
      </c>
      <c r="Y271" t="s">
        <v>1119</v>
      </c>
      <c r="Z271" t="s">
        <v>0</v>
      </c>
      <c r="AA271" t="s">
        <v>0</v>
      </c>
    </row>
    <row r="272" spans="1:27" ht="14" customHeight="1" x14ac:dyDescent="0.25">
      <c r="A272" s="2">
        <v>46226</v>
      </c>
      <c r="B272" t="s">
        <v>1111</v>
      </c>
      <c r="C272" t="s">
        <v>1112</v>
      </c>
      <c r="D272" t="s">
        <v>1120</v>
      </c>
      <c r="E272" t="s">
        <v>1120</v>
      </c>
      <c r="F272" t="s">
        <v>180</v>
      </c>
      <c r="G272" s="2">
        <v>46203</v>
      </c>
      <c r="H272" s="2">
        <v>46203</v>
      </c>
      <c r="I272" t="s">
        <v>149</v>
      </c>
      <c r="J272" t="s">
        <v>150</v>
      </c>
      <c r="K272" t="s">
        <v>7</v>
      </c>
      <c r="L272" t="s">
        <v>8</v>
      </c>
      <c r="M272" s="3">
        <v>-23800</v>
      </c>
      <c r="N272" s="3" t="s">
        <v>1153</v>
      </c>
      <c r="O272" t="s">
        <v>1121</v>
      </c>
      <c r="P272" t="s">
        <v>1115</v>
      </c>
      <c r="Q272" t="s">
        <v>1106</v>
      </c>
      <c r="R272" t="s">
        <v>9</v>
      </c>
      <c r="S272" t="s">
        <v>10</v>
      </c>
      <c r="T272" t="s">
        <v>11</v>
      </c>
      <c r="U272" t="s">
        <v>0</v>
      </c>
      <c r="V272" t="s">
        <v>11</v>
      </c>
      <c r="W272" t="s">
        <v>13</v>
      </c>
      <c r="X272" t="s">
        <v>32</v>
      </c>
      <c r="Y272" t="s">
        <v>1122</v>
      </c>
      <c r="Z272" t="s">
        <v>0</v>
      </c>
      <c r="AA272" t="s">
        <v>0</v>
      </c>
    </row>
    <row r="273" spans="1:27" x14ac:dyDescent="0.25">
      <c r="M273" s="16">
        <v>-258756.23</v>
      </c>
      <c r="N273" s="3" t="s">
        <v>1153</v>
      </c>
      <c r="Q273" t="s">
        <v>12</v>
      </c>
      <c r="T273" t="s">
        <v>43</v>
      </c>
    </row>
    <row r="274" spans="1:27" x14ac:dyDescent="0.25">
      <c r="M274" s="16">
        <v>-525391.43999999994</v>
      </c>
      <c r="N274" s="3" t="s">
        <v>1153</v>
      </c>
      <c r="Q274" t="s">
        <v>396</v>
      </c>
      <c r="T274" t="s">
        <v>423</v>
      </c>
    </row>
    <row r="275" spans="1:27" x14ac:dyDescent="0.25">
      <c r="M275" s="16">
        <v>-167150.67000000001</v>
      </c>
      <c r="N275" s="3" t="s">
        <v>1153</v>
      </c>
      <c r="Q275" s="22" t="s">
        <v>714</v>
      </c>
      <c r="T275" t="s">
        <v>11</v>
      </c>
    </row>
    <row r="276" spans="1:27" x14ac:dyDescent="0.25">
      <c r="M276" s="16">
        <v>-58069.15</v>
      </c>
      <c r="N276" s="3" t="s">
        <v>1153</v>
      </c>
      <c r="Q276" t="s">
        <v>791</v>
      </c>
      <c r="T276" t="s">
        <v>11</v>
      </c>
    </row>
    <row r="277" spans="1:27" x14ac:dyDescent="0.25">
      <c r="M277" s="16">
        <v>-53380.29</v>
      </c>
      <c r="N277" s="3" t="s">
        <v>1153</v>
      </c>
      <c r="Q277" t="s">
        <v>876</v>
      </c>
      <c r="T277" t="s">
        <v>395</v>
      </c>
    </row>
    <row r="278" spans="1:27" x14ac:dyDescent="0.25">
      <c r="M278" s="16">
        <v>-138481.23000000001</v>
      </c>
      <c r="N278" s="3" t="s">
        <v>1153</v>
      </c>
      <c r="Q278" t="s">
        <v>876</v>
      </c>
      <c r="T278" t="s">
        <v>43</v>
      </c>
    </row>
    <row r="279" spans="1:27" x14ac:dyDescent="0.25">
      <c r="M279" s="16">
        <v>-48750</v>
      </c>
      <c r="N279" s="3" t="s">
        <v>1153</v>
      </c>
      <c r="Q279" t="s">
        <v>1106</v>
      </c>
      <c r="T279" t="s">
        <v>11</v>
      </c>
    </row>
    <row r="280" spans="1:27" x14ac:dyDescent="0.25">
      <c r="M280" s="16"/>
    </row>
    <row r="281" spans="1:27" x14ac:dyDescent="0.25">
      <c r="M281" s="21">
        <f>SUM(M273:M279)</f>
        <v>-1249979.01</v>
      </c>
    </row>
    <row r="282" spans="1:27" x14ac:dyDescent="0.25">
      <c r="A282" s="8"/>
      <c r="B282" s="7" t="s">
        <v>0</v>
      </c>
      <c r="C282" s="7" t="s">
        <v>0</v>
      </c>
      <c r="D282" s="7" t="s">
        <v>0</v>
      </c>
      <c r="E282" s="7" t="s">
        <v>0</v>
      </c>
      <c r="F282" s="7" t="s">
        <v>0</v>
      </c>
      <c r="G282" s="8"/>
      <c r="H282" s="8"/>
      <c r="I282" s="7" t="s">
        <v>0</v>
      </c>
      <c r="J282" s="7" t="s">
        <v>0</v>
      </c>
      <c r="K282" s="7" t="s">
        <v>0</v>
      </c>
      <c r="L282" s="7" t="s">
        <v>0</v>
      </c>
      <c r="M282" s="9">
        <v>18548742.199999999</v>
      </c>
      <c r="N282" s="9"/>
      <c r="O282" s="7" t="s">
        <v>0</v>
      </c>
      <c r="P282" s="7" t="s">
        <v>0</v>
      </c>
      <c r="Q282" s="7" t="s">
        <v>0</v>
      </c>
      <c r="R282" s="7" t="s">
        <v>9</v>
      </c>
      <c r="S282" s="7" t="s">
        <v>0</v>
      </c>
      <c r="T282" s="7" t="s">
        <v>0</v>
      </c>
      <c r="U282" s="7" t="s">
        <v>0</v>
      </c>
      <c r="V282" s="7" t="s">
        <v>0</v>
      </c>
      <c r="W282" s="7" t="s">
        <v>0</v>
      </c>
      <c r="X282" s="7" t="s">
        <v>0</v>
      </c>
      <c r="Y282" s="7" t="s">
        <v>0</v>
      </c>
      <c r="Z282" s="7" t="s">
        <v>0</v>
      </c>
      <c r="AA282" s="7" t="s">
        <v>0</v>
      </c>
    </row>
    <row r="285" spans="1:27" x14ac:dyDescent="0.25">
      <c r="A285" s="5"/>
      <c r="B285" s="4" t="s">
        <v>0</v>
      </c>
      <c r="C285" s="4" t="s">
        <v>0</v>
      </c>
      <c r="D285" s="4" t="s">
        <v>0</v>
      </c>
      <c r="E285" s="4" t="s">
        <v>0</v>
      </c>
      <c r="F285" s="4" t="s">
        <v>0</v>
      </c>
      <c r="G285" s="5"/>
      <c r="H285" s="5"/>
      <c r="I285" s="4" t="s">
        <v>0</v>
      </c>
      <c r="J285" s="4" t="s">
        <v>0</v>
      </c>
      <c r="K285" s="4" t="s">
        <v>0</v>
      </c>
      <c r="L285" s="4" t="s">
        <v>0</v>
      </c>
      <c r="M285" s="6">
        <v>11335979.82</v>
      </c>
      <c r="N285" s="6"/>
      <c r="O285" s="4" t="s">
        <v>0</v>
      </c>
      <c r="P285" s="4" t="s">
        <v>0</v>
      </c>
      <c r="Q285" s="4" t="s">
        <v>12</v>
      </c>
      <c r="R285" s="4" t="s">
        <v>9</v>
      </c>
      <c r="S285" s="4" t="s">
        <v>0</v>
      </c>
      <c r="T285" s="4" t="s">
        <v>0</v>
      </c>
      <c r="U285" s="4" t="s">
        <v>0</v>
      </c>
      <c r="V285" s="4" t="s">
        <v>0</v>
      </c>
      <c r="W285" s="4" t="s">
        <v>0</v>
      </c>
      <c r="X285" s="4" t="s">
        <v>0</v>
      </c>
      <c r="Y285" s="4" t="s">
        <v>0</v>
      </c>
      <c r="Z285" s="4" t="s">
        <v>0</v>
      </c>
      <c r="AA285" s="4" t="s">
        <v>0</v>
      </c>
    </row>
    <row r="286" spans="1:27" x14ac:dyDescent="0.25">
      <c r="A286" s="5"/>
      <c r="B286" s="4" t="s">
        <v>0</v>
      </c>
      <c r="C286" s="4" t="s">
        <v>0</v>
      </c>
      <c r="D286" s="4" t="s">
        <v>0</v>
      </c>
      <c r="E286" s="4" t="s">
        <v>0</v>
      </c>
      <c r="F286" s="4" t="s">
        <v>0</v>
      </c>
      <c r="G286" s="5"/>
      <c r="H286" s="5"/>
      <c r="I286" s="4" t="s">
        <v>0</v>
      </c>
      <c r="J286" s="4" t="s">
        <v>0</v>
      </c>
      <c r="K286" s="4" t="s">
        <v>0</v>
      </c>
      <c r="L286" s="4" t="s">
        <v>0</v>
      </c>
      <c r="M286" s="6">
        <v>4053541.65</v>
      </c>
      <c r="N286" s="6"/>
      <c r="O286" s="4" t="s">
        <v>0</v>
      </c>
      <c r="P286" s="4" t="s">
        <v>0</v>
      </c>
      <c r="Q286" s="4" t="s">
        <v>396</v>
      </c>
      <c r="R286" s="4" t="s">
        <v>9</v>
      </c>
      <c r="S286" s="4" t="s">
        <v>0</v>
      </c>
      <c r="T286" s="4" t="s">
        <v>0</v>
      </c>
      <c r="U286" s="4" t="s">
        <v>0</v>
      </c>
      <c r="V286" s="4" t="s">
        <v>0</v>
      </c>
      <c r="W286" s="4" t="s">
        <v>0</v>
      </c>
      <c r="X286" s="4" t="s">
        <v>0</v>
      </c>
      <c r="Y286" s="4" t="s">
        <v>0</v>
      </c>
      <c r="Z286" s="4" t="s">
        <v>0</v>
      </c>
      <c r="AA286" s="4" t="s">
        <v>0</v>
      </c>
    </row>
    <row r="287" spans="1:27" x14ac:dyDescent="0.25">
      <c r="A287" s="5"/>
      <c r="B287" s="4" t="s">
        <v>0</v>
      </c>
      <c r="C287" s="4" t="s">
        <v>0</v>
      </c>
      <c r="D287" s="4" t="s">
        <v>0</v>
      </c>
      <c r="E287" s="4" t="s">
        <v>0</v>
      </c>
      <c r="F287" s="4" t="s">
        <v>0</v>
      </c>
      <c r="G287" s="5"/>
      <c r="H287" s="5"/>
      <c r="I287" s="4" t="s">
        <v>0</v>
      </c>
      <c r="J287" s="4" t="s">
        <v>0</v>
      </c>
      <c r="K287" s="4" t="s">
        <v>0</v>
      </c>
      <c r="L287" s="4" t="s">
        <v>0</v>
      </c>
      <c r="M287" s="6">
        <v>403138.97</v>
      </c>
      <c r="N287" s="6"/>
      <c r="O287" s="4" t="s">
        <v>0</v>
      </c>
      <c r="P287" s="4" t="s">
        <v>0</v>
      </c>
      <c r="Q287" s="4" t="s">
        <v>568</v>
      </c>
      <c r="R287" s="4" t="s">
        <v>9</v>
      </c>
      <c r="S287" s="4" t="s">
        <v>0</v>
      </c>
      <c r="T287" s="4" t="s">
        <v>0</v>
      </c>
      <c r="U287" s="4" t="s">
        <v>0</v>
      </c>
      <c r="V287" s="4" t="s">
        <v>0</v>
      </c>
      <c r="W287" s="4" t="s">
        <v>0</v>
      </c>
      <c r="X287" s="4" t="s">
        <v>0</v>
      </c>
      <c r="Y287" s="4" t="s">
        <v>0</v>
      </c>
      <c r="Z287" s="4" t="s">
        <v>0</v>
      </c>
      <c r="AA287" s="4" t="s">
        <v>0</v>
      </c>
    </row>
    <row r="288" spans="1:27" x14ac:dyDescent="0.25">
      <c r="A288" s="5"/>
      <c r="B288" s="4" t="s">
        <v>0</v>
      </c>
      <c r="C288" s="4" t="s">
        <v>0</v>
      </c>
      <c r="D288" s="4" t="s">
        <v>0</v>
      </c>
      <c r="E288" s="4" t="s">
        <v>0</v>
      </c>
      <c r="F288" s="4" t="s">
        <v>0</v>
      </c>
      <c r="G288" s="5"/>
      <c r="H288" s="5"/>
      <c r="I288" s="4" t="s">
        <v>0</v>
      </c>
      <c r="J288" s="4" t="s">
        <v>0</v>
      </c>
      <c r="K288" s="4" t="s">
        <v>0</v>
      </c>
      <c r="L288" s="4" t="s">
        <v>0</v>
      </c>
      <c r="M288" s="6">
        <v>167150.67000000001</v>
      </c>
      <c r="N288" s="6"/>
      <c r="O288" s="4" t="s">
        <v>0</v>
      </c>
      <c r="P288" s="4" t="s">
        <v>0</v>
      </c>
      <c r="Q288" s="4" t="s">
        <v>714</v>
      </c>
      <c r="R288" s="4" t="s">
        <v>9</v>
      </c>
      <c r="S288" s="4" t="s">
        <v>0</v>
      </c>
      <c r="T288" s="4" t="s">
        <v>0</v>
      </c>
      <c r="U288" s="4" t="s">
        <v>0</v>
      </c>
      <c r="V288" s="4" t="s">
        <v>0</v>
      </c>
      <c r="W288" s="4" t="s">
        <v>0</v>
      </c>
      <c r="X288" s="4" t="s">
        <v>0</v>
      </c>
      <c r="Y288" s="4" t="s">
        <v>0</v>
      </c>
      <c r="Z288" s="4" t="s">
        <v>0</v>
      </c>
      <c r="AA288" s="4" t="s">
        <v>0</v>
      </c>
    </row>
    <row r="289" spans="1:27" x14ac:dyDescent="0.25">
      <c r="A289" s="5"/>
      <c r="B289" s="4" t="s">
        <v>0</v>
      </c>
      <c r="C289" s="4" t="s">
        <v>0</v>
      </c>
      <c r="D289" s="4" t="s">
        <v>0</v>
      </c>
      <c r="E289" s="4" t="s">
        <v>0</v>
      </c>
      <c r="F289" s="4" t="s">
        <v>0</v>
      </c>
      <c r="G289" s="5"/>
      <c r="H289" s="5"/>
      <c r="I289" s="4" t="s">
        <v>0</v>
      </c>
      <c r="J289" s="4" t="s">
        <v>0</v>
      </c>
      <c r="K289" s="4" t="s">
        <v>0</v>
      </c>
      <c r="L289" s="4" t="s">
        <v>0</v>
      </c>
      <c r="M289" s="6">
        <v>52832</v>
      </c>
      <c r="N289" s="6"/>
      <c r="O289" s="4" t="s">
        <v>0</v>
      </c>
      <c r="P289" s="4" t="s">
        <v>0</v>
      </c>
      <c r="Q289" s="4" t="s">
        <v>736</v>
      </c>
      <c r="R289" s="4" t="s">
        <v>9</v>
      </c>
      <c r="S289" s="4" t="s">
        <v>0</v>
      </c>
      <c r="T289" s="4" t="s">
        <v>0</v>
      </c>
      <c r="U289" s="4" t="s">
        <v>0</v>
      </c>
      <c r="V289" s="4" t="s">
        <v>0</v>
      </c>
      <c r="W289" s="4" t="s">
        <v>0</v>
      </c>
      <c r="X289" s="4" t="s">
        <v>0</v>
      </c>
      <c r="Y289" s="4" t="s">
        <v>0</v>
      </c>
      <c r="Z289" s="4" t="s">
        <v>0</v>
      </c>
      <c r="AA289" s="4" t="s">
        <v>0</v>
      </c>
    </row>
    <row r="290" spans="1:27" x14ac:dyDescent="0.25">
      <c r="A290" s="5"/>
      <c r="B290" s="4" t="s">
        <v>0</v>
      </c>
      <c r="C290" s="4" t="s">
        <v>0</v>
      </c>
      <c r="D290" s="4" t="s">
        <v>0</v>
      </c>
      <c r="E290" s="4" t="s">
        <v>0</v>
      </c>
      <c r="F290" s="4" t="s">
        <v>0</v>
      </c>
      <c r="G290" s="5"/>
      <c r="H290" s="5"/>
      <c r="I290" s="4" t="s">
        <v>0</v>
      </c>
      <c r="J290" s="4" t="s">
        <v>0</v>
      </c>
      <c r="K290" s="4" t="s">
        <v>0</v>
      </c>
      <c r="L290" s="4" t="s">
        <v>0</v>
      </c>
      <c r="M290" s="6">
        <v>734540</v>
      </c>
      <c r="N290" s="6"/>
      <c r="O290" s="4" t="s">
        <v>0</v>
      </c>
      <c r="P290" s="4" t="s">
        <v>0</v>
      </c>
      <c r="Q290" s="4" t="s">
        <v>762</v>
      </c>
      <c r="R290" s="4" t="s">
        <v>9</v>
      </c>
      <c r="S290" s="4" t="s">
        <v>0</v>
      </c>
      <c r="T290" s="4" t="s">
        <v>0</v>
      </c>
      <c r="U290" s="4" t="s">
        <v>0</v>
      </c>
      <c r="V290" s="4" t="s">
        <v>0</v>
      </c>
      <c r="W290" s="4" t="s">
        <v>0</v>
      </c>
      <c r="X290" s="4" t="s">
        <v>0</v>
      </c>
      <c r="Y290" s="4" t="s">
        <v>0</v>
      </c>
      <c r="Z290" s="4" t="s">
        <v>0</v>
      </c>
      <c r="AA290" s="4" t="s">
        <v>0</v>
      </c>
    </row>
    <row r="291" spans="1:27" x14ac:dyDescent="0.25">
      <c r="A291" s="5"/>
      <c r="B291" s="4" t="s">
        <v>0</v>
      </c>
      <c r="C291" s="4" t="s">
        <v>0</v>
      </c>
      <c r="D291" s="4" t="s">
        <v>0</v>
      </c>
      <c r="E291" s="4" t="s">
        <v>0</v>
      </c>
      <c r="F291" s="4" t="s">
        <v>0</v>
      </c>
      <c r="G291" s="5"/>
      <c r="H291" s="5"/>
      <c r="I291" s="4" t="s">
        <v>0</v>
      </c>
      <c r="J291" s="4" t="s">
        <v>0</v>
      </c>
      <c r="K291" s="4" t="s">
        <v>0</v>
      </c>
      <c r="L291" s="4" t="s">
        <v>0</v>
      </c>
      <c r="M291" s="6">
        <v>33528</v>
      </c>
      <c r="N291" s="6"/>
      <c r="O291" s="4" t="s">
        <v>0</v>
      </c>
      <c r="P291" s="4" t="s">
        <v>0</v>
      </c>
      <c r="Q291" s="4" t="s">
        <v>774</v>
      </c>
      <c r="R291" s="4" t="s">
        <v>9</v>
      </c>
      <c r="S291" s="4" t="s">
        <v>0</v>
      </c>
      <c r="T291" s="4" t="s">
        <v>0</v>
      </c>
      <c r="U291" s="4" t="s">
        <v>0</v>
      </c>
      <c r="V291" s="4" t="s">
        <v>0</v>
      </c>
      <c r="W291" s="4" t="s">
        <v>0</v>
      </c>
      <c r="X291" s="4" t="s">
        <v>0</v>
      </c>
      <c r="Y291" s="4" t="s">
        <v>0</v>
      </c>
      <c r="Z291" s="4" t="s">
        <v>0</v>
      </c>
      <c r="AA291" s="4" t="s">
        <v>0</v>
      </c>
    </row>
    <row r="292" spans="1:27" x14ac:dyDescent="0.25">
      <c r="A292" s="5"/>
      <c r="B292" s="4" t="s">
        <v>0</v>
      </c>
      <c r="C292" s="4" t="s">
        <v>0</v>
      </c>
      <c r="D292" s="4" t="s">
        <v>0</v>
      </c>
      <c r="E292" s="4" t="s">
        <v>0</v>
      </c>
      <c r="F292" s="4" t="s">
        <v>0</v>
      </c>
      <c r="G292" s="5"/>
      <c r="H292" s="5"/>
      <c r="I292" s="4" t="s">
        <v>0</v>
      </c>
      <c r="J292" s="4" t="s">
        <v>0</v>
      </c>
      <c r="K292" s="4" t="s">
        <v>0</v>
      </c>
      <c r="L292" s="4" t="s">
        <v>0</v>
      </c>
      <c r="M292" s="6">
        <v>107837.15</v>
      </c>
      <c r="N292" s="6"/>
      <c r="O292" s="4" t="s">
        <v>0</v>
      </c>
      <c r="P292" s="4" t="s">
        <v>0</v>
      </c>
      <c r="Q292" s="4" t="s">
        <v>791</v>
      </c>
      <c r="R292" s="4" t="s">
        <v>9</v>
      </c>
      <c r="S292" s="4" t="s">
        <v>0</v>
      </c>
      <c r="T292" s="4" t="s">
        <v>0</v>
      </c>
      <c r="U292" s="4" t="s">
        <v>0</v>
      </c>
      <c r="V292" s="4" t="s">
        <v>0</v>
      </c>
      <c r="W292" s="4" t="s">
        <v>0</v>
      </c>
      <c r="X292" s="4" t="s">
        <v>0</v>
      </c>
      <c r="Y292" s="4" t="s">
        <v>0</v>
      </c>
      <c r="Z292" s="4" t="s">
        <v>0</v>
      </c>
      <c r="AA292" s="4" t="s">
        <v>0</v>
      </c>
    </row>
    <row r="293" spans="1:27" x14ac:dyDescent="0.25">
      <c r="A293" s="5"/>
      <c r="B293" s="4" t="s">
        <v>0</v>
      </c>
      <c r="C293" s="4" t="s">
        <v>0</v>
      </c>
      <c r="D293" s="4" t="s">
        <v>0</v>
      </c>
      <c r="E293" s="4" t="s">
        <v>0</v>
      </c>
      <c r="F293" s="4" t="s">
        <v>0</v>
      </c>
      <c r="G293" s="5"/>
      <c r="H293" s="5"/>
      <c r="I293" s="4" t="s">
        <v>0</v>
      </c>
      <c r="J293" s="4" t="s">
        <v>0</v>
      </c>
      <c r="K293" s="4" t="s">
        <v>0</v>
      </c>
      <c r="L293" s="4" t="s">
        <v>0</v>
      </c>
      <c r="M293" s="6">
        <v>19678.91</v>
      </c>
      <c r="N293" s="6"/>
      <c r="O293" s="4" t="s">
        <v>0</v>
      </c>
      <c r="P293" s="4" t="s">
        <v>0</v>
      </c>
      <c r="Q293" s="4" t="s">
        <v>832</v>
      </c>
      <c r="R293" s="4" t="s">
        <v>9</v>
      </c>
      <c r="S293" s="4" t="s">
        <v>0</v>
      </c>
      <c r="T293" s="4" t="s">
        <v>0</v>
      </c>
      <c r="U293" s="4" t="s">
        <v>0</v>
      </c>
      <c r="V293" s="4" t="s">
        <v>0</v>
      </c>
      <c r="W293" s="4" t="s">
        <v>0</v>
      </c>
      <c r="X293" s="4" t="s">
        <v>0</v>
      </c>
      <c r="Y293" s="4" t="s">
        <v>0</v>
      </c>
      <c r="Z293" s="4" t="s">
        <v>0</v>
      </c>
      <c r="AA293" s="4" t="s">
        <v>0</v>
      </c>
    </row>
    <row r="294" spans="1:27" x14ac:dyDescent="0.25">
      <c r="A294" s="5"/>
      <c r="B294" s="4" t="s">
        <v>0</v>
      </c>
      <c r="C294" s="4" t="s">
        <v>0</v>
      </c>
      <c r="D294" s="4" t="s">
        <v>0</v>
      </c>
      <c r="E294" s="4" t="s">
        <v>0</v>
      </c>
      <c r="F294" s="4" t="s">
        <v>0</v>
      </c>
      <c r="G294" s="5"/>
      <c r="H294" s="5"/>
      <c r="I294" s="4" t="s">
        <v>0</v>
      </c>
      <c r="J294" s="4" t="s">
        <v>0</v>
      </c>
      <c r="K294" s="4" t="s">
        <v>0</v>
      </c>
      <c r="L294" s="4" t="s">
        <v>0</v>
      </c>
      <c r="M294" s="6">
        <v>70104</v>
      </c>
      <c r="N294" s="6"/>
      <c r="O294" s="4" t="s">
        <v>0</v>
      </c>
      <c r="P294" s="4" t="s">
        <v>0</v>
      </c>
      <c r="Q294" s="4" t="s">
        <v>852</v>
      </c>
      <c r="R294" s="4" t="s">
        <v>9</v>
      </c>
      <c r="S294" s="4" t="s">
        <v>0</v>
      </c>
      <c r="T294" s="4" t="s">
        <v>0</v>
      </c>
      <c r="U294" s="4" t="s">
        <v>0</v>
      </c>
      <c r="V294" s="4" t="s">
        <v>0</v>
      </c>
      <c r="W294" s="4" t="s">
        <v>0</v>
      </c>
      <c r="X294" s="4" t="s">
        <v>0</v>
      </c>
      <c r="Y294" s="4" t="s">
        <v>0</v>
      </c>
      <c r="Z294" s="4" t="s">
        <v>0</v>
      </c>
      <c r="AA294" s="4" t="s">
        <v>0</v>
      </c>
    </row>
    <row r="295" spans="1:27" x14ac:dyDescent="0.25">
      <c r="A295" s="5"/>
      <c r="B295" s="4" t="s">
        <v>0</v>
      </c>
      <c r="C295" s="4" t="s">
        <v>0</v>
      </c>
      <c r="D295" s="4" t="s">
        <v>0</v>
      </c>
      <c r="E295" s="4" t="s">
        <v>0</v>
      </c>
      <c r="F295" s="4" t="s">
        <v>0</v>
      </c>
      <c r="G295" s="5"/>
      <c r="H295" s="5"/>
      <c r="I295" s="4" t="s">
        <v>0</v>
      </c>
      <c r="J295" s="4" t="s">
        <v>0</v>
      </c>
      <c r="K295" s="4" t="s">
        <v>0</v>
      </c>
      <c r="L295" s="4" t="s">
        <v>0</v>
      </c>
      <c r="M295" s="6">
        <v>1503405.03</v>
      </c>
      <c r="N295" s="6"/>
      <c r="O295" s="4" t="s">
        <v>0</v>
      </c>
      <c r="P295" s="4" t="s">
        <v>0</v>
      </c>
      <c r="Q295" s="4" t="s">
        <v>876</v>
      </c>
      <c r="R295" s="4" t="s">
        <v>9</v>
      </c>
      <c r="S295" s="4" t="s">
        <v>0</v>
      </c>
      <c r="T295" s="4" t="s">
        <v>0</v>
      </c>
      <c r="U295" s="4" t="s">
        <v>0</v>
      </c>
      <c r="V295" s="4" t="s">
        <v>0</v>
      </c>
      <c r="W295" s="4" t="s">
        <v>0</v>
      </c>
      <c r="X295" s="4" t="s">
        <v>0</v>
      </c>
      <c r="Y295" s="4" t="s">
        <v>0</v>
      </c>
      <c r="Z295" s="4" t="s">
        <v>0</v>
      </c>
      <c r="AA295" s="4" t="s">
        <v>0</v>
      </c>
    </row>
    <row r="296" spans="1:27" x14ac:dyDescent="0.25">
      <c r="A296" s="5"/>
      <c r="B296" s="4" t="s">
        <v>0</v>
      </c>
      <c r="C296" s="4" t="s">
        <v>0</v>
      </c>
      <c r="D296" s="4" t="s">
        <v>0</v>
      </c>
      <c r="E296" s="4" t="s">
        <v>0</v>
      </c>
      <c r="F296" s="4" t="s">
        <v>0</v>
      </c>
      <c r="G296" s="5"/>
      <c r="H296" s="5"/>
      <c r="I296" s="4" t="s">
        <v>0</v>
      </c>
      <c r="J296" s="4" t="s">
        <v>0</v>
      </c>
      <c r="K296" s="4" t="s">
        <v>0</v>
      </c>
      <c r="L296" s="4" t="s">
        <v>0</v>
      </c>
      <c r="M296" s="6">
        <v>67006</v>
      </c>
      <c r="N296" s="6"/>
      <c r="O296" s="4" t="s">
        <v>0</v>
      </c>
      <c r="P296" s="4" t="s">
        <v>0</v>
      </c>
      <c r="Q296" s="4" t="s">
        <v>1106</v>
      </c>
      <c r="R296" s="4" t="s">
        <v>9</v>
      </c>
      <c r="S296" s="4" t="s">
        <v>0</v>
      </c>
      <c r="T296" s="4" t="s">
        <v>0</v>
      </c>
      <c r="U296" s="4" t="s">
        <v>0</v>
      </c>
      <c r="V296" s="4" t="s">
        <v>0</v>
      </c>
      <c r="W296" s="4" t="s">
        <v>0</v>
      </c>
      <c r="X296" s="4" t="s">
        <v>0</v>
      </c>
      <c r="Y296" s="4" t="s">
        <v>0</v>
      </c>
      <c r="Z296" s="4" t="s">
        <v>0</v>
      </c>
      <c r="AA296" s="4" t="s">
        <v>0</v>
      </c>
    </row>
  </sheetData>
  <autoFilter ref="A1:AA272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93F0-E724-4594-A668-6C864D84657E}">
  <dimension ref="A1:G21"/>
  <sheetViews>
    <sheetView workbookViewId="0">
      <selection activeCell="A8" sqref="A8:B15"/>
    </sheetView>
  </sheetViews>
  <sheetFormatPr defaultRowHeight="12.5" x14ac:dyDescent="0.25"/>
  <cols>
    <col min="2" max="2" width="30.7265625" bestFit="1" customWidth="1"/>
    <col min="3" max="3" width="13.81640625" style="23" bestFit="1" customWidth="1"/>
    <col min="4" max="4" width="15.90625" style="27" customWidth="1"/>
    <col min="5" max="7" width="13.81640625" bestFit="1" customWidth="1"/>
  </cols>
  <sheetData>
    <row r="1" spans="1:7" ht="13" x14ac:dyDescent="0.25">
      <c r="C1" s="24" t="s">
        <v>9</v>
      </c>
      <c r="D1" s="25" t="s">
        <v>1158</v>
      </c>
      <c r="E1" s="24" t="s">
        <v>1185</v>
      </c>
      <c r="G1" s="29" t="s">
        <v>1186</v>
      </c>
    </row>
    <row r="2" spans="1:7" x14ac:dyDescent="0.25">
      <c r="A2" t="s">
        <v>12</v>
      </c>
      <c r="B2" t="s">
        <v>1171</v>
      </c>
      <c r="C2" s="23">
        <v>11335979.82</v>
      </c>
      <c r="D2" s="26">
        <v>-258756.23</v>
      </c>
      <c r="E2" s="17">
        <f>SUM(C2:D2)</f>
        <v>11077223.59</v>
      </c>
      <c r="F2" s="23">
        <v>11077223.59</v>
      </c>
      <c r="G2" s="17">
        <f>F2-E2</f>
        <v>0</v>
      </c>
    </row>
    <row r="3" spans="1:7" x14ac:dyDescent="0.25">
      <c r="A3" t="s">
        <v>396</v>
      </c>
      <c r="B3" t="s">
        <v>1172</v>
      </c>
      <c r="C3" s="23">
        <v>4053541.65</v>
      </c>
      <c r="D3" s="26">
        <v>-525391.43999999994</v>
      </c>
      <c r="E3" s="17">
        <f t="shared" ref="E3:E5" si="0">SUM(C3:D3)</f>
        <v>3528150.21</v>
      </c>
      <c r="F3" s="23">
        <v>3528150.2100000004</v>
      </c>
      <c r="G3" s="17">
        <f t="shared" ref="G3:G18" si="1">F3-E3</f>
        <v>0</v>
      </c>
    </row>
    <row r="4" spans="1:7" x14ac:dyDescent="0.25">
      <c r="A4" t="s">
        <v>568</v>
      </c>
      <c r="B4" t="s">
        <v>1173</v>
      </c>
      <c r="C4" s="23">
        <v>403138.97</v>
      </c>
      <c r="E4" s="17">
        <f t="shared" si="0"/>
        <v>403138.97</v>
      </c>
      <c r="F4" s="16">
        <v>403138.97</v>
      </c>
      <c r="G4" s="17">
        <f t="shared" si="1"/>
        <v>0</v>
      </c>
    </row>
    <row r="5" spans="1:7" x14ac:dyDescent="0.25">
      <c r="A5" t="s">
        <v>714</v>
      </c>
      <c r="B5" t="s">
        <v>1174</v>
      </c>
      <c r="C5" s="23">
        <v>167150.67000000001</v>
      </c>
      <c r="D5" s="26">
        <v>-167150.67000000001</v>
      </c>
      <c r="E5" s="17">
        <f t="shared" si="0"/>
        <v>0</v>
      </c>
      <c r="F5" s="16">
        <v>0</v>
      </c>
      <c r="G5" s="17">
        <f t="shared" si="1"/>
        <v>0</v>
      </c>
    </row>
    <row r="6" spans="1:7" x14ac:dyDescent="0.25">
      <c r="A6" t="s">
        <v>1175</v>
      </c>
      <c r="C6" s="23">
        <v>15959811.109999999</v>
      </c>
      <c r="D6" s="27">
        <f>SUM(D2:D5)</f>
        <v>-951298.34</v>
      </c>
      <c r="E6" s="23">
        <f>SUM(E2:E5)</f>
        <v>15008512.770000001</v>
      </c>
      <c r="G6" s="17">
        <f t="shared" si="1"/>
        <v>-15008512.770000001</v>
      </c>
    </row>
    <row r="7" spans="1:7" x14ac:dyDescent="0.25">
      <c r="A7" t="s">
        <v>1176</v>
      </c>
      <c r="G7" s="17">
        <f t="shared" si="1"/>
        <v>0</v>
      </c>
    </row>
    <row r="8" spans="1:7" x14ac:dyDescent="0.25">
      <c r="A8" t="s">
        <v>736</v>
      </c>
      <c r="B8" t="s">
        <v>1177</v>
      </c>
      <c r="C8" s="23">
        <v>52832</v>
      </c>
      <c r="E8" s="17">
        <f t="shared" ref="E8:E15" si="2">SUM(C8:D8)</f>
        <v>52832</v>
      </c>
      <c r="F8" s="16">
        <v>52832</v>
      </c>
      <c r="G8" s="17">
        <f t="shared" si="1"/>
        <v>0</v>
      </c>
    </row>
    <row r="9" spans="1:7" x14ac:dyDescent="0.25">
      <c r="A9" t="s">
        <v>762</v>
      </c>
      <c r="B9" t="s">
        <v>1178</v>
      </c>
      <c r="C9" s="23">
        <v>734540</v>
      </c>
      <c r="E9" s="17">
        <f t="shared" si="2"/>
        <v>734540</v>
      </c>
      <c r="F9" s="16">
        <v>734540</v>
      </c>
      <c r="G9" s="17">
        <f t="shared" si="1"/>
        <v>0</v>
      </c>
    </row>
    <row r="10" spans="1:7" x14ac:dyDescent="0.25">
      <c r="A10" t="s">
        <v>774</v>
      </c>
      <c r="B10" t="s">
        <v>1179</v>
      </c>
      <c r="C10" s="23">
        <v>33528</v>
      </c>
      <c r="E10" s="17">
        <f t="shared" si="2"/>
        <v>33528</v>
      </c>
      <c r="F10" s="16">
        <v>33528</v>
      </c>
      <c r="G10" s="17">
        <f t="shared" si="1"/>
        <v>0</v>
      </c>
    </row>
    <row r="11" spans="1:7" x14ac:dyDescent="0.25">
      <c r="A11" t="s">
        <v>791</v>
      </c>
      <c r="B11" t="s">
        <v>1180</v>
      </c>
      <c r="C11" s="23">
        <v>107837.15</v>
      </c>
      <c r="D11" s="26">
        <v>-58069.149999999994</v>
      </c>
      <c r="E11" s="17">
        <f t="shared" si="2"/>
        <v>49768</v>
      </c>
      <c r="F11" s="16">
        <v>49768</v>
      </c>
      <c r="G11" s="17">
        <f t="shared" si="1"/>
        <v>0</v>
      </c>
    </row>
    <row r="12" spans="1:7" x14ac:dyDescent="0.25">
      <c r="A12" t="s">
        <v>832</v>
      </c>
      <c r="B12" t="s">
        <v>1181</v>
      </c>
      <c r="C12" s="23">
        <v>19678.91</v>
      </c>
      <c r="E12" s="17">
        <f t="shared" si="2"/>
        <v>19678.91</v>
      </c>
      <c r="F12" s="16">
        <v>19678.910000000003</v>
      </c>
      <c r="G12" s="17">
        <f t="shared" si="1"/>
        <v>0</v>
      </c>
    </row>
    <row r="13" spans="1:7" x14ac:dyDescent="0.25">
      <c r="A13" t="s">
        <v>852</v>
      </c>
      <c r="B13" t="s">
        <v>1182</v>
      </c>
      <c r="C13" s="23">
        <v>70104</v>
      </c>
      <c r="E13" s="17">
        <f t="shared" si="2"/>
        <v>70104</v>
      </c>
      <c r="F13" s="16">
        <v>70104</v>
      </c>
      <c r="G13" s="17">
        <f t="shared" si="1"/>
        <v>0</v>
      </c>
    </row>
    <row r="14" spans="1:7" x14ac:dyDescent="0.25">
      <c r="A14" t="s">
        <v>876</v>
      </c>
      <c r="B14" t="s">
        <v>1183</v>
      </c>
      <c r="C14" s="23">
        <v>1503405.03</v>
      </c>
      <c r="D14" s="26">
        <v>-191861.52</v>
      </c>
      <c r="E14" s="17">
        <f t="shared" si="2"/>
        <v>1311543.51</v>
      </c>
      <c r="F14" s="16">
        <v>1311543.5100000005</v>
      </c>
      <c r="G14" s="17">
        <f t="shared" si="1"/>
        <v>0</v>
      </c>
    </row>
    <row r="15" spans="1:7" x14ac:dyDescent="0.25">
      <c r="A15" t="s">
        <v>1106</v>
      </c>
      <c r="B15" t="s">
        <v>1184</v>
      </c>
      <c r="C15" s="23">
        <v>67006</v>
      </c>
      <c r="D15" s="26">
        <v>-48750</v>
      </c>
      <c r="E15" s="17">
        <f t="shared" si="2"/>
        <v>18256</v>
      </c>
      <c r="F15" s="16">
        <v>18256</v>
      </c>
      <c r="G15" s="17">
        <f t="shared" si="1"/>
        <v>0</v>
      </c>
    </row>
    <row r="16" spans="1:7" x14ac:dyDescent="0.25">
      <c r="C16" s="23">
        <f>SUM(C8:C15)</f>
        <v>2588931.09</v>
      </c>
      <c r="D16" s="27">
        <f>SUM(D8:D15)</f>
        <v>-298680.67</v>
      </c>
      <c r="E16" s="23">
        <f>SUM(E8:E15)</f>
        <v>2290250.42</v>
      </c>
      <c r="G16" s="17">
        <f t="shared" si="1"/>
        <v>-2290250.42</v>
      </c>
    </row>
    <row r="17" spans="3:7" x14ac:dyDescent="0.25">
      <c r="G17" s="17"/>
    </row>
    <row r="18" spans="3:7" x14ac:dyDescent="0.25">
      <c r="C18" s="23">
        <f>C6+C16</f>
        <v>18548742.199999999</v>
      </c>
      <c r="D18" s="27">
        <f t="shared" ref="D18:E18" si="3">D6+D16</f>
        <v>-1249979.01</v>
      </c>
      <c r="E18" s="23">
        <f t="shared" si="3"/>
        <v>17298763.190000001</v>
      </c>
      <c r="F18" s="17">
        <f>SUM(F2:F16)</f>
        <v>17298763.190000001</v>
      </c>
      <c r="G18" s="17">
        <f t="shared" si="1"/>
        <v>0</v>
      </c>
    </row>
    <row r="21" spans="3:7" x14ac:dyDescent="0.25">
      <c r="C21"/>
      <c r="D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5159-27D2-443C-83C3-3A7D002394D6}">
  <dimension ref="A3:AT28"/>
  <sheetViews>
    <sheetView topLeftCell="A7" workbookViewId="0">
      <selection activeCell="A7" sqref="A1:XFD1048576"/>
    </sheetView>
  </sheetViews>
  <sheetFormatPr defaultRowHeight="12.5" x14ac:dyDescent="0.25"/>
  <cols>
    <col min="1" max="1" width="29.36328125" bestFit="1" customWidth="1"/>
    <col min="2" max="2" width="15.90625" bestFit="1" customWidth="1"/>
    <col min="3" max="3" width="13.26953125" customWidth="1"/>
    <col min="4" max="4" width="16.81640625" customWidth="1"/>
    <col min="5" max="5" width="15.90625" customWidth="1"/>
    <col min="6" max="6" width="18.6328125" customWidth="1"/>
    <col min="7" max="7" width="12.7265625" bestFit="1" customWidth="1"/>
    <col min="8" max="8" width="10.36328125" bestFit="1" customWidth="1"/>
    <col min="9" max="11" width="12.7265625" bestFit="1" customWidth="1"/>
    <col min="12" max="12" width="11.90625" bestFit="1" customWidth="1"/>
    <col min="13" max="14" width="12.7265625" bestFit="1" customWidth="1"/>
    <col min="15" max="15" width="11.90625" bestFit="1" customWidth="1"/>
    <col min="16" max="17" width="11.1796875" bestFit="1" customWidth="1"/>
    <col min="18" max="18" width="11.90625" bestFit="1" customWidth="1"/>
    <col min="19" max="19" width="11.1796875" bestFit="1" customWidth="1"/>
    <col min="20" max="20" width="10.1796875" bestFit="1" customWidth="1"/>
    <col min="21" max="21" width="11.90625" bestFit="1" customWidth="1"/>
    <col min="22" max="23" width="10.1796875" bestFit="1" customWidth="1"/>
    <col min="24" max="24" width="11.90625" bestFit="1" customWidth="1"/>
    <col min="25" max="26" width="11.1796875" bestFit="1" customWidth="1"/>
    <col min="27" max="27" width="11.90625" bestFit="1" customWidth="1"/>
    <col min="28" max="28" width="10.1796875" bestFit="1" customWidth="1"/>
    <col min="29" max="29" width="7.6328125" bestFit="1" customWidth="1"/>
    <col min="30" max="30" width="10.1796875" bestFit="1" customWidth="1"/>
    <col min="31" max="31" width="11.90625" bestFit="1" customWidth="1"/>
    <col min="32" max="32" width="11.1796875" bestFit="1" customWidth="1"/>
    <col min="33" max="33" width="10.1796875" bestFit="1" customWidth="1"/>
    <col min="34" max="34" width="11.90625" bestFit="1" customWidth="1"/>
    <col min="35" max="37" width="12.7265625" bestFit="1" customWidth="1"/>
    <col min="38" max="39" width="11.1796875" bestFit="1" customWidth="1"/>
    <col min="40" max="40" width="11.90625" bestFit="1" customWidth="1"/>
    <col min="41" max="41" width="13.81640625" bestFit="1" customWidth="1"/>
  </cols>
  <sheetData>
    <row r="3" spans="1:46" x14ac:dyDescent="0.25">
      <c r="A3" s="13" t="s">
        <v>1157</v>
      </c>
      <c r="B3" s="13" t="s">
        <v>1156</v>
      </c>
    </row>
    <row r="4" spans="1:46" x14ac:dyDescent="0.25">
      <c r="B4" t="s">
        <v>12</v>
      </c>
      <c r="E4" t="s">
        <v>1159</v>
      </c>
      <c r="F4" t="s">
        <v>396</v>
      </c>
      <c r="I4" t="s">
        <v>1160</v>
      </c>
      <c r="J4" t="s">
        <v>568</v>
      </c>
      <c r="L4" t="s">
        <v>1161</v>
      </c>
      <c r="M4" t="s">
        <v>714</v>
      </c>
      <c r="O4" t="s">
        <v>1162</v>
      </c>
      <c r="P4" t="s">
        <v>736</v>
      </c>
      <c r="R4" t="s">
        <v>1163</v>
      </c>
      <c r="S4" t="s">
        <v>762</v>
      </c>
      <c r="U4" t="s">
        <v>1164</v>
      </c>
      <c r="V4" t="s">
        <v>774</v>
      </c>
      <c r="X4" t="s">
        <v>1165</v>
      </c>
      <c r="Y4" t="s">
        <v>791</v>
      </c>
      <c r="AA4" t="s">
        <v>1166</v>
      </c>
      <c r="AB4" t="s">
        <v>832</v>
      </c>
      <c r="AE4" t="s">
        <v>1167</v>
      </c>
      <c r="AF4" t="s">
        <v>852</v>
      </c>
      <c r="AH4" t="s">
        <v>1168</v>
      </c>
      <c r="AI4" t="s">
        <v>876</v>
      </c>
      <c r="AK4" t="s">
        <v>1169</v>
      </c>
      <c r="AL4" t="s">
        <v>1106</v>
      </c>
      <c r="AN4" t="s">
        <v>1170</v>
      </c>
      <c r="AO4" t="s">
        <v>1155</v>
      </c>
    </row>
    <row r="5" spans="1:46" x14ac:dyDescent="0.25">
      <c r="A5" s="13" t="s">
        <v>1154</v>
      </c>
      <c r="B5" t="s">
        <v>1152</v>
      </c>
      <c r="C5" t="s">
        <v>1150</v>
      </c>
      <c r="D5" t="s">
        <v>1153</v>
      </c>
      <c r="F5" t="s">
        <v>1152</v>
      </c>
      <c r="G5" t="s">
        <v>1153</v>
      </c>
      <c r="H5" t="s">
        <v>1151</v>
      </c>
      <c r="J5" t="s">
        <v>1152</v>
      </c>
      <c r="K5" t="s">
        <v>1153</v>
      </c>
      <c r="M5" t="s">
        <v>1152</v>
      </c>
      <c r="N5" t="s">
        <v>1153</v>
      </c>
      <c r="P5" t="s">
        <v>1152</v>
      </c>
      <c r="Q5" t="s">
        <v>1153</v>
      </c>
      <c r="S5" t="s">
        <v>1152</v>
      </c>
      <c r="T5" t="s">
        <v>1153</v>
      </c>
      <c r="V5" t="s">
        <v>1152</v>
      </c>
      <c r="W5" t="s">
        <v>1153</v>
      </c>
      <c r="Y5" t="s">
        <v>1152</v>
      </c>
      <c r="Z5" t="s">
        <v>1153</v>
      </c>
      <c r="AB5" t="s">
        <v>1152</v>
      </c>
      <c r="AC5" t="s">
        <v>1150</v>
      </c>
      <c r="AD5" t="s">
        <v>1153</v>
      </c>
      <c r="AF5" t="s">
        <v>1152</v>
      </c>
      <c r="AG5" t="s">
        <v>1153</v>
      </c>
      <c r="AI5" t="s">
        <v>1152</v>
      </c>
      <c r="AJ5" t="s">
        <v>1153</v>
      </c>
      <c r="AL5" t="s">
        <v>1152</v>
      </c>
      <c r="AM5" t="s">
        <v>1153</v>
      </c>
    </row>
    <row r="6" spans="1:46" x14ac:dyDescent="0.25">
      <c r="A6" s="14" t="s">
        <v>423</v>
      </c>
      <c r="B6" s="17"/>
      <c r="C6" s="17"/>
      <c r="D6" s="17"/>
      <c r="E6" s="17"/>
      <c r="F6" s="17">
        <v>1639627.33</v>
      </c>
      <c r="G6" s="17">
        <v>-793862.15999999992</v>
      </c>
      <c r="H6" s="17"/>
      <c r="I6" s="17">
        <v>845765.17000000016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>
        <v>845765.17000000016</v>
      </c>
      <c r="AS6" t="s">
        <v>0</v>
      </c>
      <c r="AT6" t="s">
        <v>0</v>
      </c>
    </row>
    <row r="7" spans="1:46" x14ac:dyDescent="0.25">
      <c r="A7" s="14" t="s">
        <v>94</v>
      </c>
      <c r="B7" s="17">
        <v>1419353.6</v>
      </c>
      <c r="C7" s="17"/>
      <c r="D7" s="17">
        <v>-1356912</v>
      </c>
      <c r="E7" s="17">
        <v>62441.600000000093</v>
      </c>
      <c r="F7" s="17"/>
      <c r="G7" s="17"/>
      <c r="H7" s="17"/>
      <c r="I7" s="17"/>
      <c r="J7" s="17">
        <v>897378.8</v>
      </c>
      <c r="K7" s="17">
        <v>-897378.8</v>
      </c>
      <c r="L7" s="17">
        <v>0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>
        <v>62441.600000000093</v>
      </c>
      <c r="AS7" t="s">
        <v>0</v>
      </c>
      <c r="AT7" t="s">
        <v>0</v>
      </c>
    </row>
    <row r="8" spans="1:46" x14ac:dyDescent="0.25">
      <c r="A8" s="14" t="s">
        <v>395</v>
      </c>
      <c r="B8" s="17"/>
      <c r="C8" s="17"/>
      <c r="D8" s="17"/>
      <c r="E8" s="17"/>
      <c r="F8" s="17">
        <v>577245.12</v>
      </c>
      <c r="G8" s="17">
        <v>-77644.83</v>
      </c>
      <c r="H8" s="17">
        <v>0</v>
      </c>
      <c r="I8" s="17">
        <v>499600.29</v>
      </c>
      <c r="J8" s="17">
        <v>315500</v>
      </c>
      <c r="K8" s="17">
        <v>-61965.630000000005</v>
      </c>
      <c r="L8" s="17">
        <v>253534.37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>
        <v>857400</v>
      </c>
      <c r="AJ8" s="17">
        <v>-784220.67999999993</v>
      </c>
      <c r="AK8" s="17">
        <v>73179.320000000065</v>
      </c>
      <c r="AL8" s="17"/>
      <c r="AM8" s="17"/>
      <c r="AN8" s="17"/>
      <c r="AO8" s="17">
        <v>826313.98000000021</v>
      </c>
      <c r="AS8" t="s">
        <v>0</v>
      </c>
      <c r="AT8" t="s">
        <v>0</v>
      </c>
    </row>
    <row r="9" spans="1:46" x14ac:dyDescent="0.25">
      <c r="A9" s="14" t="s">
        <v>432</v>
      </c>
      <c r="B9" s="17"/>
      <c r="C9" s="17"/>
      <c r="D9" s="17"/>
      <c r="E9" s="17"/>
      <c r="F9" s="17">
        <v>73019.23000000001</v>
      </c>
      <c r="G9" s="17">
        <v>-73019.23000000001</v>
      </c>
      <c r="H9" s="17"/>
      <c r="I9" s="17">
        <v>0</v>
      </c>
      <c r="J9" s="17">
        <v>108000</v>
      </c>
      <c r="K9" s="17">
        <v>-5832</v>
      </c>
      <c r="L9" s="17">
        <v>102168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>
        <v>102168</v>
      </c>
      <c r="AS9" t="s">
        <v>0</v>
      </c>
      <c r="AT9" t="s">
        <v>0</v>
      </c>
    </row>
    <row r="10" spans="1:46" x14ac:dyDescent="0.25">
      <c r="A10" s="14" t="s">
        <v>48</v>
      </c>
      <c r="B10" s="17">
        <v>740000</v>
      </c>
      <c r="C10" s="17"/>
      <c r="D10" s="17">
        <v>-401110</v>
      </c>
      <c r="E10" s="17">
        <v>338890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>
        <v>338890</v>
      </c>
      <c r="AS10" t="s">
        <v>0</v>
      </c>
      <c r="AT10" t="s">
        <v>0</v>
      </c>
    </row>
    <row r="11" spans="1:46" x14ac:dyDescent="0.25">
      <c r="A11" s="14" t="s">
        <v>11</v>
      </c>
      <c r="B11" s="17">
        <v>37178408.289999999</v>
      </c>
      <c r="C11" s="17">
        <v>-21564.190000000002</v>
      </c>
      <c r="D11" s="17">
        <v>-30318479.990000002</v>
      </c>
      <c r="E11" s="17">
        <v>6838364.1099999994</v>
      </c>
      <c r="F11" s="17">
        <v>2770750</v>
      </c>
      <c r="G11" s="17">
        <v>-1238404.26</v>
      </c>
      <c r="H11" s="17"/>
      <c r="I11" s="17">
        <v>1532345.74</v>
      </c>
      <c r="J11" s="17">
        <v>130000</v>
      </c>
      <c r="K11" s="17">
        <v>-115376.4</v>
      </c>
      <c r="L11" s="17">
        <v>14623.600000000006</v>
      </c>
      <c r="M11" s="17">
        <v>1500000</v>
      </c>
      <c r="N11" s="17">
        <v>-1500000</v>
      </c>
      <c r="O11" s="17">
        <v>0</v>
      </c>
      <c r="P11" s="17">
        <v>182880</v>
      </c>
      <c r="Q11" s="17">
        <v>-130048</v>
      </c>
      <c r="R11" s="17">
        <v>52832</v>
      </c>
      <c r="S11" s="17">
        <v>823440</v>
      </c>
      <c r="T11" s="17">
        <v>-88900</v>
      </c>
      <c r="U11" s="17">
        <v>734540</v>
      </c>
      <c r="V11" s="17">
        <v>91440</v>
      </c>
      <c r="W11" s="17">
        <v>-57912</v>
      </c>
      <c r="X11" s="17">
        <v>33528</v>
      </c>
      <c r="Y11" s="17">
        <v>427753.98</v>
      </c>
      <c r="Z11" s="17">
        <v>-377985.98000000004</v>
      </c>
      <c r="AA11" s="17">
        <v>49767.999999999942</v>
      </c>
      <c r="AB11" s="17">
        <v>91440</v>
      </c>
      <c r="AC11" s="17">
        <v>-641.09</v>
      </c>
      <c r="AD11" s="17">
        <v>-71120</v>
      </c>
      <c r="AE11" s="17">
        <v>19678.910000000003</v>
      </c>
      <c r="AF11" s="17">
        <v>76200</v>
      </c>
      <c r="AG11" s="17">
        <v>-6096</v>
      </c>
      <c r="AH11" s="17">
        <v>70104</v>
      </c>
      <c r="AI11" s="17">
        <v>465000</v>
      </c>
      <c r="AJ11" s="17">
        <v>-402500</v>
      </c>
      <c r="AK11" s="17">
        <v>62500</v>
      </c>
      <c r="AL11" s="17">
        <v>124950</v>
      </c>
      <c r="AM11" s="17">
        <v>-106694</v>
      </c>
      <c r="AN11" s="17">
        <v>18256</v>
      </c>
      <c r="AO11" s="17">
        <v>9426540.3599999994</v>
      </c>
      <c r="AS11" t="s">
        <v>0</v>
      </c>
      <c r="AT11" t="s">
        <v>0</v>
      </c>
    </row>
    <row r="12" spans="1:46" x14ac:dyDescent="0.25">
      <c r="A12" s="14" t="s">
        <v>35</v>
      </c>
      <c r="B12" s="17">
        <v>3751129.6</v>
      </c>
      <c r="C12" s="17"/>
      <c r="D12" s="17">
        <v>-1296398.9700000002</v>
      </c>
      <c r="E12" s="17">
        <v>2454730.63</v>
      </c>
      <c r="F12" s="17">
        <v>467000</v>
      </c>
      <c r="G12" s="17">
        <v>-236949.38</v>
      </c>
      <c r="H12" s="17"/>
      <c r="I12" s="17">
        <v>230050.62</v>
      </c>
      <c r="J12" s="17">
        <v>132500</v>
      </c>
      <c r="K12" s="17">
        <v>-99687</v>
      </c>
      <c r="L12" s="17">
        <v>32813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>
        <v>48640</v>
      </c>
      <c r="AG12" s="17">
        <v>-48640</v>
      </c>
      <c r="AH12" s="17">
        <v>0</v>
      </c>
      <c r="AI12" s="17"/>
      <c r="AJ12" s="17"/>
      <c r="AK12" s="17"/>
      <c r="AL12" s="17"/>
      <c r="AM12" s="17"/>
      <c r="AN12" s="17"/>
      <c r="AO12" s="17">
        <v>2717594.25</v>
      </c>
      <c r="AS12" t="s">
        <v>0</v>
      </c>
      <c r="AT12" t="s">
        <v>0</v>
      </c>
    </row>
    <row r="13" spans="1:46" x14ac:dyDescent="0.25">
      <c r="A13" s="14" t="s">
        <v>43</v>
      </c>
      <c r="B13" s="17">
        <v>2676500</v>
      </c>
      <c r="C13" s="17"/>
      <c r="D13" s="17">
        <v>-1293702.75</v>
      </c>
      <c r="E13" s="17">
        <v>1382797.25</v>
      </c>
      <c r="F13" s="17">
        <v>450000</v>
      </c>
      <c r="G13" s="17">
        <v>-29611.61</v>
      </c>
      <c r="H13" s="17"/>
      <c r="I13" s="17">
        <v>420388.39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>
        <v>3169500</v>
      </c>
      <c r="AJ13" s="17">
        <v>-1993635.8099999996</v>
      </c>
      <c r="AK13" s="17">
        <v>1175864.1900000004</v>
      </c>
      <c r="AL13" s="17"/>
      <c r="AM13" s="17"/>
      <c r="AN13" s="17"/>
      <c r="AO13" s="17">
        <v>2979049.83</v>
      </c>
      <c r="AS13" t="s">
        <v>0</v>
      </c>
      <c r="AT13" t="s">
        <v>0</v>
      </c>
    </row>
    <row r="14" spans="1:46" x14ac:dyDescent="0.25">
      <c r="A14" s="14" t="s">
        <v>1155</v>
      </c>
      <c r="B14" s="17">
        <v>45765391.490000002</v>
      </c>
      <c r="C14" s="17">
        <v>-21564.190000000002</v>
      </c>
      <c r="D14" s="17">
        <v>-34666603.710000001</v>
      </c>
      <c r="E14" s="17">
        <v>11077223.59</v>
      </c>
      <c r="F14" s="17">
        <v>5977641.6799999997</v>
      </c>
      <c r="G14" s="17">
        <v>-2449491.4699999997</v>
      </c>
      <c r="H14" s="17">
        <v>0</v>
      </c>
      <c r="I14" s="17">
        <v>3528150.2100000004</v>
      </c>
      <c r="J14" s="17">
        <v>1583378.8</v>
      </c>
      <c r="K14" s="17">
        <v>-1180239.83</v>
      </c>
      <c r="L14" s="17">
        <v>403138.97</v>
      </c>
      <c r="M14" s="17">
        <v>1500000</v>
      </c>
      <c r="N14" s="17">
        <v>-1500000</v>
      </c>
      <c r="O14" s="17">
        <v>0</v>
      </c>
      <c r="P14" s="17">
        <v>182880</v>
      </c>
      <c r="Q14" s="17">
        <v>-130048</v>
      </c>
      <c r="R14" s="17">
        <v>52832</v>
      </c>
      <c r="S14" s="17">
        <v>823440</v>
      </c>
      <c r="T14" s="17">
        <v>-88900</v>
      </c>
      <c r="U14" s="17">
        <v>734540</v>
      </c>
      <c r="V14" s="17">
        <v>91440</v>
      </c>
      <c r="W14" s="17">
        <v>-57912</v>
      </c>
      <c r="X14" s="17">
        <v>33528</v>
      </c>
      <c r="Y14" s="17">
        <v>427753.98</v>
      </c>
      <c r="Z14" s="17">
        <v>-377985.98000000004</v>
      </c>
      <c r="AA14" s="17">
        <v>49767.999999999942</v>
      </c>
      <c r="AB14" s="17">
        <v>91440</v>
      </c>
      <c r="AC14" s="17">
        <v>-641.09</v>
      </c>
      <c r="AD14" s="17">
        <v>-71120</v>
      </c>
      <c r="AE14" s="17">
        <v>19678.910000000003</v>
      </c>
      <c r="AF14" s="17">
        <v>124840</v>
      </c>
      <c r="AG14" s="17">
        <v>-54736</v>
      </c>
      <c r="AH14" s="17">
        <v>70104</v>
      </c>
      <c r="AI14" s="17">
        <v>4491900</v>
      </c>
      <c r="AJ14" s="17">
        <v>-3180356.4899999993</v>
      </c>
      <c r="AK14" s="17">
        <v>1311543.5100000005</v>
      </c>
      <c r="AL14" s="17">
        <v>124950</v>
      </c>
      <c r="AM14" s="17">
        <v>-106694</v>
      </c>
      <c r="AN14" s="17">
        <v>18256</v>
      </c>
      <c r="AO14" s="17">
        <v>17298763.189999998</v>
      </c>
      <c r="AS14" t="s">
        <v>0</v>
      </c>
      <c r="AT14" t="s">
        <v>0</v>
      </c>
    </row>
    <row r="15" spans="1:46" x14ac:dyDescent="0.25">
      <c r="AS15" t="s">
        <v>0</v>
      </c>
      <c r="AT15" t="s">
        <v>0</v>
      </c>
    </row>
    <row r="16" spans="1:46" x14ac:dyDescent="0.25">
      <c r="AS16" t="s">
        <v>0</v>
      </c>
      <c r="AT16" t="s">
        <v>0</v>
      </c>
    </row>
    <row r="17" spans="1:46" x14ac:dyDescent="0.25">
      <c r="AS17" t="s">
        <v>0</v>
      </c>
      <c r="AT17" t="s">
        <v>0</v>
      </c>
    </row>
    <row r="18" spans="1:46" x14ac:dyDescent="0.25">
      <c r="A18" s="13" t="s">
        <v>1157</v>
      </c>
      <c r="B18" s="13" t="s">
        <v>1156</v>
      </c>
    </row>
    <row r="19" spans="1:46" x14ac:dyDescent="0.25">
      <c r="A19" s="13" t="s">
        <v>1154</v>
      </c>
      <c r="B19" t="s">
        <v>1152</v>
      </c>
      <c r="C19" t="s">
        <v>1150</v>
      </c>
      <c r="D19" t="s">
        <v>1153</v>
      </c>
      <c r="E19" t="s">
        <v>1151</v>
      </c>
      <c r="F19" t="s">
        <v>1155</v>
      </c>
    </row>
    <row r="20" spans="1:46" x14ac:dyDescent="0.25">
      <c r="A20" s="14" t="s">
        <v>423</v>
      </c>
      <c r="B20" s="15">
        <v>1639627.33</v>
      </c>
      <c r="C20" s="15"/>
      <c r="D20" s="15">
        <v>-793862.15999999992</v>
      </c>
      <c r="E20" s="15"/>
      <c r="F20" s="15">
        <v>845765.17000000016</v>
      </c>
    </row>
    <row r="21" spans="1:46" x14ac:dyDescent="0.25">
      <c r="A21" s="14" t="s">
        <v>94</v>
      </c>
      <c r="B21" s="15">
        <v>2316732.4000000004</v>
      </c>
      <c r="C21" s="15"/>
      <c r="D21" s="15">
        <v>-2254290.7999999998</v>
      </c>
      <c r="E21" s="15"/>
      <c r="F21" s="15">
        <v>62441.600000000559</v>
      </c>
    </row>
    <row r="22" spans="1:46" x14ac:dyDescent="0.25">
      <c r="A22" s="14" t="s">
        <v>395</v>
      </c>
      <c r="B22" s="15">
        <v>1750145.12</v>
      </c>
      <c r="C22" s="15"/>
      <c r="D22" s="15">
        <v>-923831.14000000013</v>
      </c>
      <c r="E22" s="15">
        <v>0</v>
      </c>
      <c r="F22" s="15">
        <v>826313.98</v>
      </c>
    </row>
    <row r="23" spans="1:46" x14ac:dyDescent="0.25">
      <c r="A23" s="14" t="s">
        <v>432</v>
      </c>
      <c r="B23" s="15">
        <v>181019.23</v>
      </c>
      <c r="C23" s="15"/>
      <c r="D23" s="15">
        <v>-78851.23000000001</v>
      </c>
      <c r="E23" s="15"/>
      <c r="F23" s="15">
        <v>102168</v>
      </c>
    </row>
    <row r="24" spans="1:46" x14ac:dyDescent="0.25">
      <c r="A24" s="14" t="s">
        <v>48</v>
      </c>
      <c r="B24" s="15">
        <v>740000</v>
      </c>
      <c r="C24" s="15"/>
      <c r="D24" s="15">
        <v>-401110</v>
      </c>
      <c r="E24" s="15"/>
      <c r="F24" s="15">
        <v>338890</v>
      </c>
    </row>
    <row r="25" spans="1:46" x14ac:dyDescent="0.25">
      <c r="A25" s="14" t="s">
        <v>11</v>
      </c>
      <c r="B25" s="15">
        <v>43862262.269999996</v>
      </c>
      <c r="C25" s="15">
        <v>-22205.280000000002</v>
      </c>
      <c r="D25" s="15">
        <v>-34413516.63000001</v>
      </c>
      <c r="E25" s="15"/>
      <c r="F25" s="15">
        <v>9426540.3599999845</v>
      </c>
    </row>
    <row r="26" spans="1:46" x14ac:dyDescent="0.25">
      <c r="A26" s="14" t="s">
        <v>35</v>
      </c>
      <c r="B26" s="15">
        <v>4399269.5999999996</v>
      </c>
      <c r="C26" s="15"/>
      <c r="D26" s="15">
        <v>-1681675.35</v>
      </c>
      <c r="E26" s="15"/>
      <c r="F26" s="15">
        <v>2717594.2499999995</v>
      </c>
    </row>
    <row r="27" spans="1:46" x14ac:dyDescent="0.25">
      <c r="A27" s="14" t="s">
        <v>43</v>
      </c>
      <c r="B27" s="15">
        <v>6296000</v>
      </c>
      <c r="C27" s="15"/>
      <c r="D27" s="15">
        <v>-3316950.1699999995</v>
      </c>
      <c r="E27" s="15"/>
      <c r="F27" s="15">
        <v>2979049.8300000005</v>
      </c>
    </row>
    <row r="28" spans="1:46" x14ac:dyDescent="0.25">
      <c r="A28" s="14" t="s">
        <v>1155</v>
      </c>
      <c r="B28" s="15">
        <v>61185055.949999996</v>
      </c>
      <c r="C28" s="15">
        <v>-22205.280000000002</v>
      </c>
      <c r="D28" s="15">
        <v>-43864087.480000012</v>
      </c>
      <c r="E28" s="15">
        <v>0</v>
      </c>
      <c r="F28" s="15">
        <v>17298763.189999986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28D0-2ABD-4F12-9209-03787988A68D}">
  <dimension ref="A1:AU41"/>
  <sheetViews>
    <sheetView topLeftCell="A11" workbookViewId="0">
      <selection activeCell="C17" sqref="C17:E24"/>
    </sheetView>
  </sheetViews>
  <sheetFormatPr defaultRowHeight="12.5" x14ac:dyDescent="0.25"/>
  <cols>
    <col min="1" max="1" width="11" customWidth="1"/>
    <col min="3" max="3" width="13.90625" bestFit="1" customWidth="1"/>
    <col min="4" max="4" width="14.7265625" bestFit="1" customWidth="1"/>
    <col min="5" max="6" width="13.90625" bestFit="1" customWidth="1"/>
    <col min="7" max="7" width="13.81640625" bestFit="1" customWidth="1"/>
    <col min="8" max="8" width="12.7265625" bestFit="1" customWidth="1"/>
    <col min="9" max="9" width="8.81640625" bestFit="1" customWidth="1"/>
    <col min="10" max="12" width="12.7265625" bestFit="1" customWidth="1"/>
    <col min="13" max="13" width="11.1796875" bestFit="1" customWidth="1"/>
    <col min="14" max="15" width="12.7265625" bestFit="1" customWidth="1"/>
    <col min="16" max="16" width="8.81640625" bestFit="1" customWidth="1"/>
    <col min="17" max="18" width="11.1796875" bestFit="1" customWidth="1"/>
    <col min="19" max="19" width="10.1796875" bestFit="1" customWidth="1"/>
    <col min="20" max="20" width="11.1796875" bestFit="1" customWidth="1"/>
    <col min="21" max="21" width="10.1796875" bestFit="1" customWidth="1"/>
    <col min="22" max="22" width="11.1796875" bestFit="1" customWidth="1"/>
    <col min="23" max="25" width="10.1796875" bestFit="1" customWidth="1"/>
    <col min="26" max="27" width="11.1796875" bestFit="1" customWidth="1"/>
    <col min="28" max="29" width="10.1796875" bestFit="1" customWidth="1"/>
    <col min="30" max="30" width="8.81640625" bestFit="1" customWidth="1"/>
    <col min="31" max="32" width="10.1796875" bestFit="1" customWidth="1"/>
    <col min="33" max="33" width="11.1796875" bestFit="1" customWidth="1"/>
    <col min="34" max="35" width="10.1796875" bestFit="1" customWidth="1"/>
    <col min="36" max="38" width="12.7265625" bestFit="1" customWidth="1"/>
    <col min="39" max="40" width="11.1796875" bestFit="1" customWidth="1"/>
    <col min="41" max="41" width="10.1796875" bestFit="1" customWidth="1"/>
    <col min="42" max="42" width="13.81640625" bestFit="1" customWidth="1"/>
  </cols>
  <sheetData>
    <row r="1" spans="1:47" s="28" customFormat="1" ht="13" x14ac:dyDescent="0.25">
      <c r="A1" s="30"/>
      <c r="B1" s="30"/>
      <c r="C1" s="30" t="s">
        <v>12</v>
      </c>
      <c r="D1" s="30"/>
      <c r="E1" s="30"/>
      <c r="F1" s="30" t="s">
        <v>1159</v>
      </c>
      <c r="G1" s="30" t="s">
        <v>396</v>
      </c>
      <c r="H1" s="30"/>
      <c r="I1" s="30"/>
      <c r="J1" s="30" t="s">
        <v>1160</v>
      </c>
      <c r="K1" s="30" t="s">
        <v>568</v>
      </c>
      <c r="L1" s="30"/>
      <c r="M1" s="30" t="s">
        <v>1161</v>
      </c>
      <c r="N1" s="30" t="s">
        <v>714</v>
      </c>
      <c r="O1" s="30"/>
      <c r="P1" s="30" t="s">
        <v>1162</v>
      </c>
      <c r="Q1" s="30" t="s">
        <v>736</v>
      </c>
      <c r="R1" s="30"/>
      <c r="S1" s="30" t="s">
        <v>1163</v>
      </c>
      <c r="T1" s="30" t="s">
        <v>762</v>
      </c>
      <c r="U1" s="30"/>
      <c r="V1" s="30" t="s">
        <v>1164</v>
      </c>
      <c r="W1" s="30" t="s">
        <v>774</v>
      </c>
      <c r="X1" s="30"/>
      <c r="Y1" s="30" t="s">
        <v>1165</v>
      </c>
      <c r="Z1" s="30" t="s">
        <v>791</v>
      </c>
      <c r="AA1" s="30"/>
      <c r="AB1" s="30" t="s">
        <v>1166</v>
      </c>
      <c r="AC1" s="30" t="s">
        <v>832</v>
      </c>
      <c r="AD1" s="30"/>
      <c r="AE1" s="30"/>
      <c r="AF1" s="30" t="s">
        <v>1167</v>
      </c>
      <c r="AG1" s="30" t="s">
        <v>852</v>
      </c>
      <c r="AH1" s="30"/>
      <c r="AI1" s="30" t="s">
        <v>1168</v>
      </c>
      <c r="AJ1" s="30" t="s">
        <v>876</v>
      </c>
      <c r="AK1" s="30"/>
      <c r="AL1" s="30" t="s">
        <v>1169</v>
      </c>
      <c r="AM1" s="30" t="s">
        <v>1106</v>
      </c>
      <c r="AN1" s="30"/>
      <c r="AO1" s="30" t="s">
        <v>1170</v>
      </c>
      <c r="AP1" s="30" t="s">
        <v>1155</v>
      </c>
    </row>
    <row r="2" spans="1:47" s="28" customFormat="1" ht="13" x14ac:dyDescent="0.25">
      <c r="A2" s="30" t="s">
        <v>1154</v>
      </c>
      <c r="B2" s="30"/>
      <c r="C2" s="30" t="s">
        <v>1152</v>
      </c>
      <c r="D2" s="30" t="s">
        <v>1150</v>
      </c>
      <c r="E2" s="30" t="s">
        <v>1153</v>
      </c>
      <c r="F2" s="30"/>
      <c r="G2" s="30" t="s">
        <v>1152</v>
      </c>
      <c r="H2" s="30" t="s">
        <v>1153</v>
      </c>
      <c r="I2" s="30" t="s">
        <v>1151</v>
      </c>
      <c r="J2" s="30"/>
      <c r="K2" s="30" t="s">
        <v>1152</v>
      </c>
      <c r="L2" s="30" t="s">
        <v>1153</v>
      </c>
      <c r="M2" s="30"/>
      <c r="N2" s="30" t="s">
        <v>1152</v>
      </c>
      <c r="O2" s="30" t="s">
        <v>1153</v>
      </c>
      <c r="P2" s="30"/>
      <c r="Q2" s="30" t="s">
        <v>1152</v>
      </c>
      <c r="R2" s="30" t="s">
        <v>1153</v>
      </c>
      <c r="S2" s="30"/>
      <c r="T2" s="30" t="s">
        <v>1152</v>
      </c>
      <c r="U2" s="30" t="s">
        <v>1153</v>
      </c>
      <c r="V2" s="30"/>
      <c r="W2" s="30" t="s">
        <v>1152</v>
      </c>
      <c r="X2" s="30" t="s">
        <v>1153</v>
      </c>
      <c r="Y2" s="30"/>
      <c r="Z2" s="30" t="s">
        <v>1152</v>
      </c>
      <c r="AA2" s="30" t="s">
        <v>1153</v>
      </c>
      <c r="AB2" s="30"/>
      <c r="AC2" s="30" t="s">
        <v>1152</v>
      </c>
      <c r="AD2" s="30" t="s">
        <v>1150</v>
      </c>
      <c r="AE2" s="30" t="s">
        <v>1153</v>
      </c>
      <c r="AF2" s="30"/>
      <c r="AG2" s="30" t="s">
        <v>1152</v>
      </c>
      <c r="AH2" s="30" t="s">
        <v>1153</v>
      </c>
      <c r="AI2" s="30"/>
      <c r="AJ2" s="30" t="s">
        <v>1152</v>
      </c>
      <c r="AK2" s="30" t="s">
        <v>1153</v>
      </c>
      <c r="AL2" s="30"/>
      <c r="AM2" s="30" t="s">
        <v>1152</v>
      </c>
      <c r="AN2" s="30" t="s">
        <v>1153</v>
      </c>
      <c r="AO2" s="30"/>
      <c r="AP2" s="30"/>
    </row>
    <row r="3" spans="1:47" x14ac:dyDescent="0.25">
      <c r="A3" t="s">
        <v>423</v>
      </c>
      <c r="B3" t="s">
        <v>1198</v>
      </c>
      <c r="C3" s="16"/>
      <c r="D3" s="16"/>
      <c r="E3" s="16"/>
      <c r="F3" s="16"/>
      <c r="G3" s="16">
        <v>1639627.33</v>
      </c>
      <c r="H3" s="16">
        <v>-793862.15999999992</v>
      </c>
      <c r="I3" s="16"/>
      <c r="J3" s="16">
        <v>845765.17000000016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>
        <v>845765.17000000016</v>
      </c>
      <c r="AT3" t="s">
        <v>0</v>
      </c>
      <c r="AU3" t="s">
        <v>0</v>
      </c>
    </row>
    <row r="4" spans="1:47" x14ac:dyDescent="0.25">
      <c r="A4" t="s">
        <v>94</v>
      </c>
      <c r="B4" t="s">
        <v>1199</v>
      </c>
      <c r="C4" s="16">
        <v>1419353.6</v>
      </c>
      <c r="D4" s="16"/>
      <c r="E4" s="16">
        <v>-1356912</v>
      </c>
      <c r="F4" s="16">
        <v>62441.600000000093</v>
      </c>
      <c r="G4" s="16"/>
      <c r="H4" s="16"/>
      <c r="I4" s="16"/>
      <c r="J4" s="16"/>
      <c r="K4" s="16">
        <v>897378.8</v>
      </c>
      <c r="L4" s="16">
        <v>-897378.8</v>
      </c>
      <c r="M4" s="16">
        <v>0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>
        <v>62441.600000000093</v>
      </c>
      <c r="AT4" t="s">
        <v>0</v>
      </c>
      <c r="AU4" t="s">
        <v>0</v>
      </c>
    </row>
    <row r="5" spans="1:47" x14ac:dyDescent="0.25">
      <c r="A5" t="s">
        <v>395</v>
      </c>
      <c r="B5" t="s">
        <v>1200</v>
      </c>
      <c r="C5" s="16"/>
      <c r="D5" s="16"/>
      <c r="E5" s="16"/>
      <c r="F5" s="16"/>
      <c r="G5" s="16">
        <v>577245.12</v>
      </c>
      <c r="H5" s="16">
        <v>-77644.83</v>
      </c>
      <c r="I5" s="16">
        <v>0</v>
      </c>
      <c r="J5" s="16">
        <v>499600.29</v>
      </c>
      <c r="K5" s="16">
        <v>315500</v>
      </c>
      <c r="L5" s="16">
        <v>-61965.630000000005</v>
      </c>
      <c r="M5" s="16">
        <v>253534.37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>
        <v>857400</v>
      </c>
      <c r="AK5" s="16">
        <v>-784220.67999999993</v>
      </c>
      <c r="AL5" s="16">
        <v>73179.320000000065</v>
      </c>
      <c r="AM5" s="16"/>
      <c r="AN5" s="16"/>
      <c r="AO5" s="16"/>
      <c r="AP5" s="16">
        <v>826313.98000000021</v>
      </c>
      <c r="AT5" t="s">
        <v>0</v>
      </c>
      <c r="AU5" t="s">
        <v>0</v>
      </c>
    </row>
    <row r="6" spans="1:47" x14ac:dyDescent="0.25">
      <c r="A6" t="s">
        <v>432</v>
      </c>
      <c r="B6" t="s">
        <v>1201</v>
      </c>
      <c r="C6" s="16"/>
      <c r="D6" s="16"/>
      <c r="E6" s="16"/>
      <c r="F6" s="16"/>
      <c r="G6" s="16">
        <v>73019.23000000001</v>
      </c>
      <c r="H6" s="16">
        <v>-73019.23000000001</v>
      </c>
      <c r="I6" s="16"/>
      <c r="J6" s="16">
        <v>0</v>
      </c>
      <c r="K6" s="16">
        <v>108000</v>
      </c>
      <c r="L6" s="16">
        <v>-5832</v>
      </c>
      <c r="M6" s="16">
        <v>102168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>
        <v>102168</v>
      </c>
      <c r="AT6" t="s">
        <v>0</v>
      </c>
      <c r="AU6" t="s">
        <v>0</v>
      </c>
    </row>
    <row r="7" spans="1:47" x14ac:dyDescent="0.25">
      <c r="A7" t="s">
        <v>48</v>
      </c>
      <c r="B7" t="s">
        <v>1202</v>
      </c>
      <c r="C7" s="16">
        <v>740000</v>
      </c>
      <c r="D7" s="16"/>
      <c r="E7" s="16">
        <v>-401110</v>
      </c>
      <c r="F7" s="16">
        <v>338890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>
        <v>338890</v>
      </c>
      <c r="AT7" t="s">
        <v>0</v>
      </c>
      <c r="AU7" t="s">
        <v>0</v>
      </c>
    </row>
    <row r="8" spans="1:47" x14ac:dyDescent="0.25">
      <c r="A8" t="s">
        <v>11</v>
      </c>
      <c r="B8" t="s">
        <v>1203</v>
      </c>
      <c r="C8" s="16">
        <v>37178408.289999999</v>
      </c>
      <c r="D8" s="16">
        <v>-21564.190000000002</v>
      </c>
      <c r="E8" s="16">
        <v>-30318479.990000002</v>
      </c>
      <c r="F8" s="16">
        <v>6838364.1099999994</v>
      </c>
      <c r="G8" s="16">
        <v>2770750</v>
      </c>
      <c r="H8" s="16">
        <v>-1238404.26</v>
      </c>
      <c r="I8" s="16"/>
      <c r="J8" s="16">
        <v>1532345.74</v>
      </c>
      <c r="K8" s="16">
        <v>130000</v>
      </c>
      <c r="L8" s="16">
        <v>-115376.4</v>
      </c>
      <c r="M8" s="16">
        <v>14623.600000000006</v>
      </c>
      <c r="N8" s="16">
        <v>1500000</v>
      </c>
      <c r="O8" s="16">
        <v>-1500000</v>
      </c>
      <c r="P8" s="16">
        <v>0</v>
      </c>
      <c r="Q8" s="16">
        <v>182880</v>
      </c>
      <c r="R8" s="16">
        <v>-130048</v>
      </c>
      <c r="S8" s="16">
        <v>52832</v>
      </c>
      <c r="T8" s="16">
        <v>823440</v>
      </c>
      <c r="U8" s="16">
        <v>-88900</v>
      </c>
      <c r="V8" s="16">
        <v>734540</v>
      </c>
      <c r="W8" s="16">
        <v>91440</v>
      </c>
      <c r="X8" s="16">
        <v>-57912</v>
      </c>
      <c r="Y8" s="16">
        <v>33528</v>
      </c>
      <c r="Z8" s="16">
        <v>427753.98</v>
      </c>
      <c r="AA8" s="16">
        <v>-377985.98000000004</v>
      </c>
      <c r="AB8" s="16">
        <v>49767.999999999942</v>
      </c>
      <c r="AC8" s="16">
        <v>91440</v>
      </c>
      <c r="AD8" s="16">
        <v>-641.09</v>
      </c>
      <c r="AE8" s="16">
        <v>-71120</v>
      </c>
      <c r="AF8" s="16">
        <v>19678.910000000003</v>
      </c>
      <c r="AG8" s="16">
        <v>76200</v>
      </c>
      <c r="AH8" s="16">
        <v>-6096</v>
      </c>
      <c r="AI8" s="16">
        <v>70104</v>
      </c>
      <c r="AJ8" s="16">
        <v>465000</v>
      </c>
      <c r="AK8" s="16">
        <v>-402500</v>
      </c>
      <c r="AL8" s="16">
        <v>62500</v>
      </c>
      <c r="AM8" s="16">
        <v>124950</v>
      </c>
      <c r="AN8" s="16">
        <v>-106694</v>
      </c>
      <c r="AO8" s="16">
        <v>18256</v>
      </c>
      <c r="AP8" s="16">
        <v>9426540.3599999994</v>
      </c>
      <c r="AT8" t="s">
        <v>0</v>
      </c>
      <c r="AU8" t="s">
        <v>0</v>
      </c>
    </row>
    <row r="9" spans="1:47" x14ac:dyDescent="0.25">
      <c r="A9" t="s">
        <v>35</v>
      </c>
      <c r="B9" t="s">
        <v>1204</v>
      </c>
      <c r="C9" s="16">
        <v>3751129.6</v>
      </c>
      <c r="D9" s="16"/>
      <c r="E9" s="16">
        <v>-1296398.9700000002</v>
      </c>
      <c r="F9" s="16">
        <v>2454730.63</v>
      </c>
      <c r="G9" s="16">
        <v>467000</v>
      </c>
      <c r="H9" s="16">
        <v>-236949.38</v>
      </c>
      <c r="I9" s="16"/>
      <c r="J9" s="16">
        <v>230050.62</v>
      </c>
      <c r="K9" s="16">
        <v>132500</v>
      </c>
      <c r="L9" s="16">
        <v>-99687</v>
      </c>
      <c r="M9" s="16">
        <v>32813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>
        <v>48640</v>
      </c>
      <c r="AH9" s="16">
        <v>-48640</v>
      </c>
      <c r="AI9" s="16">
        <v>0</v>
      </c>
      <c r="AJ9" s="16"/>
      <c r="AK9" s="16"/>
      <c r="AL9" s="16"/>
      <c r="AM9" s="16"/>
      <c r="AN9" s="16"/>
      <c r="AO9" s="16"/>
      <c r="AP9" s="16">
        <v>2717594.25</v>
      </c>
      <c r="AT9" t="s">
        <v>0</v>
      </c>
      <c r="AU9" t="s">
        <v>0</v>
      </c>
    </row>
    <row r="10" spans="1:47" x14ac:dyDescent="0.25">
      <c r="A10" t="s">
        <v>43</v>
      </c>
      <c r="B10" t="s">
        <v>1205</v>
      </c>
      <c r="C10" s="16">
        <v>2676500</v>
      </c>
      <c r="D10" s="16"/>
      <c r="E10" s="16">
        <v>-1293702.75</v>
      </c>
      <c r="F10" s="16">
        <v>1382797.25</v>
      </c>
      <c r="G10" s="16">
        <v>450000</v>
      </c>
      <c r="H10" s="16">
        <v>-29611.61</v>
      </c>
      <c r="I10" s="16"/>
      <c r="J10" s="16">
        <v>420388.39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>
        <v>3169500</v>
      </c>
      <c r="AK10" s="16">
        <v>-1993635.8099999996</v>
      </c>
      <c r="AL10" s="16">
        <v>1175864.1900000004</v>
      </c>
      <c r="AM10" s="16"/>
      <c r="AN10" s="16"/>
      <c r="AO10" s="16"/>
      <c r="AP10" s="16">
        <v>2979049.83</v>
      </c>
      <c r="AT10" t="s">
        <v>0</v>
      </c>
      <c r="AU10" t="s">
        <v>0</v>
      </c>
    </row>
    <row r="11" spans="1:47" ht="13" x14ac:dyDescent="0.25">
      <c r="A11" s="31" t="s">
        <v>1155</v>
      </c>
      <c r="B11" s="31"/>
      <c r="C11" s="32">
        <v>45765391.490000002</v>
      </c>
      <c r="D11" s="32">
        <v>-21564.190000000002</v>
      </c>
      <c r="E11" s="32">
        <v>-34666603.710000001</v>
      </c>
      <c r="F11" s="32">
        <v>11077223.59</v>
      </c>
      <c r="G11" s="32">
        <v>5977641.6799999997</v>
      </c>
      <c r="H11" s="32">
        <v>-2449491.4699999997</v>
      </c>
      <c r="I11" s="32">
        <v>0</v>
      </c>
      <c r="J11" s="32">
        <v>3528150.2100000004</v>
      </c>
      <c r="K11" s="32">
        <v>1583378.8</v>
      </c>
      <c r="L11" s="32">
        <v>-1180239.83</v>
      </c>
      <c r="M11" s="32">
        <v>403138.97</v>
      </c>
      <c r="N11" s="32">
        <v>1500000</v>
      </c>
      <c r="O11" s="32">
        <v>-1500000</v>
      </c>
      <c r="P11" s="32">
        <v>0</v>
      </c>
      <c r="Q11" s="32">
        <v>182880</v>
      </c>
      <c r="R11" s="32">
        <v>-130048</v>
      </c>
      <c r="S11" s="32">
        <v>52832</v>
      </c>
      <c r="T11" s="32">
        <v>823440</v>
      </c>
      <c r="U11" s="32">
        <v>-88900</v>
      </c>
      <c r="V11" s="32">
        <v>734540</v>
      </c>
      <c r="W11" s="32">
        <v>91440</v>
      </c>
      <c r="X11" s="32">
        <v>-57912</v>
      </c>
      <c r="Y11" s="32">
        <v>33528</v>
      </c>
      <c r="Z11" s="32">
        <v>427753.98</v>
      </c>
      <c r="AA11" s="32">
        <v>-377985.98000000004</v>
      </c>
      <c r="AB11" s="32">
        <v>49767.999999999942</v>
      </c>
      <c r="AC11" s="32">
        <v>91440</v>
      </c>
      <c r="AD11" s="32">
        <v>-641.09</v>
      </c>
      <c r="AE11" s="32">
        <v>-71120</v>
      </c>
      <c r="AF11" s="32">
        <v>19678.910000000003</v>
      </c>
      <c r="AG11" s="32">
        <v>124840</v>
      </c>
      <c r="AH11" s="32">
        <v>-54736</v>
      </c>
      <c r="AI11" s="32">
        <v>70104</v>
      </c>
      <c r="AJ11" s="32">
        <v>4491900</v>
      </c>
      <c r="AK11" s="32">
        <v>-3180356.4899999993</v>
      </c>
      <c r="AL11" s="32">
        <v>1311543.5100000005</v>
      </c>
      <c r="AM11" s="32">
        <v>124950</v>
      </c>
      <c r="AN11" s="32">
        <v>-106694</v>
      </c>
      <c r="AO11" s="32">
        <v>18256</v>
      </c>
      <c r="AP11" s="32">
        <v>17298763.189999998</v>
      </c>
      <c r="AT11" t="s">
        <v>0</v>
      </c>
      <c r="AU11" t="s">
        <v>0</v>
      </c>
    </row>
    <row r="12" spans="1:47" x14ac:dyDescent="0.25">
      <c r="AT12" t="s">
        <v>0</v>
      </c>
      <c r="AU12" t="s">
        <v>0</v>
      </c>
    </row>
    <row r="13" spans="1:47" x14ac:dyDescent="0.25">
      <c r="AT13" t="s">
        <v>0</v>
      </c>
      <c r="AU13" t="s">
        <v>0</v>
      </c>
    </row>
    <row r="14" spans="1:47" x14ac:dyDescent="0.25">
      <c r="AT14" t="s">
        <v>0</v>
      </c>
      <c r="AU14" t="s">
        <v>0</v>
      </c>
    </row>
    <row r="15" spans="1:47" ht="13" x14ac:dyDescent="0.25">
      <c r="A15" s="30" t="s">
        <v>1157</v>
      </c>
      <c r="B15" s="30"/>
      <c r="C15" s="30" t="s">
        <v>1156</v>
      </c>
      <c r="D15" s="30"/>
      <c r="E15" s="30"/>
      <c r="F15" s="30"/>
    </row>
    <row r="16" spans="1:47" ht="13" x14ac:dyDescent="0.25">
      <c r="A16" s="30" t="s">
        <v>1154</v>
      </c>
      <c r="B16" s="30"/>
      <c r="C16" s="30" t="s">
        <v>1152</v>
      </c>
      <c r="D16" s="30" t="s">
        <v>1153</v>
      </c>
      <c r="E16" s="30" t="s">
        <v>1150</v>
      </c>
      <c r="F16" s="30" t="s">
        <v>1155</v>
      </c>
    </row>
    <row r="17" spans="1:6" x14ac:dyDescent="0.25">
      <c r="A17" t="s">
        <v>423</v>
      </c>
      <c r="B17" t="s">
        <v>1198</v>
      </c>
      <c r="C17" s="16">
        <v>1639627.33</v>
      </c>
      <c r="D17" s="16">
        <v>-793862.15999999992</v>
      </c>
      <c r="E17" s="16"/>
      <c r="F17" s="16">
        <v>845765.17000000016</v>
      </c>
    </row>
    <row r="18" spans="1:6" x14ac:dyDescent="0.25">
      <c r="A18" t="s">
        <v>94</v>
      </c>
      <c r="B18" t="s">
        <v>1199</v>
      </c>
      <c r="C18" s="16">
        <v>2316732.4000000004</v>
      </c>
      <c r="D18" s="16">
        <v>-2254290.7999999998</v>
      </c>
      <c r="E18" s="16"/>
      <c r="F18" s="16">
        <v>62441.600000000559</v>
      </c>
    </row>
    <row r="19" spans="1:6" x14ac:dyDescent="0.25">
      <c r="A19" t="s">
        <v>395</v>
      </c>
      <c r="B19" t="s">
        <v>1200</v>
      </c>
      <c r="C19" s="16">
        <v>1750145.12</v>
      </c>
      <c r="D19" s="16">
        <v>-923831.14000000013</v>
      </c>
      <c r="E19" s="16"/>
      <c r="F19" s="16">
        <v>826313.98</v>
      </c>
    </row>
    <row r="20" spans="1:6" x14ac:dyDescent="0.25">
      <c r="A20" t="s">
        <v>432</v>
      </c>
      <c r="B20" t="s">
        <v>1201</v>
      </c>
      <c r="C20" s="16">
        <v>181019.23</v>
      </c>
      <c r="D20" s="16">
        <v>-78851.23000000001</v>
      </c>
      <c r="E20" s="16"/>
      <c r="F20" s="16">
        <v>102168</v>
      </c>
    </row>
    <row r="21" spans="1:6" x14ac:dyDescent="0.25">
      <c r="A21" t="s">
        <v>48</v>
      </c>
      <c r="B21" t="s">
        <v>1202</v>
      </c>
      <c r="C21" s="16">
        <v>740000</v>
      </c>
      <c r="D21" s="16">
        <v>-401110</v>
      </c>
      <c r="E21" s="16"/>
      <c r="F21" s="16">
        <v>338890</v>
      </c>
    </row>
    <row r="22" spans="1:6" x14ac:dyDescent="0.25">
      <c r="A22" t="s">
        <v>11</v>
      </c>
      <c r="B22" t="s">
        <v>1203</v>
      </c>
      <c r="C22" s="16">
        <v>43862262.269999996</v>
      </c>
      <c r="D22" s="16">
        <v>-34413516.63000001</v>
      </c>
      <c r="E22" s="16">
        <v>-22205.280000000002</v>
      </c>
      <c r="F22" s="16">
        <v>9426540.3599999845</v>
      </c>
    </row>
    <row r="23" spans="1:6" x14ac:dyDescent="0.25">
      <c r="A23" t="s">
        <v>35</v>
      </c>
      <c r="B23" t="s">
        <v>1204</v>
      </c>
      <c r="C23" s="16">
        <v>4399269.5999999996</v>
      </c>
      <c r="D23" s="16">
        <v>-1681675.35</v>
      </c>
      <c r="E23" s="16"/>
      <c r="F23" s="16">
        <v>2717594.2499999995</v>
      </c>
    </row>
    <row r="24" spans="1:6" x14ac:dyDescent="0.25">
      <c r="A24" t="s">
        <v>43</v>
      </c>
      <c r="B24" t="s">
        <v>1205</v>
      </c>
      <c r="C24" s="16">
        <v>6296000</v>
      </c>
      <c r="D24" s="16">
        <v>-3316950.1699999995</v>
      </c>
      <c r="E24" s="16"/>
      <c r="F24" s="16">
        <v>2979049.8300000005</v>
      </c>
    </row>
    <row r="25" spans="1:6" ht="13" x14ac:dyDescent="0.25">
      <c r="A25" s="31" t="s">
        <v>1155</v>
      </c>
      <c r="B25" s="31"/>
      <c r="C25" s="32">
        <v>61185055.949999996</v>
      </c>
      <c r="D25" s="32">
        <v>-43864087.480000012</v>
      </c>
      <c r="E25" s="32">
        <v>-22205.280000000002</v>
      </c>
      <c r="F25" s="32">
        <v>17298763.189999986</v>
      </c>
    </row>
    <row r="28" spans="1:6" ht="13" x14ac:dyDescent="0.25">
      <c r="A28" s="31" t="s">
        <v>1154</v>
      </c>
      <c r="B28" s="31"/>
      <c r="C28" s="31" t="s">
        <v>1209</v>
      </c>
      <c r="D28" s="31" t="s">
        <v>1211</v>
      </c>
      <c r="E28" s="31" t="s">
        <v>1210</v>
      </c>
      <c r="F28" s="31" t="s">
        <v>1155</v>
      </c>
    </row>
    <row r="29" spans="1:6" x14ac:dyDescent="0.25">
      <c r="A29" t="s">
        <v>1187</v>
      </c>
      <c r="C29" s="16">
        <v>45765391.490000002</v>
      </c>
      <c r="D29" s="16">
        <v>-34666603.710000001</v>
      </c>
      <c r="E29" s="16">
        <v>-21564.190000000002</v>
      </c>
      <c r="F29" s="16">
        <v>11077223.590000004</v>
      </c>
    </row>
    <row r="30" spans="1:6" x14ac:dyDescent="0.25">
      <c r="A30" t="s">
        <v>1208</v>
      </c>
      <c r="C30" s="16">
        <v>5977641.6800000006</v>
      </c>
      <c r="D30" s="16">
        <v>-2449491.4700000002</v>
      </c>
      <c r="E30" s="16"/>
      <c r="F30" s="16">
        <v>3528150.2100000004</v>
      </c>
    </row>
    <row r="31" spans="1:6" x14ac:dyDescent="0.25">
      <c r="A31" t="s">
        <v>1188</v>
      </c>
      <c r="C31" s="16">
        <v>1583378.8</v>
      </c>
      <c r="D31" s="16">
        <v>-1180239.8300000003</v>
      </c>
      <c r="E31" s="16"/>
      <c r="F31" s="16">
        <v>403138.96999999974</v>
      </c>
    </row>
    <row r="32" spans="1:6" x14ac:dyDescent="0.25">
      <c r="A32" t="s">
        <v>1189</v>
      </c>
      <c r="C32" s="16">
        <v>1500000</v>
      </c>
      <c r="D32" s="16">
        <v>-1500000</v>
      </c>
      <c r="E32" s="16"/>
      <c r="F32" s="16">
        <v>0</v>
      </c>
    </row>
    <row r="33" spans="1:6" x14ac:dyDescent="0.25">
      <c r="A33" t="s">
        <v>1190</v>
      </c>
      <c r="C33" s="16">
        <v>182880</v>
      </c>
      <c r="D33" s="16">
        <v>-130048</v>
      </c>
      <c r="E33" s="16"/>
      <c r="F33" s="16">
        <v>52832</v>
      </c>
    </row>
    <row r="34" spans="1:6" x14ac:dyDescent="0.25">
      <c r="A34" t="s">
        <v>1191</v>
      </c>
      <c r="C34" s="16">
        <v>823440</v>
      </c>
      <c r="D34" s="16">
        <v>-88900</v>
      </c>
      <c r="E34" s="16"/>
      <c r="F34" s="16">
        <v>734540</v>
      </c>
    </row>
    <row r="35" spans="1:6" x14ac:dyDescent="0.25">
      <c r="A35" t="s">
        <v>1192</v>
      </c>
      <c r="C35" s="16">
        <v>91440</v>
      </c>
      <c r="D35" s="16">
        <v>-57912</v>
      </c>
      <c r="E35" s="16"/>
      <c r="F35" s="16">
        <v>33528</v>
      </c>
    </row>
    <row r="36" spans="1:6" x14ac:dyDescent="0.25">
      <c r="A36" t="s">
        <v>1193</v>
      </c>
      <c r="C36" s="16">
        <v>427753.98</v>
      </c>
      <c r="D36" s="16">
        <v>-377985.98000000004</v>
      </c>
      <c r="E36" s="16"/>
      <c r="F36" s="16">
        <v>49767.999999999942</v>
      </c>
    </row>
    <row r="37" spans="1:6" x14ac:dyDescent="0.25">
      <c r="A37" t="s">
        <v>1194</v>
      </c>
      <c r="C37" s="16">
        <v>91440</v>
      </c>
      <c r="D37" s="16">
        <v>-71120</v>
      </c>
      <c r="E37" s="16">
        <v>-641.09</v>
      </c>
      <c r="F37" s="16">
        <v>19678.910000000003</v>
      </c>
    </row>
    <row r="38" spans="1:6" x14ac:dyDescent="0.25">
      <c r="A38" t="s">
        <v>1195</v>
      </c>
      <c r="C38" s="16">
        <v>124840</v>
      </c>
      <c r="D38" s="16">
        <v>-54736</v>
      </c>
      <c r="E38" s="16"/>
      <c r="F38" s="16">
        <v>70104</v>
      </c>
    </row>
    <row r="39" spans="1:6" x14ac:dyDescent="0.25">
      <c r="A39" t="s">
        <v>1196</v>
      </c>
      <c r="C39" s="16">
        <v>4491900</v>
      </c>
      <c r="D39" s="16">
        <v>-3180356.4899999998</v>
      </c>
      <c r="E39" s="16"/>
      <c r="F39" s="16">
        <v>1311543.5100000002</v>
      </c>
    </row>
    <row r="40" spans="1:6" x14ac:dyDescent="0.25">
      <c r="A40" t="s">
        <v>1197</v>
      </c>
      <c r="C40" s="16">
        <v>124950</v>
      </c>
      <c r="D40" s="16">
        <v>-106694</v>
      </c>
      <c r="E40" s="16"/>
      <c r="F40" s="16">
        <v>18256</v>
      </c>
    </row>
    <row r="41" spans="1:6" ht="13" x14ac:dyDescent="0.25">
      <c r="A41" s="31" t="s">
        <v>1155</v>
      </c>
      <c r="B41" s="31"/>
      <c r="C41" s="32">
        <v>61185055.950000003</v>
      </c>
      <c r="D41" s="32">
        <v>-43864087.480000004</v>
      </c>
      <c r="E41" s="32">
        <v>-22205.280000000002</v>
      </c>
      <c r="F41" s="32">
        <v>17298763.190000005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6D7F-1BBF-4121-B082-26AAB63D885D}">
  <dimension ref="A1:H277"/>
  <sheetViews>
    <sheetView tabSelected="1" topLeftCell="A6" workbookViewId="0">
      <selection activeCell="D9" sqref="D9"/>
    </sheetView>
  </sheetViews>
  <sheetFormatPr defaultRowHeight="12.5" x14ac:dyDescent="0.25"/>
  <cols>
    <col min="2" max="2" width="20.36328125" bestFit="1" customWidth="1"/>
    <col min="3" max="3" width="10.90625" customWidth="1"/>
    <col min="4" max="4" width="15.90625" customWidth="1"/>
    <col min="5" max="5" width="12.453125" bestFit="1" customWidth="1"/>
    <col min="8" max="8" width="24.1796875" bestFit="1" customWidth="1"/>
  </cols>
  <sheetData>
    <row r="1" spans="1:8" ht="25" x14ac:dyDescent="0.25">
      <c r="A1" s="33" t="s">
        <v>1141</v>
      </c>
      <c r="B1" s="34" t="s">
        <v>1206</v>
      </c>
      <c r="C1" s="34" t="s">
        <v>1207</v>
      </c>
      <c r="D1" s="35" t="s">
        <v>1149</v>
      </c>
      <c r="E1" s="35" t="s">
        <v>1135</v>
      </c>
    </row>
    <row r="2" spans="1:8" x14ac:dyDescent="0.25">
      <c r="A2" t="s">
        <v>12</v>
      </c>
      <c r="B2" t="s">
        <v>1187</v>
      </c>
      <c r="C2" t="s">
        <v>11</v>
      </c>
      <c r="D2" s="37" t="s">
        <v>1210</v>
      </c>
      <c r="E2" s="3">
        <v>-5400</v>
      </c>
    </row>
    <row r="3" spans="1:8" x14ac:dyDescent="0.25">
      <c r="A3" t="s">
        <v>12</v>
      </c>
      <c r="B3" t="s">
        <v>1187</v>
      </c>
      <c r="C3" t="s">
        <v>11</v>
      </c>
      <c r="D3" s="37" t="s">
        <v>1210</v>
      </c>
      <c r="E3" s="3">
        <v>-11174.59</v>
      </c>
    </row>
    <row r="4" spans="1:8" x14ac:dyDescent="0.25">
      <c r="A4" t="s">
        <v>12</v>
      </c>
      <c r="B4" t="s">
        <v>1187</v>
      </c>
      <c r="C4" t="s">
        <v>11</v>
      </c>
      <c r="D4" s="37" t="s">
        <v>1210</v>
      </c>
      <c r="E4" s="3">
        <v>-4989.6000000000004</v>
      </c>
    </row>
    <row r="5" spans="1:8" x14ac:dyDescent="0.25">
      <c r="A5" t="s">
        <v>12</v>
      </c>
      <c r="B5" t="s">
        <v>1187</v>
      </c>
      <c r="C5" t="s">
        <v>11</v>
      </c>
      <c r="D5" s="37" t="s">
        <v>1209</v>
      </c>
      <c r="E5" s="3">
        <v>15255000</v>
      </c>
      <c r="G5" s="36" t="s">
        <v>12</v>
      </c>
      <c r="H5" s="36" t="s">
        <v>1187</v>
      </c>
    </row>
    <row r="6" spans="1:8" x14ac:dyDescent="0.25">
      <c r="A6" t="s">
        <v>12</v>
      </c>
      <c r="B6" t="s">
        <v>1187</v>
      </c>
      <c r="C6" t="s">
        <v>35</v>
      </c>
      <c r="D6" s="37" t="s">
        <v>1209</v>
      </c>
      <c r="E6" s="3">
        <v>720000</v>
      </c>
      <c r="G6" s="36" t="s">
        <v>396</v>
      </c>
      <c r="H6" s="36" t="s">
        <v>1208</v>
      </c>
    </row>
    <row r="7" spans="1:8" x14ac:dyDescent="0.25">
      <c r="A7" t="s">
        <v>12</v>
      </c>
      <c r="B7" t="s">
        <v>1187</v>
      </c>
      <c r="C7" t="s">
        <v>35</v>
      </c>
      <c r="D7" s="37" t="s">
        <v>1209</v>
      </c>
      <c r="E7" s="3">
        <v>1900000</v>
      </c>
      <c r="G7" s="36" t="s">
        <v>568</v>
      </c>
      <c r="H7" s="36" t="s">
        <v>1188</v>
      </c>
    </row>
    <row r="8" spans="1:8" x14ac:dyDescent="0.25">
      <c r="A8" t="s">
        <v>12</v>
      </c>
      <c r="B8" t="s">
        <v>1187</v>
      </c>
      <c r="C8" t="s">
        <v>43</v>
      </c>
      <c r="D8" s="37" t="s">
        <v>1209</v>
      </c>
      <c r="E8" s="3">
        <v>150000</v>
      </c>
      <c r="G8" s="36" t="s">
        <v>714</v>
      </c>
      <c r="H8" s="36" t="s">
        <v>1189</v>
      </c>
    </row>
    <row r="9" spans="1:8" x14ac:dyDescent="0.25">
      <c r="A9" t="s">
        <v>12</v>
      </c>
      <c r="B9" t="s">
        <v>1187</v>
      </c>
      <c r="C9" t="s">
        <v>48</v>
      </c>
      <c r="D9" s="37" t="s">
        <v>1209</v>
      </c>
      <c r="E9" s="3">
        <v>370000</v>
      </c>
      <c r="G9" s="36" t="s">
        <v>736</v>
      </c>
      <c r="H9" s="36" t="s">
        <v>1190</v>
      </c>
    </row>
    <row r="10" spans="1:8" x14ac:dyDescent="0.25">
      <c r="A10" t="s">
        <v>12</v>
      </c>
      <c r="B10" t="s">
        <v>1187</v>
      </c>
      <c r="C10" t="s">
        <v>43</v>
      </c>
      <c r="D10" s="37" t="s">
        <v>1209</v>
      </c>
      <c r="E10" s="3">
        <v>700000</v>
      </c>
      <c r="G10" s="36" t="s">
        <v>762</v>
      </c>
      <c r="H10" s="36" t="s">
        <v>1191</v>
      </c>
    </row>
    <row r="11" spans="1:8" x14ac:dyDescent="0.25">
      <c r="A11" t="s">
        <v>12</v>
      </c>
      <c r="B11" t="s">
        <v>1187</v>
      </c>
      <c r="C11" t="s">
        <v>43</v>
      </c>
      <c r="D11" s="37" t="s">
        <v>1209</v>
      </c>
      <c r="E11" s="3">
        <v>60000</v>
      </c>
      <c r="G11" s="36" t="s">
        <v>774</v>
      </c>
      <c r="H11" s="36" t="s">
        <v>1192</v>
      </c>
    </row>
    <row r="12" spans="1:8" x14ac:dyDescent="0.25">
      <c r="A12" t="s">
        <v>12</v>
      </c>
      <c r="B12" t="s">
        <v>1187</v>
      </c>
      <c r="C12" t="s">
        <v>43</v>
      </c>
      <c r="D12" s="37" t="s">
        <v>1209</v>
      </c>
      <c r="E12" s="3">
        <v>80000</v>
      </c>
      <c r="G12" s="36" t="s">
        <v>791</v>
      </c>
      <c r="H12" s="36" t="s">
        <v>1193</v>
      </c>
    </row>
    <row r="13" spans="1:8" x14ac:dyDescent="0.25">
      <c r="A13" t="s">
        <v>12</v>
      </c>
      <c r="B13" t="s">
        <v>1187</v>
      </c>
      <c r="C13" t="s">
        <v>43</v>
      </c>
      <c r="D13" s="37" t="s">
        <v>1209</v>
      </c>
      <c r="E13" s="3">
        <v>175000</v>
      </c>
      <c r="G13" s="36" t="s">
        <v>832</v>
      </c>
      <c r="H13" s="36" t="s">
        <v>1194</v>
      </c>
    </row>
    <row r="14" spans="1:8" x14ac:dyDescent="0.25">
      <c r="A14" t="s">
        <v>12</v>
      </c>
      <c r="B14" t="s">
        <v>1187</v>
      </c>
      <c r="C14" t="s">
        <v>43</v>
      </c>
      <c r="D14" s="37" t="s">
        <v>1209</v>
      </c>
      <c r="E14" s="3">
        <v>116000</v>
      </c>
      <c r="G14" s="36" t="s">
        <v>852</v>
      </c>
      <c r="H14" s="36" t="s">
        <v>1195</v>
      </c>
    </row>
    <row r="15" spans="1:8" x14ac:dyDescent="0.25">
      <c r="A15" t="s">
        <v>12</v>
      </c>
      <c r="B15" t="s">
        <v>1187</v>
      </c>
      <c r="C15" t="s">
        <v>43</v>
      </c>
      <c r="D15" s="37" t="s">
        <v>1209</v>
      </c>
      <c r="E15" s="3">
        <v>380000</v>
      </c>
      <c r="G15" s="36" t="s">
        <v>876</v>
      </c>
      <c r="H15" s="36" t="s">
        <v>1196</v>
      </c>
    </row>
    <row r="16" spans="1:8" x14ac:dyDescent="0.25">
      <c r="A16" t="s">
        <v>12</v>
      </c>
      <c r="B16" t="s">
        <v>1187</v>
      </c>
      <c r="C16" t="s">
        <v>35</v>
      </c>
      <c r="D16" s="37" t="s">
        <v>1209</v>
      </c>
      <c r="E16" s="3">
        <v>238000</v>
      </c>
      <c r="G16" s="36" t="s">
        <v>1106</v>
      </c>
      <c r="H16" s="36" t="s">
        <v>1197</v>
      </c>
    </row>
    <row r="17" spans="1:5" x14ac:dyDescent="0.25">
      <c r="A17" t="s">
        <v>12</v>
      </c>
      <c r="B17" t="s">
        <v>1187</v>
      </c>
      <c r="C17" t="s">
        <v>43</v>
      </c>
      <c r="D17" s="37" t="s">
        <v>1209</v>
      </c>
      <c r="E17" s="3">
        <v>380000</v>
      </c>
    </row>
    <row r="18" spans="1:5" x14ac:dyDescent="0.25">
      <c r="A18" t="s">
        <v>12</v>
      </c>
      <c r="B18" t="s">
        <v>1187</v>
      </c>
      <c r="C18" t="s">
        <v>11</v>
      </c>
      <c r="D18" s="37" t="s">
        <v>1209</v>
      </c>
      <c r="E18" s="3">
        <v>781410.04</v>
      </c>
    </row>
    <row r="19" spans="1:5" x14ac:dyDescent="0.25">
      <c r="A19" t="s">
        <v>12</v>
      </c>
      <c r="B19" t="s">
        <v>1187</v>
      </c>
      <c r="C19" t="s">
        <v>94</v>
      </c>
      <c r="D19" s="37" t="s">
        <v>1209</v>
      </c>
      <c r="E19" s="3">
        <v>546345</v>
      </c>
    </row>
    <row r="20" spans="1:5" x14ac:dyDescent="0.25">
      <c r="A20" t="s">
        <v>12</v>
      </c>
      <c r="B20" t="s">
        <v>1187</v>
      </c>
      <c r="C20" t="s">
        <v>11</v>
      </c>
      <c r="D20" s="37" t="s">
        <v>1209</v>
      </c>
      <c r="E20" s="3">
        <v>20340000</v>
      </c>
    </row>
    <row r="21" spans="1:5" x14ac:dyDescent="0.25">
      <c r="A21" t="s">
        <v>12</v>
      </c>
      <c r="B21" t="s">
        <v>1187</v>
      </c>
      <c r="C21" t="s">
        <v>35</v>
      </c>
      <c r="D21" s="37" t="s">
        <v>1209</v>
      </c>
      <c r="E21" s="3">
        <v>165000</v>
      </c>
    </row>
    <row r="22" spans="1:5" x14ac:dyDescent="0.25">
      <c r="A22" t="s">
        <v>12</v>
      </c>
      <c r="B22" t="s">
        <v>1187</v>
      </c>
      <c r="C22" t="s">
        <v>11</v>
      </c>
      <c r="D22" s="37" t="s">
        <v>1209</v>
      </c>
      <c r="E22" s="3">
        <v>365000</v>
      </c>
    </row>
    <row r="23" spans="1:5" x14ac:dyDescent="0.25">
      <c r="A23" t="s">
        <v>12</v>
      </c>
      <c r="B23" t="s">
        <v>1187</v>
      </c>
      <c r="C23" t="s">
        <v>43</v>
      </c>
      <c r="D23" s="37" t="s">
        <v>1209</v>
      </c>
      <c r="E23" s="3">
        <v>300000</v>
      </c>
    </row>
    <row r="24" spans="1:5" x14ac:dyDescent="0.25">
      <c r="A24" t="s">
        <v>12</v>
      </c>
      <c r="B24" t="s">
        <v>1187</v>
      </c>
      <c r="C24" t="s">
        <v>35</v>
      </c>
      <c r="D24" s="37" t="s">
        <v>1209</v>
      </c>
      <c r="E24" s="3">
        <v>137529.60000000001</v>
      </c>
    </row>
    <row r="25" spans="1:5" x14ac:dyDescent="0.25">
      <c r="A25" t="s">
        <v>12</v>
      </c>
      <c r="B25" t="s">
        <v>1187</v>
      </c>
      <c r="C25" t="s">
        <v>11</v>
      </c>
      <c r="D25" s="37" t="s">
        <v>1209</v>
      </c>
      <c r="E25" s="3">
        <v>250000</v>
      </c>
    </row>
    <row r="26" spans="1:5" x14ac:dyDescent="0.25">
      <c r="A26" t="s">
        <v>12</v>
      </c>
      <c r="B26" t="s">
        <v>1187</v>
      </c>
      <c r="C26" t="s">
        <v>11</v>
      </c>
      <c r="D26" s="37" t="s">
        <v>1209</v>
      </c>
      <c r="E26" s="3">
        <v>100000</v>
      </c>
    </row>
    <row r="27" spans="1:5" x14ac:dyDescent="0.25">
      <c r="A27" t="s">
        <v>12</v>
      </c>
      <c r="B27" t="s">
        <v>1187</v>
      </c>
      <c r="C27" t="s">
        <v>35</v>
      </c>
      <c r="D27" s="37" t="s">
        <v>1209</v>
      </c>
      <c r="E27" s="3">
        <v>425600</v>
      </c>
    </row>
    <row r="28" spans="1:5" x14ac:dyDescent="0.25">
      <c r="A28" t="s">
        <v>12</v>
      </c>
      <c r="B28" t="s">
        <v>1187</v>
      </c>
      <c r="C28" t="s">
        <v>94</v>
      </c>
      <c r="D28" s="37" t="s">
        <v>1209</v>
      </c>
      <c r="E28" s="3">
        <v>62441.599999999999</v>
      </c>
    </row>
    <row r="29" spans="1:5" x14ac:dyDescent="0.25">
      <c r="A29" t="s">
        <v>12</v>
      </c>
      <c r="B29" t="s">
        <v>1187</v>
      </c>
      <c r="C29" t="s">
        <v>94</v>
      </c>
      <c r="D29" s="37" t="s">
        <v>1209</v>
      </c>
      <c r="E29" s="3">
        <v>376029</v>
      </c>
    </row>
    <row r="30" spans="1:5" x14ac:dyDescent="0.25">
      <c r="A30" t="s">
        <v>12</v>
      </c>
      <c r="B30" t="s">
        <v>1187</v>
      </c>
      <c r="C30" t="s">
        <v>48</v>
      </c>
      <c r="D30" s="37" t="s">
        <v>1209</v>
      </c>
      <c r="E30" s="3">
        <v>370000</v>
      </c>
    </row>
    <row r="31" spans="1:5" x14ac:dyDescent="0.25">
      <c r="A31" t="s">
        <v>12</v>
      </c>
      <c r="B31" t="s">
        <v>1187</v>
      </c>
      <c r="C31" t="s">
        <v>11</v>
      </c>
      <c r="D31" s="37" t="s">
        <v>1209</v>
      </c>
      <c r="E31" s="3">
        <v>86998.25</v>
      </c>
    </row>
    <row r="32" spans="1:5" x14ac:dyDescent="0.25">
      <c r="A32" t="s">
        <v>12</v>
      </c>
      <c r="B32" t="s">
        <v>1187</v>
      </c>
      <c r="C32" t="s">
        <v>94</v>
      </c>
      <c r="D32" s="37" t="s">
        <v>1209</v>
      </c>
      <c r="E32" s="3">
        <v>434538</v>
      </c>
    </row>
    <row r="33" spans="1:5" x14ac:dyDescent="0.25">
      <c r="A33" t="s">
        <v>12</v>
      </c>
      <c r="B33" t="s">
        <v>1187</v>
      </c>
      <c r="C33" t="s">
        <v>35</v>
      </c>
      <c r="D33" s="37" t="s">
        <v>1209</v>
      </c>
      <c r="E33" s="3">
        <v>165000</v>
      </c>
    </row>
    <row r="34" spans="1:5" x14ac:dyDescent="0.25">
      <c r="A34" t="s">
        <v>12</v>
      </c>
      <c r="B34" t="s">
        <v>1187</v>
      </c>
      <c r="C34" t="s">
        <v>43</v>
      </c>
      <c r="D34" s="37" t="s">
        <v>1209</v>
      </c>
      <c r="E34" s="3">
        <v>295500</v>
      </c>
    </row>
    <row r="35" spans="1:5" x14ac:dyDescent="0.25">
      <c r="A35" t="s">
        <v>12</v>
      </c>
      <c r="B35" t="s">
        <v>1187</v>
      </c>
      <c r="C35" t="s">
        <v>43</v>
      </c>
      <c r="D35" s="37" t="s">
        <v>1209</v>
      </c>
      <c r="E35" s="3">
        <v>40000</v>
      </c>
    </row>
    <row r="36" spans="1:5" x14ac:dyDescent="0.25">
      <c r="A36" t="s">
        <v>12</v>
      </c>
      <c r="B36" t="s">
        <v>1187</v>
      </c>
      <c r="C36" t="s">
        <v>94</v>
      </c>
      <c r="D36" s="37" t="s">
        <v>1211</v>
      </c>
      <c r="E36" s="3">
        <v>-546345</v>
      </c>
    </row>
    <row r="37" spans="1:5" x14ac:dyDescent="0.25">
      <c r="A37" t="s">
        <v>12</v>
      </c>
      <c r="B37" t="s">
        <v>1187</v>
      </c>
      <c r="C37" t="s">
        <v>35</v>
      </c>
      <c r="D37" s="37" t="s">
        <v>1211</v>
      </c>
      <c r="E37" s="3">
        <v>-63333.34</v>
      </c>
    </row>
    <row r="38" spans="1:5" x14ac:dyDescent="0.25">
      <c r="A38" t="s">
        <v>12</v>
      </c>
      <c r="B38" t="s">
        <v>1187</v>
      </c>
      <c r="C38" t="s">
        <v>35</v>
      </c>
      <c r="D38" s="37" t="s">
        <v>1211</v>
      </c>
      <c r="E38" s="3">
        <v>-123378.34</v>
      </c>
    </row>
    <row r="39" spans="1:5" x14ac:dyDescent="0.25">
      <c r="A39" t="s">
        <v>12</v>
      </c>
      <c r="B39" t="s">
        <v>1187</v>
      </c>
      <c r="C39" t="s">
        <v>35</v>
      </c>
      <c r="D39" s="37" t="s">
        <v>1211</v>
      </c>
      <c r="E39" s="3">
        <v>-121797.11</v>
      </c>
    </row>
    <row r="40" spans="1:5" x14ac:dyDescent="0.25">
      <c r="A40" t="s">
        <v>12</v>
      </c>
      <c r="B40" t="s">
        <v>1187</v>
      </c>
      <c r="C40" t="s">
        <v>43</v>
      </c>
      <c r="D40" s="37" t="s">
        <v>1211</v>
      </c>
      <c r="E40" s="3">
        <v>-6666.7</v>
      </c>
    </row>
    <row r="41" spans="1:5" x14ac:dyDescent="0.25">
      <c r="A41" t="s">
        <v>12</v>
      </c>
      <c r="B41" t="s">
        <v>1187</v>
      </c>
      <c r="C41" t="s">
        <v>43</v>
      </c>
      <c r="D41" s="37" t="s">
        <v>1211</v>
      </c>
      <c r="E41" s="3">
        <v>-6666.7</v>
      </c>
    </row>
    <row r="42" spans="1:5" x14ac:dyDescent="0.25">
      <c r="A42" t="s">
        <v>12</v>
      </c>
      <c r="B42" t="s">
        <v>1187</v>
      </c>
      <c r="C42" t="s">
        <v>43</v>
      </c>
      <c r="D42" s="37" t="s">
        <v>1211</v>
      </c>
      <c r="E42" s="3">
        <v>-22611.27</v>
      </c>
    </row>
    <row r="43" spans="1:5" x14ac:dyDescent="0.25">
      <c r="A43" t="s">
        <v>12</v>
      </c>
      <c r="B43" t="s">
        <v>1187</v>
      </c>
      <c r="C43" t="s">
        <v>43</v>
      </c>
      <c r="D43" s="37" t="s">
        <v>1211</v>
      </c>
      <c r="E43" s="3">
        <v>-88278.13</v>
      </c>
    </row>
    <row r="44" spans="1:5" x14ac:dyDescent="0.25">
      <c r="A44" t="s">
        <v>12</v>
      </c>
      <c r="B44" t="s">
        <v>1187</v>
      </c>
      <c r="C44" t="s">
        <v>43</v>
      </c>
      <c r="D44" s="37" t="s">
        <v>1211</v>
      </c>
      <c r="E44" s="3">
        <v>-26052.86</v>
      </c>
    </row>
    <row r="45" spans="1:5" x14ac:dyDescent="0.25">
      <c r="A45" t="s">
        <v>12</v>
      </c>
      <c r="B45" t="s">
        <v>1187</v>
      </c>
      <c r="C45" t="s">
        <v>43</v>
      </c>
      <c r="D45" s="37" t="s">
        <v>1211</v>
      </c>
      <c r="E45" s="3">
        <v>-8000</v>
      </c>
    </row>
    <row r="46" spans="1:5" x14ac:dyDescent="0.25">
      <c r="A46" t="s">
        <v>12</v>
      </c>
      <c r="B46" t="s">
        <v>1187</v>
      </c>
      <c r="C46" t="s">
        <v>43</v>
      </c>
      <c r="D46" s="37" t="s">
        <v>1211</v>
      </c>
      <c r="E46" s="3">
        <v>-1256.9000000000001</v>
      </c>
    </row>
    <row r="47" spans="1:5" x14ac:dyDescent="0.25">
      <c r="A47" t="s">
        <v>12</v>
      </c>
      <c r="B47" t="s">
        <v>1187</v>
      </c>
      <c r="C47" t="s">
        <v>43</v>
      </c>
      <c r="D47" s="37" t="s">
        <v>1211</v>
      </c>
      <c r="E47" s="3">
        <v>-8700</v>
      </c>
    </row>
    <row r="48" spans="1:5" x14ac:dyDescent="0.25">
      <c r="A48" t="s">
        <v>12</v>
      </c>
      <c r="B48" t="s">
        <v>1187</v>
      </c>
      <c r="C48" t="s">
        <v>43</v>
      </c>
      <c r="D48" s="37" t="s">
        <v>1211</v>
      </c>
      <c r="E48" s="3">
        <v>-16800</v>
      </c>
    </row>
    <row r="49" spans="1:5" x14ac:dyDescent="0.25">
      <c r="A49" t="s">
        <v>12</v>
      </c>
      <c r="B49" t="s">
        <v>1187</v>
      </c>
      <c r="C49" t="s">
        <v>11</v>
      </c>
      <c r="D49" s="37" t="s">
        <v>1211</v>
      </c>
      <c r="E49" s="3">
        <v>-4893801.5999999996</v>
      </c>
    </row>
    <row r="50" spans="1:5" x14ac:dyDescent="0.25">
      <c r="A50" t="s">
        <v>12</v>
      </c>
      <c r="B50" t="s">
        <v>1187</v>
      </c>
      <c r="C50" t="s">
        <v>11</v>
      </c>
      <c r="D50" s="37" t="s">
        <v>1211</v>
      </c>
      <c r="E50" s="3">
        <v>-5360125.5999999996</v>
      </c>
    </row>
    <row r="51" spans="1:5" x14ac:dyDescent="0.25">
      <c r="A51" t="s">
        <v>12</v>
      </c>
      <c r="B51" t="s">
        <v>1187</v>
      </c>
      <c r="C51" t="s">
        <v>11</v>
      </c>
      <c r="D51" s="37" t="s">
        <v>1211</v>
      </c>
      <c r="E51" s="3">
        <v>-4585488.4000000004</v>
      </c>
    </row>
    <row r="52" spans="1:5" x14ac:dyDescent="0.25">
      <c r="A52" t="s">
        <v>12</v>
      </c>
      <c r="B52" t="s">
        <v>1187</v>
      </c>
      <c r="C52" t="s">
        <v>11</v>
      </c>
      <c r="D52" s="37" t="s">
        <v>1211</v>
      </c>
      <c r="E52" s="3">
        <v>-781410.04</v>
      </c>
    </row>
    <row r="53" spans="1:5" x14ac:dyDescent="0.25">
      <c r="A53" t="s">
        <v>12</v>
      </c>
      <c r="B53" t="s">
        <v>1187</v>
      </c>
      <c r="C53" t="s">
        <v>94</v>
      </c>
      <c r="D53" s="37" t="s">
        <v>1211</v>
      </c>
      <c r="E53" s="3">
        <v>-376029</v>
      </c>
    </row>
    <row r="54" spans="1:5" x14ac:dyDescent="0.25">
      <c r="A54" t="s">
        <v>12</v>
      </c>
      <c r="B54" t="s">
        <v>1187</v>
      </c>
      <c r="C54" t="s">
        <v>94</v>
      </c>
      <c r="D54" s="37" t="s">
        <v>1211</v>
      </c>
      <c r="E54" s="3">
        <v>-434538</v>
      </c>
    </row>
    <row r="55" spans="1:5" x14ac:dyDescent="0.25">
      <c r="A55" t="s">
        <v>12</v>
      </c>
      <c r="B55" t="s">
        <v>1187</v>
      </c>
      <c r="C55" t="s">
        <v>35</v>
      </c>
      <c r="D55" s="37" t="s">
        <v>1211</v>
      </c>
      <c r="E55" s="3">
        <v>-391764.08</v>
      </c>
    </row>
    <row r="56" spans="1:5" x14ac:dyDescent="0.25">
      <c r="A56" t="s">
        <v>12</v>
      </c>
      <c r="B56" t="s">
        <v>1187</v>
      </c>
      <c r="C56" t="s">
        <v>43</v>
      </c>
      <c r="D56" s="37" t="s">
        <v>1211</v>
      </c>
      <c r="E56" s="3">
        <v>-12485.67</v>
      </c>
    </row>
    <row r="57" spans="1:5" x14ac:dyDescent="0.25">
      <c r="A57" t="s">
        <v>12</v>
      </c>
      <c r="B57" t="s">
        <v>1187</v>
      </c>
      <c r="C57" t="s">
        <v>48</v>
      </c>
      <c r="D57" s="37" t="s">
        <v>1211</v>
      </c>
      <c r="E57" s="3">
        <v>-323935</v>
      </c>
    </row>
    <row r="58" spans="1:5" x14ac:dyDescent="0.25">
      <c r="A58" t="s">
        <v>12</v>
      </c>
      <c r="B58" t="s">
        <v>1187</v>
      </c>
      <c r="C58" t="s">
        <v>43</v>
      </c>
      <c r="D58" s="37" t="s">
        <v>1211</v>
      </c>
      <c r="E58" s="3">
        <v>-230198.3</v>
      </c>
    </row>
    <row r="59" spans="1:5" x14ac:dyDescent="0.25">
      <c r="A59" t="s">
        <v>12</v>
      </c>
      <c r="B59" t="s">
        <v>1187</v>
      </c>
      <c r="C59" t="s">
        <v>43</v>
      </c>
      <c r="D59" s="37" t="s">
        <v>1211</v>
      </c>
      <c r="E59" s="3">
        <v>-8000</v>
      </c>
    </row>
    <row r="60" spans="1:5" x14ac:dyDescent="0.25">
      <c r="A60" t="s">
        <v>12</v>
      </c>
      <c r="B60" t="s">
        <v>1187</v>
      </c>
      <c r="C60" t="s">
        <v>43</v>
      </c>
      <c r="D60" s="37" t="s">
        <v>1211</v>
      </c>
      <c r="E60" s="3">
        <v>-14258.41</v>
      </c>
    </row>
    <row r="61" spans="1:5" x14ac:dyDescent="0.25">
      <c r="A61" t="s">
        <v>12</v>
      </c>
      <c r="B61" t="s">
        <v>1187</v>
      </c>
      <c r="C61" t="s">
        <v>43</v>
      </c>
      <c r="D61" s="37" t="s">
        <v>1211</v>
      </c>
      <c r="E61" s="3">
        <v>-24635.51</v>
      </c>
    </row>
    <row r="62" spans="1:5" x14ac:dyDescent="0.25">
      <c r="A62" t="s">
        <v>12</v>
      </c>
      <c r="B62" t="s">
        <v>1187</v>
      </c>
      <c r="C62" t="s">
        <v>43</v>
      </c>
      <c r="D62" s="37" t="s">
        <v>1211</v>
      </c>
      <c r="E62" s="3">
        <v>-190454.28</v>
      </c>
    </row>
    <row r="63" spans="1:5" x14ac:dyDescent="0.25">
      <c r="A63" t="s">
        <v>12</v>
      </c>
      <c r="B63" t="s">
        <v>1187</v>
      </c>
      <c r="C63" t="s">
        <v>43</v>
      </c>
      <c r="D63" s="37" t="s">
        <v>1211</v>
      </c>
      <c r="E63" s="3">
        <v>-52526.559999999998</v>
      </c>
    </row>
    <row r="64" spans="1:5" x14ac:dyDescent="0.25">
      <c r="A64" t="s">
        <v>12</v>
      </c>
      <c r="B64" t="s">
        <v>1187</v>
      </c>
      <c r="C64" t="s">
        <v>11</v>
      </c>
      <c r="D64" s="37" t="s">
        <v>1211</v>
      </c>
      <c r="E64" s="3">
        <v>-1977.32</v>
      </c>
    </row>
    <row r="65" spans="1:5" x14ac:dyDescent="0.25">
      <c r="A65" t="s">
        <v>12</v>
      </c>
      <c r="B65" t="s">
        <v>1187</v>
      </c>
      <c r="C65" t="s">
        <v>43</v>
      </c>
      <c r="D65" s="37" t="s">
        <v>1211</v>
      </c>
      <c r="E65" s="3">
        <v>-14225.76</v>
      </c>
    </row>
    <row r="66" spans="1:5" x14ac:dyDescent="0.25">
      <c r="A66" t="s">
        <v>12</v>
      </c>
      <c r="B66" t="s">
        <v>1187</v>
      </c>
      <c r="C66" t="s">
        <v>35</v>
      </c>
      <c r="D66" s="37" t="s">
        <v>1211</v>
      </c>
      <c r="E66" s="3">
        <v>-256835.42</v>
      </c>
    </row>
    <row r="67" spans="1:5" x14ac:dyDescent="0.25">
      <c r="A67" t="s">
        <v>12</v>
      </c>
      <c r="B67" t="s">
        <v>1187</v>
      </c>
      <c r="C67" t="s">
        <v>43</v>
      </c>
      <c r="D67" s="37" t="s">
        <v>1211</v>
      </c>
      <c r="E67" s="3">
        <v>-13387.21</v>
      </c>
    </row>
    <row r="68" spans="1:5" x14ac:dyDescent="0.25">
      <c r="A68" t="s">
        <v>12</v>
      </c>
      <c r="B68" t="s">
        <v>1187</v>
      </c>
      <c r="C68" t="s">
        <v>48</v>
      </c>
      <c r="D68" s="37" t="s">
        <v>1211</v>
      </c>
      <c r="E68" s="3">
        <v>-77175</v>
      </c>
    </row>
    <row r="69" spans="1:5" x14ac:dyDescent="0.25">
      <c r="A69" t="s">
        <v>12</v>
      </c>
      <c r="B69" t="s">
        <v>1187</v>
      </c>
      <c r="C69" t="s">
        <v>43</v>
      </c>
      <c r="D69" s="37" t="s">
        <v>1211</v>
      </c>
      <c r="E69" s="3">
        <v>-82436.240000000005</v>
      </c>
    </row>
    <row r="70" spans="1:5" x14ac:dyDescent="0.25">
      <c r="A70" t="s">
        <v>12</v>
      </c>
      <c r="B70" t="s">
        <v>1187</v>
      </c>
      <c r="C70" t="s">
        <v>43</v>
      </c>
      <c r="D70" s="37" t="s">
        <v>1211</v>
      </c>
      <c r="E70" s="3">
        <v>-11000</v>
      </c>
    </row>
    <row r="71" spans="1:5" x14ac:dyDescent="0.25">
      <c r="A71" t="s">
        <v>12</v>
      </c>
      <c r="B71" t="s">
        <v>1187</v>
      </c>
      <c r="C71" t="s">
        <v>43</v>
      </c>
      <c r="D71" s="37" t="s">
        <v>1211</v>
      </c>
      <c r="E71" s="3">
        <v>-76914.41</v>
      </c>
    </row>
    <row r="72" spans="1:5" x14ac:dyDescent="0.25">
      <c r="A72" t="s">
        <v>12</v>
      </c>
      <c r="B72" t="s">
        <v>1187</v>
      </c>
      <c r="C72" t="s">
        <v>43</v>
      </c>
      <c r="D72" s="37" t="s">
        <v>1211</v>
      </c>
      <c r="E72" s="3">
        <v>-1500</v>
      </c>
    </row>
    <row r="73" spans="1:5" x14ac:dyDescent="0.25">
      <c r="A73" t="s">
        <v>12</v>
      </c>
      <c r="B73" t="s">
        <v>1187</v>
      </c>
      <c r="C73" t="s">
        <v>43</v>
      </c>
      <c r="D73" s="37" t="s">
        <v>1211</v>
      </c>
      <c r="E73" s="3">
        <v>-22671.33</v>
      </c>
    </row>
    <row r="74" spans="1:5" x14ac:dyDescent="0.25">
      <c r="A74" t="s">
        <v>12</v>
      </c>
      <c r="B74" t="s">
        <v>1187</v>
      </c>
      <c r="C74" t="s">
        <v>35</v>
      </c>
      <c r="D74" s="37" t="s">
        <v>1211</v>
      </c>
      <c r="E74" s="3">
        <v>-21503</v>
      </c>
    </row>
    <row r="75" spans="1:5" x14ac:dyDescent="0.25">
      <c r="A75" t="s">
        <v>12</v>
      </c>
      <c r="B75" t="s">
        <v>1187</v>
      </c>
      <c r="C75" t="s">
        <v>43</v>
      </c>
      <c r="D75" s="37" t="s">
        <v>1211</v>
      </c>
      <c r="E75" s="3">
        <v>-53840</v>
      </c>
    </row>
    <row r="76" spans="1:5" x14ac:dyDescent="0.25">
      <c r="A76" t="s">
        <v>12</v>
      </c>
      <c r="B76" t="s">
        <v>1187</v>
      </c>
      <c r="C76" t="s">
        <v>11</v>
      </c>
      <c r="D76" s="37" t="s">
        <v>1211</v>
      </c>
      <c r="E76" s="3">
        <v>-134726.20000000001</v>
      </c>
    </row>
    <row r="77" spans="1:5" x14ac:dyDescent="0.25">
      <c r="A77" t="s">
        <v>12</v>
      </c>
      <c r="B77" t="s">
        <v>1187</v>
      </c>
      <c r="C77" t="s">
        <v>35</v>
      </c>
      <c r="D77" s="37" t="s">
        <v>1211</v>
      </c>
      <c r="E77" s="3">
        <v>-27238.98</v>
      </c>
    </row>
    <row r="78" spans="1:5" x14ac:dyDescent="0.25">
      <c r="A78" t="s">
        <v>12</v>
      </c>
      <c r="B78" t="s">
        <v>1187</v>
      </c>
      <c r="C78" t="s">
        <v>11</v>
      </c>
      <c r="D78" s="37" t="s">
        <v>1211</v>
      </c>
      <c r="E78" s="3">
        <v>-118700</v>
      </c>
    </row>
    <row r="79" spans="1:5" x14ac:dyDescent="0.25">
      <c r="A79" t="s">
        <v>12</v>
      </c>
      <c r="B79" t="s">
        <v>1187</v>
      </c>
      <c r="C79" t="s">
        <v>11</v>
      </c>
      <c r="D79" s="37" t="s">
        <v>1211</v>
      </c>
      <c r="E79" s="3">
        <v>-4839867.2</v>
      </c>
    </row>
    <row r="80" spans="1:5" x14ac:dyDescent="0.25">
      <c r="A80" t="s">
        <v>12</v>
      </c>
      <c r="B80" t="s">
        <v>1187</v>
      </c>
      <c r="C80" t="s">
        <v>11</v>
      </c>
      <c r="D80" s="37" t="s">
        <v>1211</v>
      </c>
      <c r="E80" s="3">
        <v>-4732575.6399999997</v>
      </c>
    </row>
    <row r="81" spans="1:5" x14ac:dyDescent="0.25">
      <c r="A81" t="s">
        <v>12</v>
      </c>
      <c r="B81" t="s">
        <v>1187</v>
      </c>
      <c r="C81" t="s">
        <v>35</v>
      </c>
      <c r="D81" s="37" t="s">
        <v>1211</v>
      </c>
      <c r="E81" s="3">
        <v>-177223.97</v>
      </c>
    </row>
    <row r="82" spans="1:5" x14ac:dyDescent="0.25">
      <c r="A82" t="s">
        <v>12</v>
      </c>
      <c r="B82" t="s">
        <v>1187</v>
      </c>
      <c r="C82" t="s">
        <v>43</v>
      </c>
      <c r="D82" s="37" t="s">
        <v>1211</v>
      </c>
      <c r="E82" s="3">
        <v>-6666.67</v>
      </c>
    </row>
    <row r="83" spans="1:5" x14ac:dyDescent="0.25">
      <c r="A83" t="s">
        <v>12</v>
      </c>
      <c r="B83" t="s">
        <v>1187</v>
      </c>
      <c r="C83" t="s">
        <v>43</v>
      </c>
      <c r="D83" s="37" t="s">
        <v>1211</v>
      </c>
      <c r="E83" s="3">
        <v>-8000</v>
      </c>
    </row>
    <row r="84" spans="1:5" x14ac:dyDescent="0.25">
      <c r="A84" t="s">
        <v>12</v>
      </c>
      <c r="B84" t="s">
        <v>1187</v>
      </c>
      <c r="C84" t="s">
        <v>43</v>
      </c>
      <c r="D84" s="37" t="s">
        <v>1211</v>
      </c>
      <c r="E84" s="3">
        <v>-22914.41</v>
      </c>
    </row>
    <row r="85" spans="1:5" x14ac:dyDescent="0.25">
      <c r="A85" t="s">
        <v>12</v>
      </c>
      <c r="B85" t="s">
        <v>1187</v>
      </c>
      <c r="C85" t="s">
        <v>35</v>
      </c>
      <c r="D85" s="37" t="s">
        <v>1211</v>
      </c>
      <c r="E85" s="3">
        <v>-58289.77</v>
      </c>
    </row>
    <row r="86" spans="1:5" x14ac:dyDescent="0.25">
      <c r="A86" t="s">
        <v>12</v>
      </c>
      <c r="B86" t="s">
        <v>1187</v>
      </c>
      <c r="C86" t="s">
        <v>43</v>
      </c>
      <c r="D86" s="37" t="s">
        <v>1211</v>
      </c>
      <c r="E86" s="3">
        <v>-3799.2</v>
      </c>
    </row>
    <row r="87" spans="1:5" x14ac:dyDescent="0.25">
      <c r="A87" t="s">
        <v>12</v>
      </c>
      <c r="B87" t="s">
        <v>1187</v>
      </c>
      <c r="C87" t="s">
        <v>35</v>
      </c>
      <c r="D87" s="37" t="s">
        <v>1211</v>
      </c>
      <c r="E87" s="3">
        <v>-48756.6</v>
      </c>
    </row>
    <row r="88" spans="1:5" x14ac:dyDescent="0.25">
      <c r="A88" t="s">
        <v>12</v>
      </c>
      <c r="B88" t="s">
        <v>1187</v>
      </c>
      <c r="C88" t="s">
        <v>35</v>
      </c>
      <c r="D88" s="37" t="s">
        <v>1211</v>
      </c>
      <c r="E88" s="3">
        <v>-6278.36</v>
      </c>
    </row>
    <row r="89" spans="1:5" x14ac:dyDescent="0.25">
      <c r="A89" t="s">
        <v>12</v>
      </c>
      <c r="B89" t="s">
        <v>1187</v>
      </c>
      <c r="C89" t="s">
        <v>11</v>
      </c>
      <c r="D89" s="37" t="s">
        <v>1211</v>
      </c>
      <c r="E89" s="3">
        <v>-79134</v>
      </c>
    </row>
    <row r="90" spans="1:5" x14ac:dyDescent="0.25">
      <c r="A90" t="s">
        <v>12</v>
      </c>
      <c r="B90" t="s">
        <v>1187</v>
      </c>
      <c r="C90" t="s">
        <v>11</v>
      </c>
      <c r="D90" s="37" t="s">
        <v>1211</v>
      </c>
      <c r="E90" s="3">
        <v>-86998.25</v>
      </c>
    </row>
    <row r="91" spans="1:5" x14ac:dyDescent="0.25">
      <c r="A91" t="s">
        <v>12</v>
      </c>
      <c r="B91" t="s">
        <v>1187</v>
      </c>
      <c r="C91" t="s">
        <v>11</v>
      </c>
      <c r="D91" s="37" t="s">
        <v>1211</v>
      </c>
      <c r="E91" s="3">
        <v>-4703675.74</v>
      </c>
    </row>
    <row r="92" spans="1:5" x14ac:dyDescent="0.25">
      <c r="A92" t="s">
        <v>396</v>
      </c>
      <c r="B92" t="s">
        <v>1208</v>
      </c>
      <c r="C92" t="s">
        <v>11</v>
      </c>
      <c r="D92" s="37" t="s">
        <v>1209</v>
      </c>
      <c r="E92" s="3">
        <v>1600000</v>
      </c>
    </row>
    <row r="93" spans="1:5" x14ac:dyDescent="0.25">
      <c r="A93" t="s">
        <v>396</v>
      </c>
      <c r="B93" t="s">
        <v>1208</v>
      </c>
      <c r="C93" t="s">
        <v>35</v>
      </c>
      <c r="D93" s="37" t="s">
        <v>1209</v>
      </c>
      <c r="E93" s="3">
        <v>467000</v>
      </c>
    </row>
    <row r="94" spans="1:5" x14ac:dyDescent="0.25">
      <c r="A94" t="s">
        <v>396</v>
      </c>
      <c r="B94" t="s">
        <v>1208</v>
      </c>
      <c r="C94" t="s">
        <v>395</v>
      </c>
      <c r="D94" s="37" t="s">
        <v>1209</v>
      </c>
      <c r="E94" s="3">
        <v>61250</v>
      </c>
    </row>
    <row r="95" spans="1:5" x14ac:dyDescent="0.25">
      <c r="A95" t="s">
        <v>396</v>
      </c>
      <c r="B95" t="s">
        <v>1208</v>
      </c>
      <c r="C95" t="s">
        <v>395</v>
      </c>
      <c r="D95" s="37" t="s">
        <v>1209</v>
      </c>
      <c r="E95" s="3">
        <v>61250</v>
      </c>
    </row>
    <row r="96" spans="1:5" x14ac:dyDescent="0.25">
      <c r="A96" t="s">
        <v>396</v>
      </c>
      <c r="B96" t="s">
        <v>1208</v>
      </c>
      <c r="C96" t="s">
        <v>11</v>
      </c>
      <c r="D96" s="37" t="s">
        <v>1209</v>
      </c>
      <c r="E96" s="3">
        <v>250000</v>
      </c>
    </row>
    <row r="97" spans="1:5" x14ac:dyDescent="0.25">
      <c r="A97" t="s">
        <v>396</v>
      </c>
      <c r="B97" t="s">
        <v>1208</v>
      </c>
      <c r="C97" t="s">
        <v>423</v>
      </c>
      <c r="D97" s="37" t="s">
        <v>1209</v>
      </c>
      <c r="E97" s="3">
        <v>1639627.33</v>
      </c>
    </row>
    <row r="98" spans="1:5" x14ac:dyDescent="0.25">
      <c r="A98" t="s">
        <v>396</v>
      </c>
      <c r="B98" t="s">
        <v>1208</v>
      </c>
      <c r="C98" t="s">
        <v>395</v>
      </c>
      <c r="D98" s="37" t="s">
        <v>1209</v>
      </c>
      <c r="E98" s="3">
        <v>77644.83</v>
      </c>
    </row>
    <row r="99" spans="1:5" x14ac:dyDescent="0.25">
      <c r="A99" t="s">
        <v>396</v>
      </c>
      <c r="B99" t="s">
        <v>1208</v>
      </c>
      <c r="C99" t="s">
        <v>432</v>
      </c>
      <c r="D99" s="37" t="s">
        <v>1209</v>
      </c>
      <c r="E99" s="3">
        <v>16848</v>
      </c>
    </row>
    <row r="100" spans="1:5" x14ac:dyDescent="0.25">
      <c r="A100" t="s">
        <v>396</v>
      </c>
      <c r="B100" t="s">
        <v>1208</v>
      </c>
      <c r="C100" t="s">
        <v>11</v>
      </c>
      <c r="D100" s="37" t="s">
        <v>1209</v>
      </c>
      <c r="E100" s="3">
        <v>910000</v>
      </c>
    </row>
    <row r="101" spans="1:5" x14ac:dyDescent="0.25">
      <c r="A101" t="s">
        <v>396</v>
      </c>
      <c r="B101" t="s">
        <v>1208</v>
      </c>
      <c r="C101" t="s">
        <v>43</v>
      </c>
      <c r="D101" s="37" t="s">
        <v>1209</v>
      </c>
      <c r="E101" s="3">
        <v>450000</v>
      </c>
    </row>
    <row r="102" spans="1:5" x14ac:dyDescent="0.25">
      <c r="A102" t="s">
        <v>396</v>
      </c>
      <c r="B102" t="s">
        <v>1208</v>
      </c>
      <c r="C102" t="s">
        <v>432</v>
      </c>
      <c r="D102" s="37" t="s">
        <v>1209</v>
      </c>
      <c r="E102" s="3">
        <v>56171.23</v>
      </c>
    </row>
    <row r="103" spans="1:5" x14ac:dyDescent="0.25">
      <c r="A103" t="s">
        <v>396</v>
      </c>
      <c r="B103" t="s">
        <v>1208</v>
      </c>
      <c r="C103" t="s">
        <v>11</v>
      </c>
      <c r="D103" s="37" t="s">
        <v>1209</v>
      </c>
      <c r="E103" s="3">
        <v>10750</v>
      </c>
    </row>
    <row r="104" spans="1:5" x14ac:dyDescent="0.25">
      <c r="A104" t="s">
        <v>396</v>
      </c>
      <c r="B104" t="s">
        <v>1208</v>
      </c>
      <c r="C104" t="s">
        <v>395</v>
      </c>
      <c r="D104" s="37" t="s">
        <v>1209</v>
      </c>
      <c r="E104" s="3">
        <v>61250</v>
      </c>
    </row>
    <row r="105" spans="1:5" x14ac:dyDescent="0.25">
      <c r="A105" t="s">
        <v>396</v>
      </c>
      <c r="B105" t="s">
        <v>1208</v>
      </c>
      <c r="C105" t="s">
        <v>395</v>
      </c>
      <c r="D105" s="37" t="s">
        <v>1209</v>
      </c>
      <c r="E105" s="3">
        <v>61250</v>
      </c>
    </row>
    <row r="106" spans="1:5" x14ac:dyDescent="0.25">
      <c r="A106" t="s">
        <v>396</v>
      </c>
      <c r="B106" t="s">
        <v>1208</v>
      </c>
      <c r="C106" t="s">
        <v>395</v>
      </c>
      <c r="D106" s="37" t="s">
        <v>1209</v>
      </c>
      <c r="E106" s="3">
        <v>68000.289999999994</v>
      </c>
    </row>
    <row r="107" spans="1:5" x14ac:dyDescent="0.25">
      <c r="A107" t="s">
        <v>396</v>
      </c>
      <c r="B107" t="s">
        <v>1208</v>
      </c>
      <c r="C107" t="s">
        <v>395</v>
      </c>
      <c r="D107" s="37" t="s">
        <v>1209</v>
      </c>
      <c r="E107" s="3">
        <v>76600</v>
      </c>
    </row>
    <row r="108" spans="1:5" x14ac:dyDescent="0.25">
      <c r="A108" t="s">
        <v>396</v>
      </c>
      <c r="B108" t="s">
        <v>1208</v>
      </c>
      <c r="C108" t="s">
        <v>395</v>
      </c>
      <c r="D108" s="37" t="s">
        <v>1209</v>
      </c>
      <c r="E108" s="3">
        <v>110000</v>
      </c>
    </row>
    <row r="109" spans="1:5" x14ac:dyDescent="0.25">
      <c r="A109" t="s">
        <v>396</v>
      </c>
      <c r="B109" t="s">
        <v>1208</v>
      </c>
      <c r="C109" t="s">
        <v>432</v>
      </c>
      <c r="D109" s="37" t="s">
        <v>1211</v>
      </c>
      <c r="E109" s="3">
        <v>-16848</v>
      </c>
    </row>
    <row r="110" spans="1:5" x14ac:dyDescent="0.25">
      <c r="A110" t="s">
        <v>396</v>
      </c>
      <c r="B110" t="s">
        <v>1208</v>
      </c>
      <c r="C110" t="s">
        <v>395</v>
      </c>
      <c r="D110" s="37" t="s">
        <v>1211</v>
      </c>
      <c r="E110" s="3">
        <v>-77644.83</v>
      </c>
    </row>
    <row r="111" spans="1:5" x14ac:dyDescent="0.25">
      <c r="A111" t="s">
        <v>396</v>
      </c>
      <c r="B111" t="s">
        <v>1208</v>
      </c>
      <c r="C111" t="s">
        <v>11</v>
      </c>
      <c r="D111" s="37" t="s">
        <v>1211</v>
      </c>
      <c r="E111" s="3">
        <v>-280000</v>
      </c>
    </row>
    <row r="112" spans="1:5" x14ac:dyDescent="0.25">
      <c r="A112" t="s">
        <v>396</v>
      </c>
      <c r="B112" t="s">
        <v>1208</v>
      </c>
      <c r="C112" t="s">
        <v>11</v>
      </c>
      <c r="D112" s="37" t="s">
        <v>1211</v>
      </c>
      <c r="E112" s="3">
        <v>-108000</v>
      </c>
    </row>
    <row r="113" spans="1:5" x14ac:dyDescent="0.25">
      <c r="A113" t="s">
        <v>396</v>
      </c>
      <c r="B113" t="s">
        <v>1208</v>
      </c>
      <c r="C113" t="s">
        <v>11</v>
      </c>
      <c r="D113" s="37" t="s">
        <v>1211</v>
      </c>
      <c r="E113" s="3">
        <v>-80000</v>
      </c>
    </row>
    <row r="114" spans="1:5" x14ac:dyDescent="0.25">
      <c r="A114" t="s">
        <v>396</v>
      </c>
      <c r="B114" t="s">
        <v>1208</v>
      </c>
      <c r="C114" t="s">
        <v>35</v>
      </c>
      <c r="D114" s="37" t="s">
        <v>1211</v>
      </c>
      <c r="E114" s="3">
        <v>-128245.7</v>
      </c>
    </row>
    <row r="115" spans="1:5" x14ac:dyDescent="0.25">
      <c r="A115" t="s">
        <v>396</v>
      </c>
      <c r="B115" t="s">
        <v>1208</v>
      </c>
      <c r="C115" t="s">
        <v>11</v>
      </c>
      <c r="D115" s="37" t="s">
        <v>1211</v>
      </c>
      <c r="E115" s="3">
        <v>-19577.599999999999</v>
      </c>
    </row>
    <row r="116" spans="1:5" x14ac:dyDescent="0.25">
      <c r="A116" t="s">
        <v>396</v>
      </c>
      <c r="B116" t="s">
        <v>1208</v>
      </c>
      <c r="C116" t="s">
        <v>11</v>
      </c>
      <c r="D116" s="37" t="s">
        <v>1211</v>
      </c>
      <c r="E116" s="3">
        <v>-19577.599999999999</v>
      </c>
    </row>
    <row r="117" spans="1:5" x14ac:dyDescent="0.25">
      <c r="A117" t="s">
        <v>396</v>
      </c>
      <c r="B117" t="s">
        <v>1208</v>
      </c>
      <c r="C117" t="s">
        <v>432</v>
      </c>
      <c r="D117" s="37" t="s">
        <v>1211</v>
      </c>
      <c r="E117" s="3">
        <v>-56171.23</v>
      </c>
    </row>
    <row r="118" spans="1:5" x14ac:dyDescent="0.25">
      <c r="A118" t="s">
        <v>396</v>
      </c>
      <c r="B118" t="s">
        <v>1208</v>
      </c>
      <c r="C118" t="s">
        <v>11</v>
      </c>
      <c r="D118" s="37" t="s">
        <v>1211</v>
      </c>
      <c r="E118" s="3">
        <v>-212000</v>
      </c>
    </row>
    <row r="119" spans="1:5" x14ac:dyDescent="0.25">
      <c r="A119" t="s">
        <v>396</v>
      </c>
      <c r="B119" t="s">
        <v>1208</v>
      </c>
      <c r="C119" t="s">
        <v>35</v>
      </c>
      <c r="D119" s="37" t="s">
        <v>1211</v>
      </c>
      <c r="E119" s="3">
        <v>-71466.14</v>
      </c>
    </row>
    <row r="120" spans="1:5" x14ac:dyDescent="0.25">
      <c r="A120" t="s">
        <v>396</v>
      </c>
      <c r="B120" t="s">
        <v>1208</v>
      </c>
      <c r="C120" t="s">
        <v>11</v>
      </c>
      <c r="D120" s="37" t="s">
        <v>1211</v>
      </c>
      <c r="E120" s="3">
        <v>-1978.36</v>
      </c>
    </row>
    <row r="121" spans="1:5" x14ac:dyDescent="0.25">
      <c r="A121" t="s">
        <v>396</v>
      </c>
      <c r="B121" t="s">
        <v>1208</v>
      </c>
      <c r="C121" t="s">
        <v>11</v>
      </c>
      <c r="D121" s="37" t="s">
        <v>1211</v>
      </c>
      <c r="E121" s="3">
        <v>-158000</v>
      </c>
    </row>
    <row r="122" spans="1:5" x14ac:dyDescent="0.25">
      <c r="A122" t="s">
        <v>396</v>
      </c>
      <c r="B122" t="s">
        <v>1208</v>
      </c>
      <c r="C122" t="s">
        <v>35</v>
      </c>
      <c r="D122" s="37" t="s">
        <v>1211</v>
      </c>
      <c r="E122" s="3">
        <v>-32001.439999999999</v>
      </c>
    </row>
    <row r="123" spans="1:5" x14ac:dyDescent="0.25">
      <c r="A123" t="s">
        <v>396</v>
      </c>
      <c r="B123" t="s">
        <v>1208</v>
      </c>
      <c r="C123" t="s">
        <v>11</v>
      </c>
      <c r="D123" s="37" t="s">
        <v>1211</v>
      </c>
      <c r="E123" s="3">
        <v>-47950.66</v>
      </c>
    </row>
    <row r="124" spans="1:5" x14ac:dyDescent="0.25">
      <c r="A124" t="s">
        <v>396</v>
      </c>
      <c r="B124" t="s">
        <v>1208</v>
      </c>
      <c r="C124" t="s">
        <v>423</v>
      </c>
      <c r="D124" s="37" t="s">
        <v>1211</v>
      </c>
      <c r="E124" s="3">
        <v>-145785.35999999999</v>
      </c>
    </row>
    <row r="125" spans="1:5" x14ac:dyDescent="0.25">
      <c r="A125" t="s">
        <v>396</v>
      </c>
      <c r="B125" t="s">
        <v>1208</v>
      </c>
      <c r="C125" t="s">
        <v>43</v>
      </c>
      <c r="D125" s="37" t="s">
        <v>1211</v>
      </c>
      <c r="E125" s="3">
        <v>-29611.61</v>
      </c>
    </row>
    <row r="126" spans="1:5" x14ac:dyDescent="0.25">
      <c r="A126" t="s">
        <v>396</v>
      </c>
      <c r="B126" t="s">
        <v>1208</v>
      </c>
      <c r="C126" t="s">
        <v>11</v>
      </c>
      <c r="D126" s="37" t="s">
        <v>1211</v>
      </c>
      <c r="E126" s="3">
        <v>-10665</v>
      </c>
    </row>
    <row r="127" spans="1:5" x14ac:dyDescent="0.25">
      <c r="A127" t="s">
        <v>396</v>
      </c>
      <c r="B127" t="s">
        <v>1208</v>
      </c>
      <c r="C127" t="s">
        <v>11</v>
      </c>
      <c r="D127" s="37" t="s">
        <v>1211</v>
      </c>
      <c r="E127" s="3">
        <v>-246000</v>
      </c>
    </row>
    <row r="128" spans="1:5" x14ac:dyDescent="0.25">
      <c r="A128" t="s">
        <v>396</v>
      </c>
      <c r="B128" t="s">
        <v>1208</v>
      </c>
      <c r="C128" t="s">
        <v>35</v>
      </c>
      <c r="D128" s="37" t="s">
        <v>1211</v>
      </c>
      <c r="E128" s="3">
        <v>-5236.1000000000004</v>
      </c>
    </row>
    <row r="129" spans="1:5" x14ac:dyDescent="0.25">
      <c r="A129" t="s">
        <v>396</v>
      </c>
      <c r="B129" t="s">
        <v>1208</v>
      </c>
      <c r="C129" t="s">
        <v>11</v>
      </c>
      <c r="D129" s="37" t="s">
        <v>1211</v>
      </c>
      <c r="E129" s="3">
        <v>-54655.040000000001</v>
      </c>
    </row>
    <row r="130" spans="1:5" x14ac:dyDescent="0.25">
      <c r="A130" t="s">
        <v>396</v>
      </c>
      <c r="B130" t="s">
        <v>1208</v>
      </c>
      <c r="C130" t="s">
        <v>423</v>
      </c>
      <c r="D130" s="37" t="s">
        <v>1211</v>
      </c>
      <c r="E130" s="3">
        <v>-122685.36</v>
      </c>
    </row>
    <row r="131" spans="1:5" x14ac:dyDescent="0.25">
      <c r="A131" t="s">
        <v>568</v>
      </c>
      <c r="B131" t="s">
        <v>1188</v>
      </c>
      <c r="C131" t="s">
        <v>432</v>
      </c>
      <c r="D131" s="37" t="s">
        <v>1209</v>
      </c>
      <c r="E131" s="3">
        <v>108000</v>
      </c>
    </row>
    <row r="132" spans="1:5" x14ac:dyDescent="0.25">
      <c r="A132" t="s">
        <v>568</v>
      </c>
      <c r="B132" t="s">
        <v>1188</v>
      </c>
      <c r="C132" t="s">
        <v>11</v>
      </c>
      <c r="D132" s="37" t="s">
        <v>1209</v>
      </c>
      <c r="E132" s="3">
        <v>100000</v>
      </c>
    </row>
    <row r="133" spans="1:5" x14ac:dyDescent="0.25">
      <c r="A133" t="s">
        <v>568</v>
      </c>
      <c r="B133" t="s">
        <v>1188</v>
      </c>
      <c r="C133" s="20" t="s">
        <v>94</v>
      </c>
      <c r="D133" s="37" t="s">
        <v>1209</v>
      </c>
      <c r="E133" s="3">
        <v>245200</v>
      </c>
    </row>
    <row r="134" spans="1:5" x14ac:dyDescent="0.25">
      <c r="A134" t="s">
        <v>568</v>
      </c>
      <c r="B134" t="s">
        <v>1188</v>
      </c>
      <c r="C134" s="20" t="s">
        <v>94</v>
      </c>
      <c r="D134" s="37" t="s">
        <v>1209</v>
      </c>
      <c r="E134" s="3">
        <v>151300</v>
      </c>
    </row>
    <row r="135" spans="1:5" x14ac:dyDescent="0.25">
      <c r="A135" t="s">
        <v>568</v>
      </c>
      <c r="B135" t="s">
        <v>1188</v>
      </c>
      <c r="C135" t="s">
        <v>395</v>
      </c>
      <c r="D135" s="37" t="s">
        <v>1209</v>
      </c>
      <c r="E135" s="3">
        <v>100000</v>
      </c>
    </row>
    <row r="136" spans="1:5" x14ac:dyDescent="0.25">
      <c r="A136" t="s">
        <v>568</v>
      </c>
      <c r="B136" t="s">
        <v>1188</v>
      </c>
      <c r="C136" t="s">
        <v>35</v>
      </c>
      <c r="D136" s="37" t="s">
        <v>1209</v>
      </c>
      <c r="E136" s="3">
        <v>132500</v>
      </c>
    </row>
    <row r="137" spans="1:5" x14ac:dyDescent="0.25">
      <c r="A137" t="s">
        <v>568</v>
      </c>
      <c r="B137" t="s">
        <v>1188</v>
      </c>
      <c r="C137" t="s">
        <v>94</v>
      </c>
      <c r="D137" s="37" t="s">
        <v>1209</v>
      </c>
      <c r="E137" s="3">
        <v>186250</v>
      </c>
    </row>
    <row r="138" spans="1:5" x14ac:dyDescent="0.25">
      <c r="A138" t="s">
        <v>568</v>
      </c>
      <c r="B138" t="s">
        <v>1188</v>
      </c>
      <c r="C138" t="s">
        <v>11</v>
      </c>
      <c r="D138" s="37" t="s">
        <v>1209</v>
      </c>
      <c r="E138" s="3">
        <v>30000</v>
      </c>
    </row>
    <row r="139" spans="1:5" x14ac:dyDescent="0.25">
      <c r="A139" t="s">
        <v>568</v>
      </c>
      <c r="B139" t="s">
        <v>1188</v>
      </c>
      <c r="C139" t="s">
        <v>94</v>
      </c>
      <c r="D139" s="37" t="s">
        <v>1209</v>
      </c>
      <c r="E139" s="3">
        <v>37908</v>
      </c>
    </row>
    <row r="140" spans="1:5" x14ac:dyDescent="0.25">
      <c r="A140" t="s">
        <v>568</v>
      </c>
      <c r="B140" t="s">
        <v>1188</v>
      </c>
      <c r="C140" t="s">
        <v>94</v>
      </c>
      <c r="D140" s="37" t="s">
        <v>1209</v>
      </c>
      <c r="E140" s="3">
        <v>35532</v>
      </c>
    </row>
    <row r="141" spans="1:5" x14ac:dyDescent="0.25">
      <c r="A141" t="s">
        <v>568</v>
      </c>
      <c r="B141" t="s">
        <v>1188</v>
      </c>
      <c r="C141" t="s">
        <v>94</v>
      </c>
      <c r="D141" s="37" t="s">
        <v>1209</v>
      </c>
      <c r="E141" s="3">
        <v>13996.8</v>
      </c>
    </row>
    <row r="142" spans="1:5" x14ac:dyDescent="0.25">
      <c r="A142" t="s">
        <v>568</v>
      </c>
      <c r="B142" t="s">
        <v>1188</v>
      </c>
      <c r="C142" t="s">
        <v>395</v>
      </c>
      <c r="D142" s="37" t="s">
        <v>1209</v>
      </c>
      <c r="E142" s="3">
        <v>215500</v>
      </c>
    </row>
    <row r="143" spans="1:5" x14ac:dyDescent="0.25">
      <c r="A143" t="s">
        <v>568</v>
      </c>
      <c r="B143" t="s">
        <v>1188</v>
      </c>
      <c r="C143" t="s">
        <v>94</v>
      </c>
      <c r="D143" s="37" t="s">
        <v>1209</v>
      </c>
      <c r="E143" s="3">
        <v>212450</v>
      </c>
    </row>
    <row r="144" spans="1:5" x14ac:dyDescent="0.25">
      <c r="A144" t="s">
        <v>568</v>
      </c>
      <c r="B144" t="s">
        <v>1188</v>
      </c>
      <c r="C144" t="s">
        <v>94</v>
      </c>
      <c r="D144" s="37" t="s">
        <v>1209</v>
      </c>
      <c r="E144" s="3">
        <v>12204</v>
      </c>
    </row>
    <row r="145" spans="1:5" x14ac:dyDescent="0.25">
      <c r="A145" t="s">
        <v>568</v>
      </c>
      <c r="B145" t="s">
        <v>1188</v>
      </c>
      <c r="C145" t="s">
        <v>94</v>
      </c>
      <c r="D145" s="37" t="s">
        <v>1209</v>
      </c>
      <c r="E145" s="3">
        <v>2538</v>
      </c>
    </row>
    <row r="146" spans="1:5" x14ac:dyDescent="0.25">
      <c r="A146" t="s">
        <v>568</v>
      </c>
      <c r="B146" t="s">
        <v>1188</v>
      </c>
      <c r="C146" s="20" t="s">
        <v>94</v>
      </c>
      <c r="D146" s="37" t="s">
        <v>1211</v>
      </c>
      <c r="E146" s="3">
        <v>-245200</v>
      </c>
    </row>
    <row r="147" spans="1:5" x14ac:dyDescent="0.25">
      <c r="A147" t="s">
        <v>568</v>
      </c>
      <c r="B147" t="s">
        <v>1188</v>
      </c>
      <c r="C147" t="s">
        <v>94</v>
      </c>
      <c r="D147" s="37" t="s">
        <v>1211</v>
      </c>
      <c r="E147" s="3">
        <v>-151300</v>
      </c>
    </row>
    <row r="148" spans="1:5" x14ac:dyDescent="0.25">
      <c r="A148" t="s">
        <v>568</v>
      </c>
      <c r="B148" t="s">
        <v>1188</v>
      </c>
      <c r="C148" t="s">
        <v>94</v>
      </c>
      <c r="D148" s="37" t="s">
        <v>1211</v>
      </c>
      <c r="E148" s="3">
        <v>-186250</v>
      </c>
    </row>
    <row r="149" spans="1:5" x14ac:dyDescent="0.25">
      <c r="A149" t="s">
        <v>568</v>
      </c>
      <c r="B149" t="s">
        <v>1188</v>
      </c>
      <c r="C149" t="s">
        <v>94</v>
      </c>
      <c r="D149" s="37" t="s">
        <v>1211</v>
      </c>
      <c r="E149" s="3">
        <v>-37908</v>
      </c>
    </row>
    <row r="150" spans="1:5" x14ac:dyDescent="0.25">
      <c r="A150" t="s">
        <v>568</v>
      </c>
      <c r="B150" t="s">
        <v>1188</v>
      </c>
      <c r="C150" t="s">
        <v>94</v>
      </c>
      <c r="D150" s="37" t="s">
        <v>1211</v>
      </c>
      <c r="E150" s="3">
        <v>-35532</v>
      </c>
    </row>
    <row r="151" spans="1:5" x14ac:dyDescent="0.25">
      <c r="A151" t="s">
        <v>568</v>
      </c>
      <c r="B151" t="s">
        <v>1188</v>
      </c>
      <c r="C151" t="s">
        <v>94</v>
      </c>
      <c r="D151" s="37" t="s">
        <v>1211</v>
      </c>
      <c r="E151" s="3">
        <v>-13996.8</v>
      </c>
    </row>
    <row r="152" spans="1:5" x14ac:dyDescent="0.25">
      <c r="A152" t="s">
        <v>568</v>
      </c>
      <c r="B152" t="s">
        <v>1188</v>
      </c>
      <c r="C152" t="s">
        <v>11</v>
      </c>
      <c r="D152" s="37" t="s">
        <v>1211</v>
      </c>
      <c r="E152" s="3">
        <v>-25336.799999999999</v>
      </c>
    </row>
    <row r="153" spans="1:5" x14ac:dyDescent="0.25">
      <c r="A153" t="s">
        <v>568</v>
      </c>
      <c r="B153" t="s">
        <v>1188</v>
      </c>
      <c r="C153" t="s">
        <v>11</v>
      </c>
      <c r="D153" s="37" t="s">
        <v>1211</v>
      </c>
      <c r="E153" s="3">
        <v>-25158.6</v>
      </c>
    </row>
    <row r="154" spans="1:5" x14ac:dyDescent="0.25">
      <c r="A154" t="s">
        <v>568</v>
      </c>
      <c r="B154" t="s">
        <v>1188</v>
      </c>
      <c r="C154" t="s">
        <v>395</v>
      </c>
      <c r="D154" s="37" t="s">
        <v>1211</v>
      </c>
      <c r="E154" s="3">
        <v>-8432.11</v>
      </c>
    </row>
    <row r="155" spans="1:5" x14ac:dyDescent="0.25">
      <c r="A155" t="s">
        <v>568</v>
      </c>
      <c r="B155" t="s">
        <v>1188</v>
      </c>
      <c r="C155" t="s">
        <v>94</v>
      </c>
      <c r="D155" s="37" t="s">
        <v>1211</v>
      </c>
      <c r="E155" s="3">
        <v>-212450</v>
      </c>
    </row>
    <row r="156" spans="1:5" x14ac:dyDescent="0.25">
      <c r="A156" t="s">
        <v>568</v>
      </c>
      <c r="B156" t="s">
        <v>1188</v>
      </c>
      <c r="C156" t="s">
        <v>94</v>
      </c>
      <c r="D156" s="37" t="s">
        <v>1211</v>
      </c>
      <c r="E156" s="3">
        <v>-12204</v>
      </c>
    </row>
    <row r="157" spans="1:5" x14ac:dyDescent="0.25">
      <c r="A157" t="s">
        <v>568</v>
      </c>
      <c r="B157" t="s">
        <v>1188</v>
      </c>
      <c r="C157" t="s">
        <v>94</v>
      </c>
      <c r="D157" s="37" t="s">
        <v>1211</v>
      </c>
      <c r="E157" s="3">
        <v>-2538</v>
      </c>
    </row>
    <row r="158" spans="1:5" x14ac:dyDescent="0.25">
      <c r="A158" t="s">
        <v>568</v>
      </c>
      <c r="B158" t="s">
        <v>1188</v>
      </c>
      <c r="C158" t="s">
        <v>432</v>
      </c>
      <c r="D158" s="37" t="s">
        <v>1211</v>
      </c>
      <c r="E158" s="3">
        <v>-5832</v>
      </c>
    </row>
    <row r="159" spans="1:5" x14ac:dyDescent="0.25">
      <c r="A159" t="s">
        <v>568</v>
      </c>
      <c r="B159" t="s">
        <v>1188</v>
      </c>
      <c r="C159" t="s">
        <v>11</v>
      </c>
      <c r="D159" s="37" t="s">
        <v>1211</v>
      </c>
      <c r="E159" s="3">
        <v>-64881</v>
      </c>
    </row>
    <row r="160" spans="1:5" x14ac:dyDescent="0.25">
      <c r="A160" t="s">
        <v>568</v>
      </c>
      <c r="B160" t="s">
        <v>1188</v>
      </c>
      <c r="C160" t="s">
        <v>395</v>
      </c>
      <c r="D160" s="37" t="s">
        <v>1211</v>
      </c>
      <c r="E160" s="3">
        <v>-6836.85</v>
      </c>
    </row>
    <row r="161" spans="1:5" x14ac:dyDescent="0.25">
      <c r="A161" t="s">
        <v>568</v>
      </c>
      <c r="B161" t="s">
        <v>1188</v>
      </c>
      <c r="C161" t="s">
        <v>35</v>
      </c>
      <c r="D161" s="37" t="s">
        <v>1211</v>
      </c>
      <c r="E161" s="3">
        <v>-57775</v>
      </c>
    </row>
    <row r="162" spans="1:5" x14ac:dyDescent="0.25">
      <c r="A162" t="s">
        <v>568</v>
      </c>
      <c r="B162" t="s">
        <v>1188</v>
      </c>
      <c r="C162" t="s">
        <v>395</v>
      </c>
      <c r="D162" s="37" t="s">
        <v>1211</v>
      </c>
      <c r="E162" s="3">
        <v>-6836.85</v>
      </c>
    </row>
    <row r="163" spans="1:5" x14ac:dyDescent="0.25">
      <c r="A163" t="s">
        <v>568</v>
      </c>
      <c r="B163" t="s">
        <v>1188</v>
      </c>
      <c r="C163" t="s">
        <v>35</v>
      </c>
      <c r="D163" s="37" t="s">
        <v>1211</v>
      </c>
      <c r="E163" s="3">
        <v>-28150</v>
      </c>
    </row>
    <row r="164" spans="1:5" x14ac:dyDescent="0.25">
      <c r="A164" t="s">
        <v>568</v>
      </c>
      <c r="B164" t="s">
        <v>1188</v>
      </c>
      <c r="C164" t="s">
        <v>395</v>
      </c>
      <c r="D164" s="37" t="s">
        <v>1211</v>
      </c>
      <c r="E164" s="3">
        <v>-6836.85</v>
      </c>
    </row>
    <row r="165" spans="1:5" x14ac:dyDescent="0.25">
      <c r="A165" t="s">
        <v>568</v>
      </c>
      <c r="B165" t="s">
        <v>1188</v>
      </c>
      <c r="C165" t="s">
        <v>35</v>
      </c>
      <c r="D165" s="37" t="s">
        <v>1211</v>
      </c>
      <c r="E165" s="3">
        <v>-13762</v>
      </c>
    </row>
    <row r="166" spans="1:5" x14ac:dyDescent="0.25">
      <c r="A166" t="s">
        <v>568</v>
      </c>
      <c r="B166" t="s">
        <v>1188</v>
      </c>
      <c r="C166" t="s">
        <v>395</v>
      </c>
      <c r="D166" s="37" t="s">
        <v>1211</v>
      </c>
      <c r="E166" s="3">
        <v>-33022.97</v>
      </c>
    </row>
    <row r="167" spans="1:5" x14ac:dyDescent="0.25">
      <c r="A167" t="s">
        <v>714</v>
      </c>
      <c r="B167" t="s">
        <v>1189</v>
      </c>
      <c r="C167" t="s">
        <v>11</v>
      </c>
      <c r="D167" s="37" t="s">
        <v>1209</v>
      </c>
      <c r="E167" s="3">
        <v>1500000</v>
      </c>
    </row>
    <row r="168" spans="1:5" x14ac:dyDescent="0.25">
      <c r="A168" t="s">
        <v>714</v>
      </c>
      <c r="B168" t="s">
        <v>1189</v>
      </c>
      <c r="C168" t="s">
        <v>11</v>
      </c>
      <c r="D168" s="37" t="s">
        <v>1211</v>
      </c>
      <c r="E168" s="3">
        <v>-353970.88</v>
      </c>
    </row>
    <row r="169" spans="1:5" x14ac:dyDescent="0.25">
      <c r="A169" t="s">
        <v>714</v>
      </c>
      <c r="B169" t="s">
        <v>1189</v>
      </c>
      <c r="C169" t="s">
        <v>11</v>
      </c>
      <c r="D169" s="37" t="s">
        <v>1211</v>
      </c>
      <c r="E169" s="3">
        <v>-306244.8</v>
      </c>
    </row>
    <row r="170" spans="1:5" x14ac:dyDescent="0.25">
      <c r="A170" t="s">
        <v>714</v>
      </c>
      <c r="B170" t="s">
        <v>1189</v>
      </c>
      <c r="C170" t="s">
        <v>11</v>
      </c>
      <c r="D170" s="37" t="s">
        <v>1211</v>
      </c>
      <c r="E170" s="3">
        <v>-161212.42000000001</v>
      </c>
    </row>
    <row r="171" spans="1:5" x14ac:dyDescent="0.25">
      <c r="A171" t="s">
        <v>714</v>
      </c>
      <c r="B171" t="s">
        <v>1189</v>
      </c>
      <c r="C171" t="s">
        <v>11</v>
      </c>
      <c r="D171" s="37" t="s">
        <v>1211</v>
      </c>
      <c r="E171" s="3">
        <v>-242513.96</v>
      </c>
    </row>
    <row r="172" spans="1:5" x14ac:dyDescent="0.25">
      <c r="A172" t="s">
        <v>714</v>
      </c>
      <c r="B172" t="s">
        <v>1189</v>
      </c>
      <c r="C172" t="s">
        <v>11</v>
      </c>
      <c r="D172" s="37" t="s">
        <v>1211</v>
      </c>
      <c r="E172" s="3">
        <v>-268907.27</v>
      </c>
    </row>
    <row r="173" spans="1:5" x14ac:dyDescent="0.25">
      <c r="A173" t="s">
        <v>736</v>
      </c>
      <c r="B173" t="s">
        <v>1190</v>
      </c>
      <c r="C173" t="s">
        <v>11</v>
      </c>
      <c r="D173" s="37" t="s">
        <v>1209</v>
      </c>
      <c r="E173" s="3">
        <v>91440</v>
      </c>
    </row>
    <row r="174" spans="1:5" x14ac:dyDescent="0.25">
      <c r="A174" t="s">
        <v>736</v>
      </c>
      <c r="B174" t="s">
        <v>1190</v>
      </c>
      <c r="C174" t="s">
        <v>11</v>
      </c>
      <c r="D174" s="37" t="s">
        <v>1209</v>
      </c>
      <c r="E174" s="3">
        <v>91440</v>
      </c>
    </row>
    <row r="175" spans="1:5" x14ac:dyDescent="0.25">
      <c r="A175" t="s">
        <v>736</v>
      </c>
      <c r="B175" t="s">
        <v>1190</v>
      </c>
      <c r="C175" t="s">
        <v>11</v>
      </c>
      <c r="D175" s="37" t="s">
        <v>1211</v>
      </c>
      <c r="E175" s="3">
        <v>-70104</v>
      </c>
    </row>
    <row r="176" spans="1:5" x14ac:dyDescent="0.25">
      <c r="A176" t="s">
        <v>736</v>
      </c>
      <c r="B176" t="s">
        <v>1190</v>
      </c>
      <c r="C176" t="s">
        <v>11</v>
      </c>
      <c r="D176" s="37" t="s">
        <v>1211</v>
      </c>
      <c r="E176" s="3">
        <v>-35560</v>
      </c>
    </row>
    <row r="177" spans="1:5" x14ac:dyDescent="0.25">
      <c r="A177" t="s">
        <v>736</v>
      </c>
      <c r="B177" t="s">
        <v>1190</v>
      </c>
      <c r="C177" t="s">
        <v>11</v>
      </c>
      <c r="D177" s="37" t="s">
        <v>1211</v>
      </c>
      <c r="E177" s="3">
        <v>-4064</v>
      </c>
    </row>
    <row r="178" spans="1:5" x14ac:dyDescent="0.25">
      <c r="A178" t="s">
        <v>736</v>
      </c>
      <c r="B178" t="s">
        <v>1190</v>
      </c>
      <c r="C178" t="s">
        <v>11</v>
      </c>
      <c r="D178" s="37" t="s">
        <v>1211</v>
      </c>
      <c r="E178" s="3">
        <v>-20320</v>
      </c>
    </row>
    <row r="179" spans="1:5" x14ac:dyDescent="0.25">
      <c r="A179" t="s">
        <v>762</v>
      </c>
      <c r="B179" t="s">
        <v>1191</v>
      </c>
      <c r="C179" t="s">
        <v>11</v>
      </c>
      <c r="D179" s="37" t="s">
        <v>1209</v>
      </c>
      <c r="E179" s="3">
        <v>732000</v>
      </c>
    </row>
    <row r="180" spans="1:5" x14ac:dyDescent="0.25">
      <c r="A180" t="s">
        <v>762</v>
      </c>
      <c r="B180" t="s">
        <v>1191</v>
      </c>
      <c r="C180" t="s">
        <v>11</v>
      </c>
      <c r="D180" s="37" t="s">
        <v>1209</v>
      </c>
      <c r="E180" s="3">
        <v>91440</v>
      </c>
    </row>
    <row r="181" spans="1:5" x14ac:dyDescent="0.25">
      <c r="A181" t="s">
        <v>762</v>
      </c>
      <c r="B181" t="s">
        <v>1191</v>
      </c>
      <c r="C181" t="s">
        <v>11</v>
      </c>
      <c r="D181" s="37" t="s">
        <v>1211</v>
      </c>
      <c r="E181" s="3">
        <v>-88900</v>
      </c>
    </row>
    <row r="182" spans="1:5" x14ac:dyDescent="0.25">
      <c r="A182" t="s">
        <v>774</v>
      </c>
      <c r="B182" t="s">
        <v>1192</v>
      </c>
      <c r="C182" t="s">
        <v>11</v>
      </c>
      <c r="D182" s="37" t="s">
        <v>1209</v>
      </c>
      <c r="E182" s="3">
        <v>91440</v>
      </c>
    </row>
    <row r="183" spans="1:5" x14ac:dyDescent="0.25">
      <c r="A183" t="s">
        <v>774</v>
      </c>
      <c r="B183" t="s">
        <v>1192</v>
      </c>
      <c r="C183" t="s">
        <v>11</v>
      </c>
      <c r="D183" s="37" t="s">
        <v>1211</v>
      </c>
      <c r="E183" s="3">
        <v>-7112</v>
      </c>
    </row>
    <row r="184" spans="1:5" x14ac:dyDescent="0.25">
      <c r="A184" t="s">
        <v>774</v>
      </c>
      <c r="B184" t="s">
        <v>1192</v>
      </c>
      <c r="C184" t="s">
        <v>11</v>
      </c>
      <c r="D184" s="37" t="s">
        <v>1211</v>
      </c>
      <c r="E184" s="3">
        <v>-12192</v>
      </c>
    </row>
    <row r="185" spans="1:5" x14ac:dyDescent="0.25">
      <c r="A185" t="s">
        <v>774</v>
      </c>
      <c r="B185" t="s">
        <v>1192</v>
      </c>
      <c r="C185" t="s">
        <v>11</v>
      </c>
      <c r="D185" s="37" t="s">
        <v>1211</v>
      </c>
      <c r="E185" s="3">
        <v>-38608</v>
      </c>
    </row>
    <row r="186" spans="1:5" x14ac:dyDescent="0.25">
      <c r="A186" t="s">
        <v>791</v>
      </c>
      <c r="B186" t="s">
        <v>1193</v>
      </c>
      <c r="C186" t="s">
        <v>11</v>
      </c>
      <c r="D186" s="37" t="s">
        <v>1209</v>
      </c>
      <c r="E186" s="3">
        <v>91440</v>
      </c>
    </row>
    <row r="187" spans="1:5" x14ac:dyDescent="0.25">
      <c r="A187" t="s">
        <v>791</v>
      </c>
      <c r="B187" t="s">
        <v>1193</v>
      </c>
      <c r="C187" t="s">
        <v>11</v>
      </c>
      <c r="D187" s="37" t="s">
        <v>1209</v>
      </c>
      <c r="E187" s="3">
        <v>142597.98000000001</v>
      </c>
    </row>
    <row r="188" spans="1:5" x14ac:dyDescent="0.25">
      <c r="A188" t="s">
        <v>791</v>
      </c>
      <c r="B188" t="s">
        <v>1193</v>
      </c>
      <c r="C188" t="s">
        <v>11</v>
      </c>
      <c r="D188" s="37" t="s">
        <v>1209</v>
      </c>
      <c r="E188" s="3">
        <v>153500</v>
      </c>
    </row>
    <row r="189" spans="1:5" x14ac:dyDescent="0.25">
      <c r="A189" t="s">
        <v>791</v>
      </c>
      <c r="B189" t="s">
        <v>1193</v>
      </c>
      <c r="C189" t="s">
        <v>11</v>
      </c>
      <c r="D189" s="37" t="s">
        <v>1209</v>
      </c>
      <c r="E189" s="3">
        <v>40216</v>
      </c>
    </row>
    <row r="190" spans="1:5" x14ac:dyDescent="0.25">
      <c r="A190" t="s">
        <v>791</v>
      </c>
      <c r="B190" t="s">
        <v>1193</v>
      </c>
      <c r="C190" t="s">
        <v>11</v>
      </c>
      <c r="D190" s="37" t="s">
        <v>1211</v>
      </c>
      <c r="E190" s="3">
        <v>-142597.98000000001</v>
      </c>
    </row>
    <row r="191" spans="1:5" x14ac:dyDescent="0.25">
      <c r="A191" t="s">
        <v>791</v>
      </c>
      <c r="B191" t="s">
        <v>1193</v>
      </c>
      <c r="C191" t="s">
        <v>11</v>
      </c>
      <c r="D191" s="37" t="s">
        <v>1211</v>
      </c>
      <c r="E191" s="3">
        <v>-5388</v>
      </c>
    </row>
    <row r="192" spans="1:5" x14ac:dyDescent="0.25">
      <c r="A192" t="s">
        <v>791</v>
      </c>
      <c r="B192" t="s">
        <v>1193</v>
      </c>
      <c r="C192" t="s">
        <v>11</v>
      </c>
      <c r="D192" s="37" t="s">
        <v>1211</v>
      </c>
      <c r="E192" s="3">
        <v>-40216</v>
      </c>
    </row>
    <row r="193" spans="1:5" x14ac:dyDescent="0.25">
      <c r="A193" t="s">
        <v>791</v>
      </c>
      <c r="B193" t="s">
        <v>1193</v>
      </c>
      <c r="C193" t="s">
        <v>11</v>
      </c>
      <c r="D193" s="37" t="s">
        <v>1211</v>
      </c>
      <c r="E193" s="3">
        <v>-11392</v>
      </c>
    </row>
    <row r="194" spans="1:5" x14ac:dyDescent="0.25">
      <c r="A194" t="s">
        <v>791</v>
      </c>
      <c r="B194" t="s">
        <v>1193</v>
      </c>
      <c r="C194" t="s">
        <v>11</v>
      </c>
      <c r="D194" s="37" t="s">
        <v>1211</v>
      </c>
      <c r="E194" s="3">
        <v>-12192</v>
      </c>
    </row>
    <row r="195" spans="1:5" x14ac:dyDescent="0.25">
      <c r="A195" t="s">
        <v>791</v>
      </c>
      <c r="B195" t="s">
        <v>1193</v>
      </c>
      <c r="C195" t="s">
        <v>11</v>
      </c>
      <c r="D195" s="37" t="s">
        <v>1211</v>
      </c>
      <c r="E195" s="3">
        <v>-95430.85</v>
      </c>
    </row>
    <row r="196" spans="1:5" x14ac:dyDescent="0.25">
      <c r="A196" t="s">
        <v>791</v>
      </c>
      <c r="B196" t="s">
        <v>1193</v>
      </c>
      <c r="C196" t="s">
        <v>11</v>
      </c>
      <c r="D196" s="37" t="s">
        <v>1211</v>
      </c>
      <c r="E196" s="3">
        <v>-12700</v>
      </c>
    </row>
    <row r="197" spans="1:5" x14ac:dyDescent="0.25">
      <c r="A197" t="s">
        <v>832</v>
      </c>
      <c r="B197" t="s">
        <v>1194</v>
      </c>
      <c r="C197" t="s">
        <v>11</v>
      </c>
      <c r="D197" s="37" t="s">
        <v>1210</v>
      </c>
      <c r="E197" s="3">
        <v>-641.09</v>
      </c>
    </row>
    <row r="198" spans="1:5" x14ac:dyDescent="0.25">
      <c r="A198" t="s">
        <v>832</v>
      </c>
      <c r="B198" t="s">
        <v>1194</v>
      </c>
      <c r="C198" t="s">
        <v>11</v>
      </c>
      <c r="D198" s="37" t="s">
        <v>1209</v>
      </c>
      <c r="E198" s="3">
        <v>91440</v>
      </c>
    </row>
    <row r="199" spans="1:5" x14ac:dyDescent="0.25">
      <c r="A199" t="s">
        <v>832</v>
      </c>
      <c r="B199" t="s">
        <v>1194</v>
      </c>
      <c r="C199" t="s">
        <v>11</v>
      </c>
      <c r="D199" s="37" t="s">
        <v>1211</v>
      </c>
      <c r="E199" s="3">
        <v>-35560</v>
      </c>
    </row>
    <row r="200" spans="1:5" x14ac:dyDescent="0.25">
      <c r="A200" t="s">
        <v>832</v>
      </c>
      <c r="B200" t="s">
        <v>1194</v>
      </c>
      <c r="C200" t="s">
        <v>11</v>
      </c>
      <c r="D200" s="37" t="s">
        <v>1211</v>
      </c>
      <c r="E200" s="3">
        <v>-35560</v>
      </c>
    </row>
    <row r="201" spans="1:5" x14ac:dyDescent="0.25">
      <c r="A201" t="s">
        <v>852</v>
      </c>
      <c r="B201" t="s">
        <v>1195</v>
      </c>
      <c r="C201" t="s">
        <v>11</v>
      </c>
      <c r="D201" s="37" t="s">
        <v>1209</v>
      </c>
      <c r="E201" s="3">
        <v>76200</v>
      </c>
    </row>
    <row r="202" spans="1:5" x14ac:dyDescent="0.25">
      <c r="A202" t="s">
        <v>852</v>
      </c>
      <c r="B202" t="s">
        <v>1195</v>
      </c>
      <c r="C202" t="s">
        <v>35</v>
      </c>
      <c r="D202" s="37" t="s">
        <v>1209</v>
      </c>
      <c r="E202" s="3">
        <v>48640</v>
      </c>
    </row>
    <row r="203" spans="1:5" x14ac:dyDescent="0.25">
      <c r="A203" t="s">
        <v>852</v>
      </c>
      <c r="B203" t="s">
        <v>1195</v>
      </c>
      <c r="C203" t="s">
        <v>11</v>
      </c>
      <c r="D203" s="37" t="s">
        <v>1211</v>
      </c>
      <c r="E203" s="3">
        <v>-2032</v>
      </c>
    </row>
    <row r="204" spans="1:5" x14ac:dyDescent="0.25">
      <c r="A204" t="s">
        <v>852</v>
      </c>
      <c r="B204" t="s">
        <v>1195</v>
      </c>
      <c r="C204" t="s">
        <v>11</v>
      </c>
      <c r="D204" s="37" t="s">
        <v>1211</v>
      </c>
      <c r="E204" s="3">
        <v>-2032</v>
      </c>
    </row>
    <row r="205" spans="1:5" x14ac:dyDescent="0.25">
      <c r="A205" t="s">
        <v>852</v>
      </c>
      <c r="B205" t="s">
        <v>1195</v>
      </c>
      <c r="C205" t="s">
        <v>35</v>
      </c>
      <c r="D205" s="37" t="s">
        <v>1211</v>
      </c>
      <c r="E205" s="3">
        <v>-48640</v>
      </c>
    </row>
    <row r="206" spans="1:5" x14ac:dyDescent="0.25">
      <c r="A206" t="s">
        <v>852</v>
      </c>
      <c r="B206" t="s">
        <v>1195</v>
      </c>
      <c r="C206" t="s">
        <v>11</v>
      </c>
      <c r="D206" s="37" t="s">
        <v>1211</v>
      </c>
      <c r="E206" s="3">
        <v>-2032</v>
      </c>
    </row>
    <row r="207" spans="1:5" x14ac:dyDescent="0.25">
      <c r="A207" t="s">
        <v>876</v>
      </c>
      <c r="B207" t="s">
        <v>1196</v>
      </c>
      <c r="C207" t="s">
        <v>11</v>
      </c>
      <c r="D207" s="37" t="s">
        <v>1209</v>
      </c>
      <c r="E207" s="3">
        <v>465000</v>
      </c>
    </row>
    <row r="208" spans="1:5" x14ac:dyDescent="0.25">
      <c r="A208" t="s">
        <v>876</v>
      </c>
      <c r="B208" t="s">
        <v>1196</v>
      </c>
      <c r="C208" t="s">
        <v>395</v>
      </c>
      <c r="D208" s="37" t="s">
        <v>1209</v>
      </c>
      <c r="E208" s="3">
        <v>200000</v>
      </c>
    </row>
    <row r="209" spans="1:5" x14ac:dyDescent="0.25">
      <c r="A209" t="s">
        <v>876</v>
      </c>
      <c r="B209" t="s">
        <v>1196</v>
      </c>
      <c r="C209" t="s">
        <v>395</v>
      </c>
      <c r="D209" s="37" t="s">
        <v>1209</v>
      </c>
      <c r="E209" s="3">
        <v>200000</v>
      </c>
    </row>
    <row r="210" spans="1:5" x14ac:dyDescent="0.25">
      <c r="A210" t="s">
        <v>876</v>
      </c>
      <c r="B210" t="s">
        <v>1196</v>
      </c>
      <c r="C210" t="s">
        <v>43</v>
      </c>
      <c r="D210" s="37" t="s">
        <v>1209</v>
      </c>
      <c r="E210" s="3">
        <v>385000</v>
      </c>
    </row>
    <row r="211" spans="1:5" x14ac:dyDescent="0.25">
      <c r="A211" t="s">
        <v>876</v>
      </c>
      <c r="B211" t="s">
        <v>1196</v>
      </c>
      <c r="C211" t="s">
        <v>43</v>
      </c>
      <c r="D211" s="37" t="s">
        <v>1209</v>
      </c>
      <c r="E211" s="3">
        <v>395000</v>
      </c>
    </row>
    <row r="212" spans="1:5" x14ac:dyDescent="0.25">
      <c r="A212" t="s">
        <v>876</v>
      </c>
      <c r="B212" t="s">
        <v>1196</v>
      </c>
      <c r="C212" t="s">
        <v>43</v>
      </c>
      <c r="D212" s="37" t="s">
        <v>1209</v>
      </c>
      <c r="E212" s="3">
        <v>169000</v>
      </c>
    </row>
    <row r="213" spans="1:5" x14ac:dyDescent="0.25">
      <c r="A213" t="s">
        <v>876</v>
      </c>
      <c r="B213" t="s">
        <v>1196</v>
      </c>
      <c r="C213" t="s">
        <v>43</v>
      </c>
      <c r="D213" s="37" t="s">
        <v>1209</v>
      </c>
      <c r="E213" s="3">
        <v>250000</v>
      </c>
    </row>
    <row r="214" spans="1:5" x14ac:dyDescent="0.25">
      <c r="A214" t="s">
        <v>876</v>
      </c>
      <c r="B214" t="s">
        <v>1196</v>
      </c>
      <c r="C214" t="s">
        <v>43</v>
      </c>
      <c r="D214" s="37" t="s">
        <v>1209</v>
      </c>
      <c r="E214" s="3">
        <v>145500</v>
      </c>
    </row>
    <row r="215" spans="1:5" x14ac:dyDescent="0.25">
      <c r="A215" t="s">
        <v>876</v>
      </c>
      <c r="B215" t="s">
        <v>1196</v>
      </c>
      <c r="C215" t="s">
        <v>43</v>
      </c>
      <c r="D215" s="37" t="s">
        <v>1209</v>
      </c>
      <c r="E215" s="3">
        <v>275000</v>
      </c>
    </row>
    <row r="216" spans="1:5" x14ac:dyDescent="0.25">
      <c r="A216" t="s">
        <v>876</v>
      </c>
      <c r="B216" t="s">
        <v>1196</v>
      </c>
      <c r="C216" t="s">
        <v>43</v>
      </c>
      <c r="D216" s="37" t="s">
        <v>1209</v>
      </c>
      <c r="E216" s="3">
        <v>500000</v>
      </c>
    </row>
    <row r="217" spans="1:5" x14ac:dyDescent="0.25">
      <c r="A217" t="s">
        <v>876</v>
      </c>
      <c r="B217" t="s">
        <v>1196</v>
      </c>
      <c r="C217" t="s">
        <v>43</v>
      </c>
      <c r="D217" s="37" t="s">
        <v>1209</v>
      </c>
      <c r="E217" s="3">
        <v>500000</v>
      </c>
    </row>
    <row r="218" spans="1:5" x14ac:dyDescent="0.25">
      <c r="A218" t="s">
        <v>876</v>
      </c>
      <c r="B218" t="s">
        <v>1196</v>
      </c>
      <c r="C218" t="s">
        <v>43</v>
      </c>
      <c r="D218" s="37" t="s">
        <v>1209</v>
      </c>
      <c r="E218" s="3">
        <v>450000</v>
      </c>
    </row>
    <row r="219" spans="1:5" x14ac:dyDescent="0.25">
      <c r="A219" t="s">
        <v>876</v>
      </c>
      <c r="B219" t="s">
        <v>1196</v>
      </c>
      <c r="C219" t="s">
        <v>43</v>
      </c>
      <c r="D219" s="37" t="s">
        <v>1209</v>
      </c>
      <c r="E219" s="3">
        <v>100000</v>
      </c>
    </row>
    <row r="220" spans="1:5" x14ac:dyDescent="0.25">
      <c r="A220" t="s">
        <v>876</v>
      </c>
      <c r="B220" t="s">
        <v>1196</v>
      </c>
      <c r="C220" t="s">
        <v>395</v>
      </c>
      <c r="D220" s="37" t="s">
        <v>1209</v>
      </c>
      <c r="E220" s="3">
        <v>200000</v>
      </c>
    </row>
    <row r="221" spans="1:5" x14ac:dyDescent="0.25">
      <c r="A221" t="s">
        <v>876</v>
      </c>
      <c r="B221" t="s">
        <v>1196</v>
      </c>
      <c r="C221" t="s">
        <v>395</v>
      </c>
      <c r="D221" s="37" t="s">
        <v>1209</v>
      </c>
      <c r="E221" s="3">
        <v>50000</v>
      </c>
    </row>
    <row r="222" spans="1:5" x14ac:dyDescent="0.25">
      <c r="A222" t="s">
        <v>876</v>
      </c>
      <c r="B222" t="s">
        <v>1196</v>
      </c>
      <c r="C222" t="s">
        <v>395</v>
      </c>
      <c r="D222" s="37" t="s">
        <v>1209</v>
      </c>
      <c r="E222" s="3">
        <v>182400</v>
      </c>
    </row>
    <row r="223" spans="1:5" x14ac:dyDescent="0.25">
      <c r="A223" t="s">
        <v>876</v>
      </c>
      <c r="B223" t="s">
        <v>1196</v>
      </c>
      <c r="C223" t="s">
        <v>395</v>
      </c>
      <c r="D223" s="37" t="s">
        <v>1209</v>
      </c>
      <c r="E223" s="3">
        <v>25000</v>
      </c>
    </row>
    <row r="224" spans="1:5" x14ac:dyDescent="0.25">
      <c r="A224" t="s">
        <v>876</v>
      </c>
      <c r="B224" t="s">
        <v>1196</v>
      </c>
      <c r="C224" t="s">
        <v>11</v>
      </c>
      <c r="D224" s="37" t="s">
        <v>1211</v>
      </c>
      <c r="E224" s="3">
        <v>-27600</v>
      </c>
    </row>
    <row r="225" spans="1:5" x14ac:dyDescent="0.25">
      <c r="A225" t="s">
        <v>876</v>
      </c>
      <c r="B225" t="s">
        <v>1196</v>
      </c>
      <c r="C225" t="s">
        <v>11</v>
      </c>
      <c r="D225" s="37" t="s">
        <v>1211</v>
      </c>
      <c r="E225" s="3">
        <v>-77100</v>
      </c>
    </row>
    <row r="226" spans="1:5" x14ac:dyDescent="0.25">
      <c r="A226" t="s">
        <v>876</v>
      </c>
      <c r="B226" t="s">
        <v>1196</v>
      </c>
      <c r="C226" t="s">
        <v>11</v>
      </c>
      <c r="D226" s="37" t="s">
        <v>1211</v>
      </c>
      <c r="E226" s="3">
        <v>-70500</v>
      </c>
    </row>
    <row r="227" spans="1:5" x14ac:dyDescent="0.25">
      <c r="A227" t="s">
        <v>876</v>
      </c>
      <c r="B227" t="s">
        <v>1196</v>
      </c>
      <c r="C227" t="s">
        <v>395</v>
      </c>
      <c r="D227" s="37" t="s">
        <v>1211</v>
      </c>
      <c r="E227" s="3">
        <v>-97258.66</v>
      </c>
    </row>
    <row r="228" spans="1:5" x14ac:dyDescent="0.25">
      <c r="A228" t="s">
        <v>876</v>
      </c>
      <c r="B228" t="s">
        <v>1196</v>
      </c>
      <c r="C228" t="s">
        <v>395</v>
      </c>
      <c r="D228" s="37" t="s">
        <v>1211</v>
      </c>
      <c r="E228" s="3">
        <v>-34699.68</v>
      </c>
    </row>
    <row r="229" spans="1:5" x14ac:dyDescent="0.25">
      <c r="A229" t="s">
        <v>876</v>
      </c>
      <c r="B229" t="s">
        <v>1196</v>
      </c>
      <c r="C229" t="s">
        <v>395</v>
      </c>
      <c r="D229" s="37" t="s">
        <v>1211</v>
      </c>
      <c r="E229" s="3">
        <v>-65950.080000000002</v>
      </c>
    </row>
    <row r="230" spans="1:5" x14ac:dyDescent="0.25">
      <c r="A230" t="s">
        <v>876</v>
      </c>
      <c r="B230" t="s">
        <v>1196</v>
      </c>
      <c r="C230" t="s">
        <v>395</v>
      </c>
      <c r="D230" s="37" t="s">
        <v>1211</v>
      </c>
      <c r="E230" s="3">
        <v>-148113.60000000001</v>
      </c>
    </row>
    <row r="231" spans="1:5" x14ac:dyDescent="0.25">
      <c r="A231" t="s">
        <v>876</v>
      </c>
      <c r="B231" t="s">
        <v>1196</v>
      </c>
      <c r="C231" t="s">
        <v>43</v>
      </c>
      <c r="D231" s="37" t="s">
        <v>1211</v>
      </c>
      <c r="E231" s="3">
        <v>-13748.4</v>
      </c>
    </row>
    <row r="232" spans="1:5" x14ac:dyDescent="0.25">
      <c r="A232" t="s">
        <v>876</v>
      </c>
      <c r="B232" t="s">
        <v>1196</v>
      </c>
      <c r="C232" t="s">
        <v>43</v>
      </c>
      <c r="D232" s="37" t="s">
        <v>1211</v>
      </c>
      <c r="E232" s="3">
        <v>-20103.439999999999</v>
      </c>
    </row>
    <row r="233" spans="1:5" x14ac:dyDescent="0.25">
      <c r="A233" t="s">
        <v>876</v>
      </c>
      <c r="B233" t="s">
        <v>1196</v>
      </c>
      <c r="C233" t="s">
        <v>43</v>
      </c>
      <c r="D233" s="37" t="s">
        <v>1211</v>
      </c>
      <c r="E233" s="3">
        <v>-106776.61</v>
      </c>
    </row>
    <row r="234" spans="1:5" x14ac:dyDescent="0.25">
      <c r="A234" t="s">
        <v>876</v>
      </c>
      <c r="B234" t="s">
        <v>1196</v>
      </c>
      <c r="C234" t="s">
        <v>43</v>
      </c>
      <c r="D234" s="37" t="s">
        <v>1211</v>
      </c>
      <c r="E234" s="3">
        <v>-8899.2000000000007</v>
      </c>
    </row>
    <row r="235" spans="1:5" x14ac:dyDescent="0.25">
      <c r="A235" t="s">
        <v>876</v>
      </c>
      <c r="B235" t="s">
        <v>1196</v>
      </c>
      <c r="C235" t="s">
        <v>43</v>
      </c>
      <c r="D235" s="37" t="s">
        <v>1211</v>
      </c>
      <c r="E235" s="3">
        <v>-101900</v>
      </c>
    </row>
    <row r="236" spans="1:5" x14ac:dyDescent="0.25">
      <c r="A236" t="s">
        <v>876</v>
      </c>
      <c r="B236" t="s">
        <v>1196</v>
      </c>
      <c r="C236" t="s">
        <v>11</v>
      </c>
      <c r="D236" s="37" t="s">
        <v>1211</v>
      </c>
      <c r="E236" s="3">
        <v>-42800</v>
      </c>
    </row>
    <row r="237" spans="1:5" x14ac:dyDescent="0.25">
      <c r="A237" t="s">
        <v>876</v>
      </c>
      <c r="B237" t="s">
        <v>1196</v>
      </c>
      <c r="C237" t="s">
        <v>395</v>
      </c>
      <c r="D237" s="37" t="s">
        <v>1211</v>
      </c>
      <c r="E237" s="3">
        <v>-43763.06</v>
      </c>
    </row>
    <row r="238" spans="1:5" x14ac:dyDescent="0.25">
      <c r="A238" t="s">
        <v>876</v>
      </c>
      <c r="B238" t="s">
        <v>1196</v>
      </c>
      <c r="C238" t="s">
        <v>395</v>
      </c>
      <c r="D238" s="37" t="s">
        <v>1211</v>
      </c>
      <c r="E238" s="3">
        <v>-273.05</v>
      </c>
    </row>
    <row r="239" spans="1:5" x14ac:dyDescent="0.25">
      <c r="A239" t="s">
        <v>876</v>
      </c>
      <c r="B239" t="s">
        <v>1196</v>
      </c>
      <c r="C239" t="s">
        <v>43</v>
      </c>
      <c r="D239" s="37" t="s">
        <v>1211</v>
      </c>
      <c r="E239" s="3">
        <v>-13748.4</v>
      </c>
    </row>
    <row r="240" spans="1:5" x14ac:dyDescent="0.25">
      <c r="A240" t="s">
        <v>876</v>
      </c>
      <c r="B240" t="s">
        <v>1196</v>
      </c>
      <c r="C240" t="s">
        <v>43</v>
      </c>
      <c r="D240" s="37" t="s">
        <v>1211</v>
      </c>
      <c r="E240" s="3">
        <v>-260103.44</v>
      </c>
    </row>
    <row r="241" spans="1:5" x14ac:dyDescent="0.25">
      <c r="A241" t="s">
        <v>876</v>
      </c>
      <c r="B241" t="s">
        <v>1196</v>
      </c>
      <c r="C241" t="s">
        <v>43</v>
      </c>
      <c r="D241" s="37" t="s">
        <v>1211</v>
      </c>
      <c r="E241" s="3">
        <v>-8899.2000000000007</v>
      </c>
    </row>
    <row r="242" spans="1:5" x14ac:dyDescent="0.25">
      <c r="A242" t="s">
        <v>876</v>
      </c>
      <c r="B242" t="s">
        <v>1196</v>
      </c>
      <c r="C242" t="s">
        <v>43</v>
      </c>
      <c r="D242" s="37" t="s">
        <v>1211</v>
      </c>
      <c r="E242" s="3">
        <v>-16714.45</v>
      </c>
    </row>
    <row r="243" spans="1:5" x14ac:dyDescent="0.25">
      <c r="A243" t="s">
        <v>876</v>
      </c>
      <c r="B243" t="s">
        <v>1196</v>
      </c>
      <c r="C243" t="s">
        <v>43</v>
      </c>
      <c r="D243" s="37" t="s">
        <v>1211</v>
      </c>
      <c r="E243" s="3">
        <v>-50904</v>
      </c>
    </row>
    <row r="244" spans="1:5" x14ac:dyDescent="0.25">
      <c r="A244" t="s">
        <v>876</v>
      </c>
      <c r="B244" t="s">
        <v>1196</v>
      </c>
      <c r="C244" t="s">
        <v>43</v>
      </c>
      <c r="D244" s="37" t="s">
        <v>1211</v>
      </c>
      <c r="E244" s="3">
        <v>-128000</v>
      </c>
    </row>
    <row r="245" spans="1:5" x14ac:dyDescent="0.25">
      <c r="A245" t="s">
        <v>876</v>
      </c>
      <c r="B245" t="s">
        <v>1196</v>
      </c>
      <c r="C245" t="s">
        <v>43</v>
      </c>
      <c r="D245" s="37" t="s">
        <v>1211</v>
      </c>
      <c r="E245" s="3">
        <v>-272500</v>
      </c>
    </row>
    <row r="246" spans="1:5" x14ac:dyDescent="0.25">
      <c r="A246" t="s">
        <v>876</v>
      </c>
      <c r="B246" t="s">
        <v>1196</v>
      </c>
      <c r="C246" t="s">
        <v>43</v>
      </c>
      <c r="D246" s="37" t="s">
        <v>1211</v>
      </c>
      <c r="E246" s="3">
        <v>-16006</v>
      </c>
    </row>
    <row r="247" spans="1:5" x14ac:dyDescent="0.25">
      <c r="A247" t="s">
        <v>876</v>
      </c>
      <c r="B247" t="s">
        <v>1196</v>
      </c>
      <c r="C247" t="s">
        <v>395</v>
      </c>
      <c r="D247" s="37" t="s">
        <v>1211</v>
      </c>
      <c r="E247" s="3">
        <v>-48233.06</v>
      </c>
    </row>
    <row r="248" spans="1:5" x14ac:dyDescent="0.25">
      <c r="A248" t="s">
        <v>876</v>
      </c>
      <c r="B248" t="s">
        <v>1196</v>
      </c>
      <c r="C248" t="s">
        <v>11</v>
      </c>
      <c r="D248" s="37" t="s">
        <v>1211</v>
      </c>
      <c r="E248" s="3">
        <v>-114500</v>
      </c>
    </row>
    <row r="249" spans="1:5" x14ac:dyDescent="0.25">
      <c r="A249" t="s">
        <v>876</v>
      </c>
      <c r="B249" t="s">
        <v>1196</v>
      </c>
      <c r="C249" t="s">
        <v>43</v>
      </c>
      <c r="D249" s="37" t="s">
        <v>1211</v>
      </c>
      <c r="E249" s="3">
        <v>-43748.4</v>
      </c>
    </row>
    <row r="250" spans="1:5" x14ac:dyDescent="0.25">
      <c r="A250" t="s">
        <v>876</v>
      </c>
      <c r="B250" t="s">
        <v>1196</v>
      </c>
      <c r="C250" t="s">
        <v>43</v>
      </c>
      <c r="D250" s="37" t="s">
        <v>1211</v>
      </c>
      <c r="E250" s="3">
        <v>-20103.439999999999</v>
      </c>
    </row>
    <row r="251" spans="1:5" x14ac:dyDescent="0.25">
      <c r="A251" t="s">
        <v>876</v>
      </c>
      <c r="B251" t="s">
        <v>1196</v>
      </c>
      <c r="C251" t="s">
        <v>43</v>
      </c>
      <c r="D251" s="37" t="s">
        <v>1211</v>
      </c>
      <c r="E251" s="3">
        <v>-39340</v>
      </c>
    </row>
    <row r="252" spans="1:5" x14ac:dyDescent="0.25">
      <c r="A252" t="s">
        <v>876</v>
      </c>
      <c r="B252" t="s">
        <v>1196</v>
      </c>
      <c r="C252" t="s">
        <v>43</v>
      </c>
      <c r="D252" s="37" t="s">
        <v>1211</v>
      </c>
      <c r="E252" s="3">
        <v>-166770.79999999999</v>
      </c>
    </row>
    <row r="253" spans="1:5" x14ac:dyDescent="0.25">
      <c r="A253" t="s">
        <v>876</v>
      </c>
      <c r="B253" t="s">
        <v>1196</v>
      </c>
      <c r="C253" t="s">
        <v>43</v>
      </c>
      <c r="D253" s="37" t="s">
        <v>1211</v>
      </c>
      <c r="E253" s="3">
        <v>-30000</v>
      </c>
    </row>
    <row r="254" spans="1:5" x14ac:dyDescent="0.25">
      <c r="A254" t="s">
        <v>876</v>
      </c>
      <c r="B254" t="s">
        <v>1196</v>
      </c>
      <c r="C254" t="s">
        <v>43</v>
      </c>
      <c r="D254" s="37" t="s">
        <v>1211</v>
      </c>
      <c r="E254" s="3">
        <v>-30000</v>
      </c>
    </row>
    <row r="255" spans="1:5" x14ac:dyDescent="0.25">
      <c r="A255" t="s">
        <v>876</v>
      </c>
      <c r="B255" t="s">
        <v>1196</v>
      </c>
      <c r="C255" t="s">
        <v>43</v>
      </c>
      <c r="D255" s="37" t="s">
        <v>1211</v>
      </c>
      <c r="E255" s="3">
        <v>-16006</v>
      </c>
    </row>
    <row r="256" spans="1:5" x14ac:dyDescent="0.25">
      <c r="A256" t="s">
        <v>876</v>
      </c>
      <c r="B256" t="s">
        <v>1196</v>
      </c>
      <c r="C256" t="s">
        <v>43</v>
      </c>
      <c r="D256" s="37" t="s">
        <v>1211</v>
      </c>
      <c r="E256" s="3">
        <v>-16830</v>
      </c>
    </row>
    <row r="257" spans="1:5" x14ac:dyDescent="0.25">
      <c r="A257" t="s">
        <v>876</v>
      </c>
      <c r="B257" t="s">
        <v>1196</v>
      </c>
      <c r="C257" t="s">
        <v>11</v>
      </c>
      <c r="D257" s="37" t="s">
        <v>1211</v>
      </c>
      <c r="E257" s="3">
        <v>-70000</v>
      </c>
    </row>
    <row r="258" spans="1:5" x14ac:dyDescent="0.25">
      <c r="A258" t="s">
        <v>876</v>
      </c>
      <c r="B258" t="s">
        <v>1196</v>
      </c>
      <c r="C258" t="s">
        <v>43</v>
      </c>
      <c r="D258" s="37" t="s">
        <v>1211</v>
      </c>
      <c r="E258" s="3">
        <v>-13748.4</v>
      </c>
    </row>
    <row r="259" spans="1:5" x14ac:dyDescent="0.25">
      <c r="A259" t="s">
        <v>876</v>
      </c>
      <c r="B259" t="s">
        <v>1196</v>
      </c>
      <c r="C259" t="s">
        <v>43</v>
      </c>
      <c r="D259" s="37" t="s">
        <v>1211</v>
      </c>
      <c r="E259" s="3">
        <v>-110298.4</v>
      </c>
    </row>
    <row r="260" spans="1:5" x14ac:dyDescent="0.25">
      <c r="A260" t="s">
        <v>876</v>
      </c>
      <c r="B260" t="s">
        <v>1196</v>
      </c>
      <c r="C260" t="s">
        <v>43</v>
      </c>
      <c r="D260" s="37" t="s">
        <v>1211</v>
      </c>
      <c r="E260" s="3">
        <v>-240000</v>
      </c>
    </row>
    <row r="261" spans="1:5" x14ac:dyDescent="0.25">
      <c r="A261" t="s">
        <v>876</v>
      </c>
      <c r="B261" t="s">
        <v>1196</v>
      </c>
      <c r="C261" t="s">
        <v>43</v>
      </c>
      <c r="D261" s="37" t="s">
        <v>1211</v>
      </c>
      <c r="E261" s="3">
        <v>-29000</v>
      </c>
    </row>
    <row r="262" spans="1:5" x14ac:dyDescent="0.25">
      <c r="A262" t="s">
        <v>876</v>
      </c>
      <c r="B262" t="s">
        <v>1196</v>
      </c>
      <c r="C262" t="s">
        <v>43</v>
      </c>
      <c r="D262" s="37" t="s">
        <v>1211</v>
      </c>
      <c r="E262" s="3">
        <v>-81006</v>
      </c>
    </row>
    <row r="263" spans="1:5" x14ac:dyDescent="0.25">
      <c r="A263" t="s">
        <v>876</v>
      </c>
      <c r="B263" t="s">
        <v>1196</v>
      </c>
      <c r="C263" t="s">
        <v>395</v>
      </c>
      <c r="D263" s="37" t="s">
        <v>1211</v>
      </c>
      <c r="E263" s="3">
        <v>-200000</v>
      </c>
    </row>
    <row r="264" spans="1:5" x14ac:dyDescent="0.25">
      <c r="A264" t="s">
        <v>876</v>
      </c>
      <c r="B264" t="s">
        <v>1196</v>
      </c>
      <c r="C264" t="s">
        <v>395</v>
      </c>
      <c r="D264" s="37" t="s">
        <v>1211</v>
      </c>
      <c r="E264" s="3">
        <v>-80680</v>
      </c>
    </row>
    <row r="265" spans="1:5" x14ac:dyDescent="0.25">
      <c r="A265" t="s">
        <v>876</v>
      </c>
      <c r="B265" t="s">
        <v>1196</v>
      </c>
      <c r="C265" t="s">
        <v>395</v>
      </c>
      <c r="D265" s="37" t="s">
        <v>1211</v>
      </c>
      <c r="E265" s="3">
        <v>-11869.2</v>
      </c>
    </row>
    <row r="266" spans="1:5" x14ac:dyDescent="0.25">
      <c r="A266" t="s">
        <v>1106</v>
      </c>
      <c r="B266" t="s">
        <v>1197</v>
      </c>
      <c r="C266" t="s">
        <v>11</v>
      </c>
      <c r="D266" s="37" t="s">
        <v>1209</v>
      </c>
      <c r="E266" s="3">
        <v>76200</v>
      </c>
    </row>
    <row r="267" spans="1:5" x14ac:dyDescent="0.25">
      <c r="A267" t="s">
        <v>1106</v>
      </c>
      <c r="B267" t="s">
        <v>1197</v>
      </c>
      <c r="C267" t="s">
        <v>11</v>
      </c>
      <c r="D267" s="37" t="s">
        <v>1209</v>
      </c>
      <c r="E267" s="3">
        <v>48750</v>
      </c>
    </row>
    <row r="268" spans="1:5" x14ac:dyDescent="0.25">
      <c r="A268" t="s">
        <v>1106</v>
      </c>
      <c r="B268" t="s">
        <v>1197</v>
      </c>
      <c r="C268" t="s">
        <v>11</v>
      </c>
      <c r="D268" s="37" t="s">
        <v>1211</v>
      </c>
      <c r="E268" s="3">
        <v>-16872</v>
      </c>
    </row>
    <row r="269" spans="1:5" x14ac:dyDescent="0.25">
      <c r="A269" t="s">
        <v>1106</v>
      </c>
      <c r="B269" t="s">
        <v>1197</v>
      </c>
      <c r="C269" t="s">
        <v>11</v>
      </c>
      <c r="D269" s="37" t="s">
        <v>1211</v>
      </c>
      <c r="E269" s="3">
        <v>-17272</v>
      </c>
    </row>
    <row r="270" spans="1:5" x14ac:dyDescent="0.25">
      <c r="A270" t="s">
        <v>1106</v>
      </c>
      <c r="B270" t="s">
        <v>1197</v>
      </c>
      <c r="C270" t="s">
        <v>11</v>
      </c>
      <c r="D270" s="37" t="s">
        <v>1211</v>
      </c>
      <c r="E270" s="3">
        <v>-23800</v>
      </c>
    </row>
    <row r="271" spans="1:5" x14ac:dyDescent="0.25">
      <c r="A271" t="s">
        <v>12</v>
      </c>
      <c r="B271" t="s">
        <v>1187</v>
      </c>
      <c r="C271" t="s">
        <v>43</v>
      </c>
      <c r="D271" s="37" t="s">
        <v>1211</v>
      </c>
      <c r="E271" s="16">
        <v>-258756.23</v>
      </c>
    </row>
    <row r="272" spans="1:5" x14ac:dyDescent="0.25">
      <c r="A272" t="s">
        <v>396</v>
      </c>
      <c r="B272" t="s">
        <v>1208</v>
      </c>
      <c r="C272" t="s">
        <v>423</v>
      </c>
      <c r="D272" s="37" t="s">
        <v>1211</v>
      </c>
      <c r="E272" s="16">
        <v>-525391.43999999994</v>
      </c>
    </row>
    <row r="273" spans="1:5" x14ac:dyDescent="0.25">
      <c r="A273" s="22" t="s">
        <v>714</v>
      </c>
      <c r="B273" t="s">
        <v>1189</v>
      </c>
      <c r="C273" t="s">
        <v>11</v>
      </c>
      <c r="D273" s="37" t="s">
        <v>1211</v>
      </c>
      <c r="E273" s="16">
        <v>-167150.67000000001</v>
      </c>
    </row>
    <row r="274" spans="1:5" x14ac:dyDescent="0.25">
      <c r="A274" t="s">
        <v>791</v>
      </c>
      <c r="B274" t="s">
        <v>1193</v>
      </c>
      <c r="C274" t="s">
        <v>11</v>
      </c>
      <c r="D274" s="37" t="s">
        <v>1211</v>
      </c>
      <c r="E274" s="16">
        <v>-58069.15</v>
      </c>
    </row>
    <row r="275" spans="1:5" x14ac:dyDescent="0.25">
      <c r="A275" t="s">
        <v>876</v>
      </c>
      <c r="B275" t="s">
        <v>1196</v>
      </c>
      <c r="C275" t="s">
        <v>395</v>
      </c>
      <c r="D275" s="37" t="s">
        <v>1211</v>
      </c>
      <c r="E275" s="16">
        <v>-53380.29</v>
      </c>
    </row>
    <row r="276" spans="1:5" x14ac:dyDescent="0.25">
      <c r="A276" t="s">
        <v>876</v>
      </c>
      <c r="B276" t="s">
        <v>1196</v>
      </c>
      <c r="C276" t="s">
        <v>43</v>
      </c>
      <c r="D276" s="37" t="s">
        <v>1211</v>
      </c>
      <c r="E276" s="16">
        <v>-138481.23000000001</v>
      </c>
    </row>
    <row r="277" spans="1:5" x14ac:dyDescent="0.25">
      <c r="A277" t="s">
        <v>1106</v>
      </c>
      <c r="B277" t="s">
        <v>1197</v>
      </c>
      <c r="C277" t="s">
        <v>11</v>
      </c>
      <c r="D277" s="37" t="s">
        <v>1211</v>
      </c>
      <c r="E277" s="16">
        <v>-48750</v>
      </c>
    </row>
  </sheetData>
  <autoFilter ref="A1:E277" xr:uid="{CF046D7F-1BBF-4121-B082-26AAB63D88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ALL 062026</vt:lpstr>
      <vt:lpstr>PIVOT</vt:lpstr>
      <vt:lpstr>PTJ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Rohaya Ahmad</cp:lastModifiedBy>
  <cp:revision>1</cp:revision>
  <dcterms:modified xsi:type="dcterms:W3CDTF">2026-07-24T14:38:55Z</dcterms:modified>
  <cp:category/>
</cp:coreProperties>
</file>